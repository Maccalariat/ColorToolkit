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600" yWindow="375" windowWidth="21795" windowHeight="11550"/>
  </bookViews>
  <sheets>
    <sheet name="ReadMe" sheetId="7" r:id="rId1"/>
    <sheet name="INPUTdata" sheetId="1" r:id="rId2"/>
    <sheet name="Vertices" sheetId="4" r:id="rId3"/>
    <sheet name="Faces" sheetId="5" r:id="rId4"/>
    <sheet name="Volumes" sheetId="6" r:id="rId5"/>
  </sheets>
  <calcPr calcId="145621"/>
</workbook>
</file>

<file path=xl/calcChain.xml><?xml version="1.0" encoding="utf-8"?>
<calcChain xmlns="http://schemas.openxmlformats.org/spreadsheetml/2006/main">
  <c r="I8" i="4" l="1"/>
  <c r="H8" i="4"/>
  <c r="G8" i="4"/>
  <c r="F8" i="4"/>
  <c r="E8" i="4"/>
  <c r="D8" i="4"/>
  <c r="C8" i="4"/>
  <c r="C3" i="6" l="1"/>
  <c r="E95" i="4"/>
  <c r="D13" i="4"/>
  <c r="C15" i="4"/>
  <c r="D165" i="4" l="1"/>
  <c r="D101" i="4"/>
  <c r="D21" i="4"/>
  <c r="C190" i="4"/>
  <c r="D149" i="4"/>
  <c r="D85" i="4"/>
  <c r="E175" i="4"/>
  <c r="D197" i="4"/>
  <c r="D133" i="4"/>
  <c r="D69" i="4"/>
  <c r="E111" i="4"/>
  <c r="D181" i="4"/>
  <c r="D117" i="4"/>
  <c r="D53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119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4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5" i="4"/>
  <c r="G179" i="4"/>
  <c r="G183" i="4"/>
  <c r="G187" i="4"/>
  <c r="G191" i="4"/>
  <c r="G195" i="4"/>
  <c r="G199" i="4"/>
  <c r="G203" i="4"/>
  <c r="G120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11" i="4"/>
  <c r="G123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C198" i="4"/>
  <c r="C186" i="4"/>
  <c r="C162" i="4"/>
  <c r="C154" i="4"/>
  <c r="C128" i="4"/>
  <c r="C99" i="4"/>
  <c r="C19" i="4"/>
  <c r="C174" i="4"/>
  <c r="C166" i="4"/>
  <c r="C143" i="4"/>
  <c r="C83" i="4"/>
  <c r="C197" i="4"/>
  <c r="C181" i="4"/>
  <c r="C161" i="4"/>
  <c r="C47" i="4"/>
  <c r="D193" i="4"/>
  <c r="D177" i="4"/>
  <c r="D161" i="4"/>
  <c r="D145" i="4"/>
  <c r="D129" i="4"/>
  <c r="D113" i="4"/>
  <c r="D97" i="4"/>
  <c r="D81" i="4"/>
  <c r="D65" i="4"/>
  <c r="D45" i="4"/>
  <c r="E159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04" i="4"/>
  <c r="C108" i="4"/>
  <c r="C112" i="4"/>
  <c r="C116" i="4"/>
  <c r="C120" i="4"/>
  <c r="C124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69" i="4"/>
  <c r="C73" i="4"/>
  <c r="C77" i="4"/>
  <c r="C81" i="4"/>
  <c r="C85" i="4"/>
  <c r="C89" i="4"/>
  <c r="C93" i="4"/>
  <c r="C97" i="4"/>
  <c r="C101" i="4"/>
  <c r="C105" i="4"/>
  <c r="C109" i="4"/>
  <c r="C113" i="4"/>
  <c r="C117" i="4"/>
  <c r="C121" i="4"/>
  <c r="C125" i="4"/>
  <c r="C129" i="4"/>
  <c r="C133" i="4"/>
  <c r="C137" i="4"/>
  <c r="C141" i="4"/>
  <c r="C145" i="4"/>
  <c r="C149" i="4"/>
  <c r="C153" i="4"/>
  <c r="C14" i="4"/>
  <c r="C18" i="4"/>
  <c r="C22" i="4"/>
  <c r="C26" i="4"/>
  <c r="C30" i="4"/>
  <c r="C34" i="4"/>
  <c r="C38" i="4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C202" i="4"/>
  <c r="C182" i="4"/>
  <c r="C158" i="4"/>
  <c r="C115" i="4"/>
  <c r="C51" i="4"/>
  <c r="C35" i="4"/>
  <c r="D15" i="4"/>
  <c r="D19" i="4"/>
  <c r="D23" i="4"/>
  <c r="D27" i="4"/>
  <c r="D31" i="4"/>
  <c r="D35" i="4"/>
  <c r="D39" i="4"/>
  <c r="D43" i="4"/>
  <c r="D47" i="4"/>
  <c r="D51" i="4"/>
  <c r="D12" i="4"/>
  <c r="D16" i="4"/>
  <c r="D20" i="4"/>
  <c r="D24" i="4"/>
  <c r="D28" i="4"/>
  <c r="D32" i="4"/>
  <c r="D36" i="4"/>
  <c r="D40" i="4"/>
  <c r="D44" i="4"/>
  <c r="D48" i="4"/>
  <c r="D52" i="4"/>
  <c r="D14" i="4"/>
  <c r="D22" i="4"/>
  <c r="D30" i="4"/>
  <c r="D38" i="4"/>
  <c r="D46" i="4"/>
  <c r="D54" i="4"/>
  <c r="D58" i="4"/>
  <c r="D62" i="4"/>
  <c r="D66" i="4"/>
  <c r="D70" i="4"/>
  <c r="D74" i="4"/>
  <c r="D78" i="4"/>
  <c r="D82" i="4"/>
  <c r="D86" i="4"/>
  <c r="D90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D142" i="4"/>
  <c r="D146" i="4"/>
  <c r="D150" i="4"/>
  <c r="D154" i="4"/>
  <c r="D158" i="4"/>
  <c r="D162" i="4"/>
  <c r="D166" i="4"/>
  <c r="D170" i="4"/>
  <c r="D174" i="4"/>
  <c r="D178" i="4"/>
  <c r="D182" i="4"/>
  <c r="D186" i="4"/>
  <c r="D190" i="4"/>
  <c r="D194" i="4"/>
  <c r="D198" i="4"/>
  <c r="D202" i="4"/>
  <c r="D17" i="4"/>
  <c r="D25" i="4"/>
  <c r="D33" i="4"/>
  <c r="D41" i="4"/>
  <c r="D49" i="4"/>
  <c r="D55" i="4"/>
  <c r="D59" i="4"/>
  <c r="D63" i="4"/>
  <c r="D67" i="4"/>
  <c r="D71" i="4"/>
  <c r="D75" i="4"/>
  <c r="D79" i="4"/>
  <c r="D83" i="4"/>
  <c r="D87" i="4"/>
  <c r="D91" i="4"/>
  <c r="D95" i="4"/>
  <c r="D99" i="4"/>
  <c r="D103" i="4"/>
  <c r="D107" i="4"/>
  <c r="D111" i="4"/>
  <c r="D115" i="4"/>
  <c r="D119" i="4"/>
  <c r="D123" i="4"/>
  <c r="D127" i="4"/>
  <c r="D131" i="4"/>
  <c r="D135" i="4"/>
  <c r="D139" i="4"/>
  <c r="D143" i="4"/>
  <c r="D147" i="4"/>
  <c r="D151" i="4"/>
  <c r="D155" i="4"/>
  <c r="D159" i="4"/>
  <c r="D163" i="4"/>
  <c r="D167" i="4"/>
  <c r="D171" i="4"/>
  <c r="D175" i="4"/>
  <c r="D179" i="4"/>
  <c r="D183" i="4"/>
  <c r="D187" i="4"/>
  <c r="D191" i="4"/>
  <c r="D195" i="4"/>
  <c r="D199" i="4"/>
  <c r="D203" i="4"/>
  <c r="D18" i="4"/>
  <c r="D26" i="4"/>
  <c r="D34" i="4"/>
  <c r="D42" i="4"/>
  <c r="D50" i="4"/>
  <c r="D56" i="4"/>
  <c r="D60" i="4"/>
  <c r="D64" i="4"/>
  <c r="D68" i="4"/>
  <c r="D72" i="4"/>
  <c r="D76" i="4"/>
  <c r="D80" i="4"/>
  <c r="D84" i="4"/>
  <c r="D88" i="4"/>
  <c r="D92" i="4"/>
  <c r="D96" i="4"/>
  <c r="D100" i="4"/>
  <c r="D104" i="4"/>
  <c r="D108" i="4"/>
  <c r="D112" i="4"/>
  <c r="D116" i="4"/>
  <c r="D120" i="4"/>
  <c r="D124" i="4"/>
  <c r="D128" i="4"/>
  <c r="D132" i="4"/>
  <c r="D136" i="4"/>
  <c r="D140" i="4"/>
  <c r="D144" i="4"/>
  <c r="D148" i="4"/>
  <c r="D152" i="4"/>
  <c r="D156" i="4"/>
  <c r="D160" i="4"/>
  <c r="D164" i="4"/>
  <c r="D168" i="4"/>
  <c r="D172" i="4"/>
  <c r="D176" i="4"/>
  <c r="D180" i="4"/>
  <c r="D184" i="4"/>
  <c r="D188" i="4"/>
  <c r="D192" i="4"/>
  <c r="D196" i="4"/>
  <c r="D200" i="4"/>
  <c r="D11" i="4"/>
  <c r="C193" i="4"/>
  <c r="C185" i="4"/>
  <c r="C173" i="4"/>
  <c r="C169" i="4"/>
  <c r="C165" i="4"/>
  <c r="C152" i="4"/>
  <c r="C147" i="4"/>
  <c r="C135" i="4"/>
  <c r="C63" i="4"/>
  <c r="E12" i="4"/>
  <c r="E16" i="4"/>
  <c r="E20" i="4"/>
  <c r="E24" i="4"/>
  <c r="E28" i="4"/>
  <c r="E32" i="4"/>
  <c r="E36" i="4"/>
  <c r="E40" i="4"/>
  <c r="E44" i="4"/>
  <c r="E48" i="4"/>
  <c r="E52" i="4"/>
  <c r="E56" i="4"/>
  <c r="E60" i="4"/>
  <c r="E64" i="4"/>
  <c r="E68" i="4"/>
  <c r="E72" i="4"/>
  <c r="E76" i="4"/>
  <c r="E80" i="4"/>
  <c r="E84" i="4"/>
  <c r="E88" i="4"/>
  <c r="E92" i="4"/>
  <c r="E96" i="4"/>
  <c r="E100" i="4"/>
  <c r="E104" i="4"/>
  <c r="E108" i="4"/>
  <c r="E112" i="4"/>
  <c r="E116" i="4"/>
  <c r="E120" i="4"/>
  <c r="E124" i="4"/>
  <c r="E128" i="4"/>
  <c r="E132" i="4"/>
  <c r="E136" i="4"/>
  <c r="E140" i="4"/>
  <c r="E144" i="4"/>
  <c r="E148" i="4"/>
  <c r="E152" i="4"/>
  <c r="E156" i="4"/>
  <c r="E160" i="4"/>
  <c r="E164" i="4"/>
  <c r="E168" i="4"/>
  <c r="E172" i="4"/>
  <c r="E176" i="4"/>
  <c r="E180" i="4"/>
  <c r="E184" i="4"/>
  <c r="E188" i="4"/>
  <c r="E192" i="4"/>
  <c r="E196" i="4"/>
  <c r="E200" i="4"/>
  <c r="E11" i="4"/>
  <c r="E13" i="4"/>
  <c r="E17" i="4"/>
  <c r="E21" i="4"/>
  <c r="E25" i="4"/>
  <c r="E29" i="4"/>
  <c r="E33" i="4"/>
  <c r="E37" i="4"/>
  <c r="E41" i="4"/>
  <c r="E45" i="4"/>
  <c r="E49" i="4"/>
  <c r="E53" i="4"/>
  <c r="E57" i="4"/>
  <c r="E61" i="4"/>
  <c r="E65" i="4"/>
  <c r="E69" i="4"/>
  <c r="E73" i="4"/>
  <c r="E77" i="4"/>
  <c r="E81" i="4"/>
  <c r="E85" i="4"/>
  <c r="E89" i="4"/>
  <c r="E93" i="4"/>
  <c r="E97" i="4"/>
  <c r="E101" i="4"/>
  <c r="E105" i="4"/>
  <c r="E109" i="4"/>
  <c r="E113" i="4"/>
  <c r="E117" i="4"/>
  <c r="E121" i="4"/>
  <c r="E125" i="4"/>
  <c r="E129" i="4"/>
  <c r="E133" i="4"/>
  <c r="E137" i="4"/>
  <c r="E141" i="4"/>
  <c r="E145" i="4"/>
  <c r="E149" i="4"/>
  <c r="E153" i="4"/>
  <c r="E157" i="4"/>
  <c r="E161" i="4"/>
  <c r="E165" i="4"/>
  <c r="E169" i="4"/>
  <c r="E173" i="4"/>
  <c r="E177" i="4"/>
  <c r="E181" i="4"/>
  <c r="E185" i="4"/>
  <c r="E189" i="4"/>
  <c r="E193" i="4"/>
  <c r="E197" i="4"/>
  <c r="E201" i="4"/>
  <c r="E14" i="4"/>
  <c r="E18" i="4"/>
  <c r="E22" i="4"/>
  <c r="E26" i="4"/>
  <c r="E30" i="4"/>
  <c r="E34" i="4"/>
  <c r="E38" i="4"/>
  <c r="E42" i="4"/>
  <c r="E46" i="4"/>
  <c r="E50" i="4"/>
  <c r="E54" i="4"/>
  <c r="E58" i="4"/>
  <c r="E62" i="4"/>
  <c r="E66" i="4"/>
  <c r="E70" i="4"/>
  <c r="E74" i="4"/>
  <c r="E78" i="4"/>
  <c r="E82" i="4"/>
  <c r="E86" i="4"/>
  <c r="E90" i="4"/>
  <c r="E94" i="4"/>
  <c r="E98" i="4"/>
  <c r="E102" i="4"/>
  <c r="E106" i="4"/>
  <c r="E110" i="4"/>
  <c r="E114" i="4"/>
  <c r="E118" i="4"/>
  <c r="E122" i="4"/>
  <c r="E126" i="4"/>
  <c r="E130" i="4"/>
  <c r="E134" i="4"/>
  <c r="E138" i="4"/>
  <c r="E142" i="4"/>
  <c r="E146" i="4"/>
  <c r="E150" i="4"/>
  <c r="E154" i="4"/>
  <c r="E158" i="4"/>
  <c r="E162" i="4"/>
  <c r="E166" i="4"/>
  <c r="E170" i="4"/>
  <c r="E174" i="4"/>
  <c r="E178" i="4"/>
  <c r="E182" i="4"/>
  <c r="E186" i="4"/>
  <c r="E15" i="4"/>
  <c r="E19" i="4"/>
  <c r="E23" i="4"/>
  <c r="E27" i="4"/>
  <c r="E31" i="4"/>
  <c r="E35" i="4"/>
  <c r="E39" i="4"/>
  <c r="E43" i="4"/>
  <c r="E47" i="4"/>
  <c r="E51" i="4"/>
  <c r="E55" i="4"/>
  <c r="E59" i="4"/>
  <c r="E63" i="4"/>
  <c r="E67" i="4"/>
  <c r="E83" i="4"/>
  <c r="E99" i="4"/>
  <c r="E115" i="4"/>
  <c r="E131" i="4"/>
  <c r="E147" i="4"/>
  <c r="E163" i="4"/>
  <c r="E179" i="4"/>
  <c r="E191" i="4"/>
  <c r="E199" i="4"/>
  <c r="E71" i="4"/>
  <c r="E87" i="4"/>
  <c r="E103" i="4"/>
  <c r="E119" i="4"/>
  <c r="E135" i="4"/>
  <c r="E151" i="4"/>
  <c r="E167" i="4"/>
  <c r="E183" i="4"/>
  <c r="E194" i="4"/>
  <c r="E202" i="4"/>
  <c r="E75" i="4"/>
  <c r="E91" i="4"/>
  <c r="E107" i="4"/>
  <c r="E123" i="4"/>
  <c r="E139" i="4"/>
  <c r="E155" i="4"/>
  <c r="E171" i="4"/>
  <c r="E187" i="4"/>
  <c r="E195" i="4"/>
  <c r="E203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11" i="4"/>
  <c r="I122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120" i="4"/>
  <c r="I124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178" i="4"/>
  <c r="I182" i="4"/>
  <c r="I186" i="4"/>
  <c r="I190" i="4"/>
  <c r="I194" i="4"/>
  <c r="I198" i="4"/>
  <c r="I202" i="4"/>
  <c r="C200" i="4"/>
  <c r="C196" i="4"/>
  <c r="C192" i="4"/>
  <c r="C188" i="4"/>
  <c r="C184" i="4"/>
  <c r="C180" i="4"/>
  <c r="C176" i="4"/>
  <c r="C172" i="4"/>
  <c r="C168" i="4"/>
  <c r="C164" i="4"/>
  <c r="C160" i="4"/>
  <c r="C156" i="4"/>
  <c r="C151" i="4"/>
  <c r="C146" i="4"/>
  <c r="C140" i="4"/>
  <c r="C132" i="4"/>
  <c r="C123" i="4"/>
  <c r="C107" i="4"/>
  <c r="C91" i="4"/>
  <c r="C75" i="4"/>
  <c r="C59" i="4"/>
  <c r="C43" i="4"/>
  <c r="C27" i="4"/>
  <c r="C11" i="4"/>
  <c r="D189" i="4"/>
  <c r="D173" i="4"/>
  <c r="D157" i="4"/>
  <c r="D141" i="4"/>
  <c r="D125" i="4"/>
  <c r="D109" i="4"/>
  <c r="D93" i="4"/>
  <c r="D77" i="4"/>
  <c r="D61" i="4"/>
  <c r="D37" i="4"/>
  <c r="E198" i="4"/>
  <c r="E143" i="4"/>
  <c r="E79" i="4"/>
  <c r="C194" i="4"/>
  <c r="C178" i="4"/>
  <c r="C170" i="4"/>
  <c r="C148" i="4"/>
  <c r="C136" i="4"/>
  <c r="C67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" i="4"/>
  <c r="H16" i="4"/>
  <c r="H20" i="4"/>
  <c r="H24" i="4"/>
  <c r="H28" i="4"/>
  <c r="H32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8" i="4"/>
  <c r="H132" i="4"/>
  <c r="H136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188" i="4"/>
  <c r="H192" i="4"/>
  <c r="H196" i="4"/>
  <c r="H200" i="4"/>
  <c r="H124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121" i="4"/>
  <c r="H123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11" i="4"/>
  <c r="C201" i="4"/>
  <c r="C189" i="4"/>
  <c r="C177" i="4"/>
  <c r="C157" i="4"/>
  <c r="C142" i="4"/>
  <c r="C127" i="4"/>
  <c r="C111" i="4"/>
  <c r="C95" i="4"/>
  <c r="C79" i="4"/>
  <c r="C31" i="4"/>
  <c r="F14" i="4"/>
  <c r="F18" i="4"/>
  <c r="F22" i="4"/>
  <c r="F26" i="4"/>
  <c r="F30" i="4"/>
  <c r="F34" i="4"/>
  <c r="F38" i="4"/>
  <c r="F42" i="4"/>
  <c r="F46" i="4"/>
  <c r="F50" i="4"/>
  <c r="F54" i="4"/>
  <c r="F58" i="4"/>
  <c r="F62" i="4"/>
  <c r="F66" i="4"/>
  <c r="F70" i="4"/>
  <c r="F74" i="4"/>
  <c r="F78" i="4"/>
  <c r="F82" i="4"/>
  <c r="F86" i="4"/>
  <c r="F90" i="4"/>
  <c r="F94" i="4"/>
  <c r="F98" i="4"/>
  <c r="F102" i="4"/>
  <c r="F15" i="4"/>
  <c r="F19" i="4"/>
  <c r="F23" i="4"/>
  <c r="F27" i="4"/>
  <c r="F31" i="4"/>
  <c r="F35" i="4"/>
  <c r="F39" i="4"/>
  <c r="F43" i="4"/>
  <c r="F47" i="4"/>
  <c r="F51" i="4"/>
  <c r="F55" i="4"/>
  <c r="F59" i="4"/>
  <c r="F63" i="4"/>
  <c r="F67" i="4"/>
  <c r="F71" i="4"/>
  <c r="F75" i="4"/>
  <c r="F79" i="4"/>
  <c r="F83" i="4"/>
  <c r="F87" i="4"/>
  <c r="F91" i="4"/>
  <c r="F95" i="4"/>
  <c r="F12" i="4"/>
  <c r="F16" i="4"/>
  <c r="F20" i="4"/>
  <c r="F24" i="4"/>
  <c r="F28" i="4"/>
  <c r="F32" i="4"/>
  <c r="F36" i="4"/>
  <c r="F40" i="4"/>
  <c r="F44" i="4"/>
  <c r="F48" i="4"/>
  <c r="F52" i="4"/>
  <c r="F56" i="4"/>
  <c r="F60" i="4"/>
  <c r="F64" i="4"/>
  <c r="F68" i="4"/>
  <c r="F72" i="4"/>
  <c r="F76" i="4"/>
  <c r="F80" i="4"/>
  <c r="F84" i="4"/>
  <c r="F88" i="4"/>
  <c r="F92" i="4"/>
  <c r="F96" i="4"/>
  <c r="F100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F77" i="4"/>
  <c r="F81" i="4"/>
  <c r="F85" i="4"/>
  <c r="F89" i="4"/>
  <c r="F93" i="4"/>
  <c r="F97" i="4"/>
  <c r="F101" i="4"/>
  <c r="F105" i="4"/>
  <c r="F109" i="4"/>
  <c r="F113" i="4"/>
  <c r="F117" i="4"/>
  <c r="F121" i="4"/>
  <c r="F125" i="4"/>
  <c r="F129" i="4"/>
  <c r="F133" i="4"/>
  <c r="F137" i="4"/>
  <c r="F141" i="4"/>
  <c r="F145" i="4"/>
  <c r="F149" i="4"/>
  <c r="F153" i="4"/>
  <c r="F157" i="4"/>
  <c r="F161" i="4"/>
  <c r="F165" i="4"/>
  <c r="F169" i="4"/>
  <c r="F173" i="4"/>
  <c r="F177" i="4"/>
  <c r="F181" i="4"/>
  <c r="F185" i="4"/>
  <c r="F189" i="4"/>
  <c r="F193" i="4"/>
  <c r="F197" i="4"/>
  <c r="F201" i="4"/>
  <c r="F99" i="4"/>
  <c r="F106" i="4"/>
  <c r="F110" i="4"/>
  <c r="F114" i="4"/>
  <c r="F118" i="4"/>
  <c r="F122" i="4"/>
  <c r="F126" i="4"/>
  <c r="F130" i="4"/>
  <c r="F134" i="4"/>
  <c r="F138" i="4"/>
  <c r="F142" i="4"/>
  <c r="F146" i="4"/>
  <c r="F150" i="4"/>
  <c r="F154" i="4"/>
  <c r="F158" i="4"/>
  <c r="F162" i="4"/>
  <c r="F166" i="4"/>
  <c r="F170" i="4"/>
  <c r="F174" i="4"/>
  <c r="F178" i="4"/>
  <c r="F182" i="4"/>
  <c r="F186" i="4"/>
  <c r="F190" i="4"/>
  <c r="F194" i="4"/>
  <c r="F198" i="4"/>
  <c r="F202" i="4"/>
  <c r="F103" i="4"/>
  <c r="F107" i="4"/>
  <c r="F111" i="4"/>
  <c r="F115" i="4"/>
  <c r="F119" i="4"/>
  <c r="F123" i="4"/>
  <c r="F127" i="4"/>
  <c r="F131" i="4"/>
  <c r="F135" i="4"/>
  <c r="F139" i="4"/>
  <c r="F143" i="4"/>
  <c r="F147" i="4"/>
  <c r="F151" i="4"/>
  <c r="F155" i="4"/>
  <c r="F159" i="4"/>
  <c r="F163" i="4"/>
  <c r="F167" i="4"/>
  <c r="F171" i="4"/>
  <c r="F175" i="4"/>
  <c r="F179" i="4"/>
  <c r="F183" i="4"/>
  <c r="F187" i="4"/>
  <c r="F191" i="4"/>
  <c r="F195" i="4"/>
  <c r="F199" i="4"/>
  <c r="F203" i="4"/>
  <c r="F104" i="4"/>
  <c r="F108" i="4"/>
  <c r="F112" i="4"/>
  <c r="F116" i="4"/>
  <c r="F120" i="4"/>
  <c r="F124" i="4"/>
  <c r="F128" i="4"/>
  <c r="F132" i="4"/>
  <c r="F136" i="4"/>
  <c r="F140" i="4"/>
  <c r="F144" i="4"/>
  <c r="F148" i="4"/>
  <c r="F152" i="4"/>
  <c r="F156" i="4"/>
  <c r="F160" i="4"/>
  <c r="F164" i="4"/>
  <c r="F168" i="4"/>
  <c r="F172" i="4"/>
  <c r="F176" i="4"/>
  <c r="F180" i="4"/>
  <c r="F184" i="4"/>
  <c r="F188" i="4"/>
  <c r="F192" i="4"/>
  <c r="F196" i="4"/>
  <c r="F200" i="4"/>
  <c r="F11" i="4"/>
  <c r="C203" i="4"/>
  <c r="C199" i="4"/>
  <c r="C195" i="4"/>
  <c r="C191" i="4"/>
  <c r="C187" i="4"/>
  <c r="C183" i="4"/>
  <c r="C179" i="4"/>
  <c r="C175" i="4"/>
  <c r="C171" i="4"/>
  <c r="C167" i="4"/>
  <c r="C163" i="4"/>
  <c r="C159" i="4"/>
  <c r="C155" i="4"/>
  <c r="C150" i="4"/>
  <c r="C144" i="4"/>
  <c r="C139" i="4"/>
  <c r="C131" i="4"/>
  <c r="C119" i="4"/>
  <c r="C103" i="4"/>
  <c r="C87" i="4"/>
  <c r="C71" i="4"/>
  <c r="C55" i="4"/>
  <c r="C39" i="4"/>
  <c r="C23" i="4"/>
  <c r="D201" i="4"/>
  <c r="D185" i="4"/>
  <c r="D169" i="4"/>
  <c r="D153" i="4"/>
  <c r="D137" i="4"/>
  <c r="D121" i="4"/>
  <c r="D105" i="4"/>
  <c r="D89" i="4"/>
  <c r="D73" i="4"/>
  <c r="D57" i="4"/>
  <c r="D29" i="4"/>
  <c r="E190" i="4"/>
  <c r="E127" i="4"/>
  <c r="R11" i="4" l="1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A5" i="4" l="1"/>
  <c r="R9" i="4"/>
  <c r="B11" i="6" l="1"/>
  <c r="F11" i="6"/>
  <c r="J11" i="6"/>
  <c r="B12" i="6"/>
  <c r="F12" i="6"/>
  <c r="J12" i="6"/>
  <c r="B13" i="6"/>
  <c r="F13" i="6"/>
  <c r="J13" i="6"/>
  <c r="B14" i="6"/>
  <c r="F14" i="6"/>
  <c r="J14" i="6"/>
  <c r="B15" i="6"/>
  <c r="F15" i="6"/>
  <c r="J15" i="6"/>
  <c r="B16" i="6"/>
  <c r="F16" i="6"/>
  <c r="J16" i="6"/>
  <c r="B17" i="6"/>
  <c r="F17" i="6"/>
  <c r="J17" i="6"/>
  <c r="B18" i="6"/>
  <c r="F18" i="6"/>
  <c r="J18" i="6"/>
  <c r="B19" i="6"/>
  <c r="F19" i="6"/>
  <c r="J19" i="6"/>
  <c r="B20" i="6"/>
  <c r="F20" i="6"/>
  <c r="J20" i="6"/>
  <c r="B21" i="6"/>
  <c r="F21" i="6"/>
  <c r="J21" i="6"/>
  <c r="B22" i="6"/>
  <c r="F22" i="6"/>
  <c r="J22" i="6"/>
  <c r="B23" i="6"/>
  <c r="F23" i="6"/>
  <c r="J23" i="6"/>
  <c r="B24" i="6"/>
  <c r="F24" i="6"/>
  <c r="J24" i="6"/>
  <c r="B25" i="6"/>
  <c r="F25" i="6"/>
  <c r="J25" i="6"/>
  <c r="B26" i="6"/>
  <c r="F26" i="6"/>
  <c r="J26" i="6"/>
  <c r="B27" i="6"/>
  <c r="F27" i="6"/>
  <c r="J27" i="6"/>
  <c r="B28" i="6"/>
  <c r="F28" i="6"/>
  <c r="J28" i="6"/>
  <c r="B29" i="6"/>
  <c r="F29" i="6"/>
  <c r="J29" i="6"/>
  <c r="B30" i="6"/>
  <c r="F30" i="6"/>
  <c r="J30" i="6"/>
  <c r="B31" i="6"/>
  <c r="F31" i="6"/>
  <c r="J31" i="6"/>
  <c r="B32" i="6"/>
  <c r="F32" i="6"/>
  <c r="J32" i="6"/>
  <c r="B33" i="6"/>
  <c r="F33" i="6"/>
  <c r="J33" i="6"/>
  <c r="B34" i="6"/>
  <c r="F34" i="6"/>
  <c r="J34" i="6"/>
  <c r="B35" i="6"/>
  <c r="F35" i="6"/>
  <c r="J35" i="6"/>
  <c r="B36" i="6"/>
  <c r="F36" i="6"/>
  <c r="J36" i="6"/>
  <c r="B37" i="6"/>
  <c r="F37" i="6"/>
  <c r="J37" i="6"/>
  <c r="B38" i="6"/>
  <c r="F38" i="6"/>
  <c r="J38" i="6"/>
  <c r="B39" i="6"/>
  <c r="F39" i="6"/>
  <c r="J39" i="6"/>
  <c r="B40" i="6"/>
  <c r="F40" i="6"/>
  <c r="J40" i="6"/>
  <c r="B41" i="6"/>
  <c r="F41" i="6"/>
  <c r="J41" i="6"/>
  <c r="B42" i="6"/>
  <c r="F42" i="6"/>
  <c r="J42" i="6"/>
  <c r="B43" i="6"/>
  <c r="F43" i="6"/>
  <c r="J43" i="6"/>
  <c r="B44" i="6"/>
  <c r="F44" i="6"/>
  <c r="J44" i="6"/>
  <c r="B45" i="6"/>
  <c r="F45" i="6"/>
  <c r="J45" i="6"/>
  <c r="B46" i="6"/>
  <c r="F46" i="6"/>
  <c r="J46" i="6"/>
  <c r="B47" i="6"/>
  <c r="F47" i="6"/>
  <c r="J47" i="6"/>
  <c r="B48" i="6"/>
  <c r="F48" i="6"/>
  <c r="J48" i="6"/>
  <c r="B49" i="6"/>
  <c r="F49" i="6"/>
  <c r="J49" i="6"/>
  <c r="B50" i="6"/>
  <c r="F50" i="6"/>
  <c r="J50" i="6"/>
  <c r="B51" i="6"/>
  <c r="F51" i="6"/>
  <c r="J51" i="6"/>
  <c r="B52" i="6"/>
  <c r="F52" i="6"/>
  <c r="J52" i="6"/>
  <c r="B53" i="6"/>
  <c r="F53" i="6"/>
  <c r="J53" i="6"/>
  <c r="B54" i="6"/>
  <c r="F54" i="6"/>
  <c r="J54" i="6"/>
  <c r="B55" i="6"/>
  <c r="F55" i="6"/>
  <c r="J55" i="6"/>
  <c r="B56" i="6"/>
  <c r="F56" i="6"/>
  <c r="J56" i="6"/>
  <c r="B57" i="6"/>
  <c r="F57" i="6"/>
  <c r="J57" i="6"/>
  <c r="B58" i="6"/>
  <c r="F58" i="6"/>
  <c r="J58" i="6"/>
  <c r="B59" i="6"/>
  <c r="F59" i="6"/>
  <c r="J59" i="6"/>
  <c r="B60" i="6"/>
  <c r="F60" i="6"/>
  <c r="J60" i="6"/>
  <c r="B61" i="6"/>
  <c r="F61" i="6"/>
  <c r="J61" i="6"/>
  <c r="B62" i="6"/>
  <c r="F62" i="6"/>
  <c r="J62" i="6"/>
  <c r="B63" i="6"/>
  <c r="F63" i="6"/>
  <c r="J63" i="6"/>
  <c r="B64" i="6"/>
  <c r="F64" i="6"/>
  <c r="J64" i="6"/>
  <c r="B65" i="6"/>
  <c r="F65" i="6"/>
  <c r="J65" i="6"/>
  <c r="B66" i="6"/>
  <c r="F66" i="6"/>
  <c r="J66" i="6"/>
  <c r="B67" i="6"/>
  <c r="F67" i="6"/>
  <c r="J67" i="6"/>
  <c r="B68" i="6"/>
  <c r="F68" i="6"/>
  <c r="J68" i="6"/>
  <c r="B69" i="6"/>
  <c r="F69" i="6"/>
  <c r="J69" i="6"/>
  <c r="B70" i="6"/>
  <c r="F70" i="6"/>
  <c r="J70" i="6"/>
  <c r="B71" i="6"/>
  <c r="F71" i="6"/>
  <c r="J71" i="6"/>
  <c r="B72" i="6"/>
  <c r="F72" i="6"/>
  <c r="J72" i="6"/>
  <c r="B73" i="6"/>
  <c r="F73" i="6"/>
  <c r="J73" i="6"/>
  <c r="B74" i="6"/>
  <c r="F74" i="6"/>
  <c r="J74" i="6"/>
  <c r="B75" i="6"/>
  <c r="F75" i="6"/>
  <c r="J75" i="6"/>
  <c r="B76" i="6"/>
  <c r="F76" i="6"/>
  <c r="J76" i="6"/>
  <c r="B77" i="6"/>
  <c r="F77" i="6"/>
  <c r="J77" i="6"/>
  <c r="B78" i="6"/>
  <c r="F78" i="6"/>
  <c r="J78" i="6"/>
  <c r="B79" i="6"/>
  <c r="F79" i="6"/>
  <c r="J79" i="6"/>
  <c r="B80" i="6"/>
  <c r="F80" i="6"/>
  <c r="J80" i="6"/>
  <c r="B81" i="6"/>
  <c r="F81" i="6"/>
  <c r="J81" i="6"/>
  <c r="B82" i="6"/>
  <c r="F82" i="6"/>
  <c r="J82" i="6"/>
  <c r="B83" i="6"/>
  <c r="F83" i="6"/>
  <c r="J83" i="6"/>
  <c r="B84" i="6"/>
  <c r="F84" i="6"/>
  <c r="J84" i="6"/>
  <c r="B85" i="6"/>
  <c r="F85" i="6"/>
  <c r="J85" i="6"/>
  <c r="B86" i="6"/>
  <c r="F86" i="6"/>
  <c r="J86" i="6"/>
  <c r="B87" i="6"/>
  <c r="F87" i="6"/>
  <c r="J87" i="6"/>
  <c r="B88" i="6"/>
  <c r="F88" i="6"/>
  <c r="J88" i="6"/>
  <c r="B89" i="6"/>
  <c r="F89" i="6"/>
  <c r="J89" i="6"/>
  <c r="B90" i="6"/>
  <c r="F90" i="6"/>
  <c r="J90" i="6"/>
  <c r="B91" i="6"/>
  <c r="F91" i="6"/>
  <c r="J91" i="6"/>
  <c r="B92" i="6"/>
  <c r="F92" i="6"/>
  <c r="J92" i="6"/>
  <c r="B93" i="6"/>
  <c r="F93" i="6"/>
  <c r="J93" i="6"/>
  <c r="B94" i="6"/>
  <c r="F94" i="6"/>
  <c r="J94" i="6"/>
  <c r="B95" i="6"/>
  <c r="F95" i="6"/>
  <c r="J95" i="6"/>
  <c r="B96" i="6"/>
  <c r="F96" i="6"/>
  <c r="J96" i="6"/>
  <c r="B97" i="6"/>
  <c r="F97" i="6"/>
  <c r="J97" i="6"/>
  <c r="B98" i="6"/>
  <c r="F98" i="6"/>
  <c r="J98" i="6"/>
  <c r="B99" i="6"/>
  <c r="F99" i="6"/>
  <c r="J99" i="6"/>
  <c r="B100" i="6"/>
  <c r="F100" i="6"/>
  <c r="J100" i="6"/>
  <c r="B101" i="6"/>
  <c r="F101" i="6"/>
  <c r="J101" i="6"/>
  <c r="B102" i="6"/>
  <c r="F102" i="6"/>
  <c r="J102" i="6"/>
  <c r="B103" i="6"/>
  <c r="F103" i="6"/>
  <c r="J103" i="6"/>
  <c r="B104" i="6"/>
  <c r="F104" i="6"/>
  <c r="J104" i="6"/>
  <c r="B105" i="6"/>
  <c r="F105" i="6"/>
  <c r="J105" i="6"/>
  <c r="B106" i="6"/>
  <c r="F106" i="6"/>
  <c r="J106" i="6"/>
  <c r="B107" i="6"/>
  <c r="F107" i="6"/>
  <c r="J107" i="6"/>
  <c r="B108" i="6"/>
  <c r="F108" i="6"/>
  <c r="J108" i="6"/>
  <c r="B109" i="6"/>
  <c r="F109" i="6"/>
  <c r="J109" i="6"/>
  <c r="B110" i="6"/>
  <c r="F110" i="6"/>
  <c r="J110" i="6"/>
  <c r="B111" i="6"/>
  <c r="F111" i="6"/>
  <c r="J111" i="6"/>
  <c r="B112" i="6"/>
  <c r="F112" i="6"/>
  <c r="J112" i="6"/>
  <c r="B113" i="6"/>
  <c r="F113" i="6"/>
  <c r="J113" i="6"/>
  <c r="B114" i="6"/>
  <c r="F114" i="6"/>
  <c r="J114" i="6"/>
  <c r="B115" i="6"/>
  <c r="F115" i="6"/>
  <c r="J115" i="6"/>
  <c r="B116" i="6"/>
  <c r="F116" i="6"/>
  <c r="J116" i="6"/>
  <c r="B117" i="6"/>
  <c r="F117" i="6"/>
  <c r="J117" i="6"/>
  <c r="B118" i="6"/>
  <c r="F118" i="6"/>
  <c r="J118" i="6"/>
  <c r="B119" i="6"/>
  <c r="F119" i="6"/>
  <c r="J119" i="6"/>
  <c r="B120" i="6"/>
  <c r="F120" i="6"/>
  <c r="J120" i="6"/>
  <c r="B121" i="6"/>
  <c r="F121" i="6"/>
  <c r="J121" i="6"/>
  <c r="B122" i="6"/>
  <c r="F122" i="6"/>
  <c r="J122" i="6"/>
  <c r="B123" i="6"/>
  <c r="F123" i="6"/>
  <c r="J123" i="6"/>
  <c r="B124" i="6"/>
  <c r="F124" i="6"/>
  <c r="J124" i="6"/>
  <c r="B125" i="6"/>
  <c r="F125" i="6"/>
  <c r="J125" i="6"/>
  <c r="B126" i="6"/>
  <c r="F126" i="6"/>
  <c r="J126" i="6"/>
  <c r="B127" i="6"/>
  <c r="F127" i="6"/>
  <c r="J127" i="6"/>
  <c r="B128" i="6"/>
  <c r="F128" i="6"/>
  <c r="J128" i="6"/>
  <c r="B129" i="6"/>
  <c r="F129" i="6"/>
  <c r="J129" i="6"/>
  <c r="B130" i="6"/>
  <c r="F130" i="6"/>
  <c r="J130" i="6"/>
  <c r="B131" i="6"/>
  <c r="F131" i="6"/>
  <c r="J131" i="6"/>
  <c r="B132" i="6"/>
  <c r="F132" i="6"/>
  <c r="J132" i="6"/>
  <c r="B133" i="6"/>
  <c r="F133" i="6"/>
  <c r="J133" i="6"/>
  <c r="B134" i="6"/>
  <c r="F134" i="6"/>
  <c r="J134" i="6"/>
  <c r="B135" i="6"/>
  <c r="F135" i="6"/>
  <c r="J135" i="6"/>
  <c r="B136" i="6"/>
  <c r="F136" i="6"/>
  <c r="J136" i="6"/>
  <c r="B137" i="6"/>
  <c r="F137" i="6"/>
  <c r="J137" i="6"/>
  <c r="B138" i="6"/>
  <c r="F138" i="6"/>
  <c r="J138" i="6"/>
  <c r="B139" i="6"/>
  <c r="F139" i="6"/>
  <c r="J139" i="6"/>
  <c r="B140" i="6"/>
  <c r="F140" i="6"/>
  <c r="J140" i="6"/>
  <c r="B141" i="6"/>
  <c r="F141" i="6"/>
  <c r="J141" i="6"/>
  <c r="B142" i="6"/>
  <c r="F142" i="6"/>
  <c r="J142" i="6"/>
  <c r="B143" i="6"/>
  <c r="F143" i="6"/>
  <c r="J143" i="6"/>
  <c r="B144" i="6"/>
  <c r="F144" i="6"/>
  <c r="J144" i="6"/>
  <c r="B145" i="6"/>
  <c r="F145" i="6"/>
  <c r="J145" i="6"/>
  <c r="B146" i="6"/>
  <c r="F146" i="6"/>
  <c r="J146" i="6"/>
  <c r="B147" i="6"/>
  <c r="F147" i="6"/>
  <c r="J147" i="6"/>
  <c r="B148" i="6"/>
  <c r="F148" i="6"/>
  <c r="J148" i="6"/>
  <c r="B149" i="6"/>
  <c r="F149" i="6"/>
  <c r="J149" i="6"/>
  <c r="B150" i="6"/>
  <c r="F150" i="6"/>
  <c r="J150" i="6"/>
  <c r="B151" i="6"/>
  <c r="F151" i="6"/>
  <c r="J151" i="6"/>
  <c r="B152" i="6"/>
  <c r="F152" i="6"/>
  <c r="J152" i="6"/>
  <c r="B153" i="6"/>
  <c r="F153" i="6"/>
  <c r="J153" i="6"/>
  <c r="B154" i="6"/>
  <c r="F154" i="6"/>
  <c r="J154" i="6"/>
  <c r="B155" i="6"/>
  <c r="F155" i="6"/>
  <c r="J155" i="6"/>
  <c r="B156" i="6"/>
  <c r="F156" i="6"/>
  <c r="J156" i="6"/>
  <c r="B157" i="6"/>
  <c r="F157" i="6"/>
  <c r="J157" i="6"/>
  <c r="B158" i="6"/>
  <c r="F158" i="6"/>
  <c r="J158" i="6"/>
  <c r="B159" i="6"/>
  <c r="F159" i="6"/>
  <c r="J159" i="6"/>
  <c r="B160" i="6"/>
  <c r="F160" i="6"/>
  <c r="J160" i="6"/>
  <c r="B161" i="6"/>
  <c r="F161" i="6"/>
  <c r="J161" i="6"/>
  <c r="B162" i="6"/>
  <c r="F162" i="6"/>
  <c r="J162" i="6"/>
  <c r="B163" i="6"/>
  <c r="F163" i="6"/>
  <c r="J163" i="6"/>
  <c r="B164" i="6"/>
  <c r="F164" i="6"/>
  <c r="J164" i="6"/>
  <c r="B165" i="6"/>
  <c r="F165" i="6"/>
  <c r="J165" i="6"/>
  <c r="B166" i="6"/>
  <c r="F166" i="6"/>
  <c r="J166" i="6"/>
  <c r="B167" i="6"/>
  <c r="F167" i="6"/>
  <c r="J167" i="6"/>
  <c r="B168" i="6"/>
  <c r="F168" i="6"/>
  <c r="J168" i="6"/>
  <c r="B169" i="6"/>
  <c r="F169" i="6"/>
  <c r="J169" i="6"/>
  <c r="B170" i="6"/>
  <c r="F170" i="6"/>
  <c r="J170" i="6"/>
  <c r="B171" i="6"/>
  <c r="F171" i="6"/>
  <c r="J171" i="6"/>
  <c r="B172" i="6"/>
  <c r="F172" i="6"/>
  <c r="J172" i="6"/>
  <c r="B173" i="6"/>
  <c r="F173" i="6"/>
  <c r="J173" i="6"/>
  <c r="B174" i="6"/>
  <c r="F174" i="6"/>
  <c r="J174" i="6"/>
  <c r="B175" i="6"/>
  <c r="F175" i="6"/>
  <c r="J175" i="6"/>
  <c r="B176" i="6"/>
  <c r="F176" i="6"/>
  <c r="J176" i="6"/>
  <c r="B177" i="6"/>
  <c r="F177" i="6"/>
  <c r="J177" i="6"/>
  <c r="B178" i="6"/>
  <c r="F178" i="6"/>
  <c r="J178" i="6"/>
  <c r="B179" i="6"/>
  <c r="F179" i="6"/>
  <c r="J179" i="6"/>
  <c r="B180" i="6"/>
  <c r="F180" i="6"/>
  <c r="J180" i="6"/>
  <c r="B181" i="6"/>
  <c r="F181" i="6"/>
  <c r="J181" i="6"/>
  <c r="B182" i="6"/>
  <c r="F182" i="6"/>
  <c r="J182" i="6"/>
  <c r="B183" i="6"/>
  <c r="F183" i="6"/>
  <c r="J183" i="6"/>
  <c r="B184" i="6"/>
  <c r="F184" i="6"/>
  <c r="J184" i="6"/>
  <c r="B185" i="6"/>
  <c r="F185" i="6"/>
  <c r="J185" i="6"/>
  <c r="B186" i="6"/>
  <c r="F186" i="6"/>
  <c r="J186" i="6"/>
  <c r="B187" i="6"/>
  <c r="F187" i="6"/>
  <c r="J187" i="6"/>
  <c r="B188" i="6"/>
  <c r="F188" i="6"/>
  <c r="J188" i="6"/>
  <c r="B189" i="6"/>
  <c r="F189" i="6"/>
  <c r="J189" i="6"/>
  <c r="B190" i="6"/>
  <c r="F190" i="6"/>
  <c r="J190" i="6"/>
  <c r="B191" i="6"/>
  <c r="F191" i="6"/>
  <c r="J191" i="6"/>
  <c r="B192" i="6"/>
  <c r="F192" i="6"/>
  <c r="J192" i="6"/>
  <c r="B193" i="6"/>
  <c r="F193" i="6"/>
  <c r="J193" i="6"/>
  <c r="B194" i="6"/>
  <c r="F194" i="6"/>
  <c r="J194" i="6"/>
  <c r="B195" i="6"/>
  <c r="F195" i="6"/>
  <c r="J195" i="6"/>
  <c r="B196" i="6"/>
  <c r="F196" i="6"/>
  <c r="J196" i="6"/>
  <c r="B197" i="6"/>
  <c r="F197" i="6"/>
  <c r="J197" i="6"/>
  <c r="B198" i="6"/>
  <c r="F198" i="6"/>
  <c r="J198" i="6"/>
  <c r="B199" i="6"/>
  <c r="F199" i="6"/>
  <c r="J199" i="6"/>
  <c r="B200" i="6"/>
  <c r="F200" i="6"/>
  <c r="J200" i="6"/>
  <c r="B201" i="6"/>
  <c r="F201" i="6"/>
  <c r="J201" i="6"/>
  <c r="B202" i="6"/>
  <c r="F202" i="6"/>
  <c r="J202" i="6"/>
  <c r="B203" i="6"/>
  <c r="F203" i="6"/>
  <c r="J203" i="6"/>
  <c r="B204" i="6"/>
  <c r="F204" i="6"/>
  <c r="J204" i="6"/>
  <c r="B205" i="6"/>
  <c r="F205" i="6"/>
  <c r="J205" i="6"/>
  <c r="B206" i="6"/>
  <c r="F206" i="6"/>
  <c r="J206" i="6"/>
  <c r="B207" i="6"/>
  <c r="F207" i="6"/>
  <c r="J207" i="6"/>
  <c r="B208" i="6"/>
  <c r="F208" i="6"/>
  <c r="J208" i="6"/>
  <c r="B209" i="6"/>
  <c r="F209" i="6"/>
  <c r="J209" i="6"/>
  <c r="B210" i="6"/>
  <c r="F210" i="6"/>
  <c r="J210" i="6"/>
  <c r="B211" i="6"/>
  <c r="F211" i="6"/>
  <c r="J211" i="6"/>
  <c r="B212" i="6"/>
  <c r="F212" i="6"/>
  <c r="J212" i="6"/>
  <c r="B213" i="6"/>
  <c r="F213" i="6"/>
  <c r="J213" i="6"/>
  <c r="B214" i="6"/>
  <c r="F214" i="6"/>
  <c r="J214" i="6"/>
  <c r="B215" i="6"/>
  <c r="F215" i="6"/>
  <c r="J215" i="6"/>
  <c r="B216" i="6"/>
  <c r="F216" i="6"/>
  <c r="J216" i="6"/>
  <c r="B217" i="6"/>
  <c r="F217" i="6"/>
  <c r="J217" i="6"/>
  <c r="B218" i="6"/>
  <c r="F218" i="6"/>
  <c r="J218" i="6"/>
  <c r="B219" i="6"/>
  <c r="F219" i="6"/>
  <c r="J219" i="6"/>
  <c r="B220" i="6"/>
  <c r="F220" i="6"/>
  <c r="J220" i="6"/>
  <c r="B221" i="6"/>
  <c r="F221" i="6"/>
  <c r="J221" i="6"/>
  <c r="B222" i="6"/>
  <c r="F222" i="6"/>
  <c r="J222" i="6"/>
  <c r="B223" i="6"/>
  <c r="F223" i="6"/>
  <c r="J223" i="6"/>
  <c r="B224" i="6"/>
  <c r="F224" i="6"/>
  <c r="J224" i="6"/>
  <c r="B225" i="6"/>
  <c r="F225" i="6"/>
  <c r="J225" i="6"/>
  <c r="B226" i="6"/>
  <c r="F226" i="6"/>
  <c r="J226" i="6"/>
  <c r="B227" i="6"/>
  <c r="F227" i="6"/>
  <c r="J227" i="6"/>
  <c r="B228" i="6"/>
  <c r="F228" i="6"/>
  <c r="J228" i="6"/>
  <c r="B229" i="6"/>
  <c r="F229" i="6"/>
  <c r="J229" i="6"/>
  <c r="B230" i="6"/>
  <c r="F230" i="6"/>
  <c r="J230" i="6"/>
  <c r="B231" i="6"/>
  <c r="F231" i="6"/>
  <c r="J231" i="6"/>
  <c r="B232" i="6"/>
  <c r="F232" i="6"/>
  <c r="J232" i="6"/>
  <c r="B233" i="6"/>
  <c r="F233" i="6"/>
  <c r="J233" i="6"/>
  <c r="B234" i="6"/>
  <c r="F234" i="6"/>
  <c r="J234" i="6"/>
  <c r="B235" i="6"/>
  <c r="F235" i="6"/>
  <c r="J235" i="6"/>
  <c r="B236" i="6"/>
  <c r="F236" i="6"/>
  <c r="J236" i="6"/>
  <c r="B237" i="6"/>
  <c r="F237" i="6"/>
  <c r="J237" i="6"/>
  <c r="B238" i="6"/>
  <c r="F238" i="6"/>
  <c r="J238" i="6"/>
  <c r="B239" i="6"/>
  <c r="F239" i="6"/>
  <c r="J239" i="6"/>
  <c r="B240" i="6"/>
  <c r="F240" i="6"/>
  <c r="J240" i="6"/>
  <c r="B241" i="6"/>
  <c r="F241" i="6"/>
  <c r="J241" i="6"/>
  <c r="B242" i="6"/>
  <c r="F242" i="6"/>
  <c r="J242" i="6"/>
  <c r="B243" i="6"/>
  <c r="F243" i="6"/>
  <c r="J243" i="6"/>
  <c r="B244" i="6"/>
  <c r="F244" i="6"/>
  <c r="J244" i="6"/>
  <c r="B245" i="6"/>
  <c r="F245" i="6"/>
  <c r="J245" i="6"/>
  <c r="B246" i="6"/>
  <c r="F246" i="6"/>
  <c r="J246" i="6"/>
  <c r="B247" i="6"/>
  <c r="F247" i="6"/>
  <c r="J247" i="6"/>
  <c r="B248" i="6"/>
  <c r="F248" i="6"/>
  <c r="J248" i="6"/>
  <c r="B249" i="6"/>
  <c r="F249" i="6"/>
  <c r="J249" i="6"/>
  <c r="B250" i="6"/>
  <c r="F250" i="6"/>
  <c r="J250" i="6"/>
  <c r="B251" i="6"/>
  <c r="F251" i="6"/>
  <c r="J251" i="6"/>
  <c r="B252" i="6"/>
  <c r="F252" i="6"/>
  <c r="J252" i="6"/>
  <c r="B253" i="6"/>
  <c r="F253" i="6"/>
  <c r="J253" i="6"/>
  <c r="B254" i="6"/>
  <c r="F254" i="6"/>
  <c r="J254" i="6"/>
  <c r="B255" i="6"/>
  <c r="F255" i="6"/>
  <c r="J255" i="6"/>
  <c r="B256" i="6"/>
  <c r="F256" i="6"/>
  <c r="J256" i="6"/>
  <c r="B257" i="6"/>
  <c r="F257" i="6"/>
  <c r="J257" i="6"/>
  <c r="B258" i="6"/>
  <c r="F258" i="6"/>
  <c r="J258" i="6"/>
  <c r="B259" i="6"/>
  <c r="F259" i="6"/>
  <c r="J259" i="6"/>
  <c r="B260" i="6"/>
  <c r="F260" i="6"/>
  <c r="J260" i="6"/>
  <c r="B261" i="6"/>
  <c r="F261" i="6"/>
  <c r="J261" i="6"/>
  <c r="B262" i="6"/>
  <c r="F262" i="6"/>
  <c r="J262" i="6"/>
  <c r="B263" i="6"/>
  <c r="F263" i="6"/>
  <c r="J263" i="6"/>
  <c r="B264" i="6"/>
  <c r="F264" i="6"/>
  <c r="J264" i="6"/>
  <c r="B265" i="6"/>
  <c r="F265" i="6"/>
  <c r="J265" i="6"/>
  <c r="B266" i="6"/>
  <c r="F266" i="6"/>
  <c r="J266" i="6"/>
  <c r="B267" i="6"/>
  <c r="F267" i="6"/>
  <c r="J267" i="6"/>
  <c r="B268" i="6"/>
  <c r="F268" i="6"/>
  <c r="J268" i="6"/>
  <c r="B269" i="6"/>
  <c r="F269" i="6"/>
  <c r="J269" i="6"/>
  <c r="B270" i="6"/>
  <c r="F270" i="6"/>
  <c r="J270" i="6"/>
  <c r="B271" i="6"/>
  <c r="F271" i="6"/>
  <c r="J271" i="6"/>
  <c r="B272" i="6"/>
  <c r="F272" i="6"/>
  <c r="J272" i="6"/>
  <c r="B273" i="6"/>
  <c r="F273" i="6"/>
  <c r="J273" i="6"/>
  <c r="B274" i="6"/>
  <c r="F274" i="6"/>
  <c r="J274" i="6"/>
  <c r="B275" i="6"/>
  <c r="F275" i="6"/>
  <c r="J275" i="6"/>
  <c r="B276" i="6"/>
  <c r="F276" i="6"/>
  <c r="J276" i="6"/>
  <c r="B277" i="6"/>
  <c r="F277" i="6"/>
  <c r="J277" i="6"/>
  <c r="B278" i="6"/>
  <c r="F278" i="6"/>
  <c r="J278" i="6"/>
  <c r="B279" i="6"/>
  <c r="F279" i="6"/>
  <c r="J279" i="6"/>
  <c r="B280" i="6"/>
  <c r="F280" i="6"/>
  <c r="J280" i="6"/>
  <c r="B281" i="6"/>
  <c r="F281" i="6"/>
  <c r="J281" i="6"/>
  <c r="B282" i="6"/>
  <c r="F282" i="6"/>
  <c r="J282" i="6"/>
  <c r="B283" i="6"/>
  <c r="F283" i="6"/>
  <c r="J283" i="6"/>
  <c r="B284" i="6"/>
  <c r="F284" i="6"/>
  <c r="J284" i="6"/>
  <c r="B285" i="6"/>
  <c r="F285" i="6"/>
  <c r="J285" i="6"/>
  <c r="B286" i="6"/>
  <c r="F286" i="6"/>
  <c r="J286" i="6"/>
  <c r="B287" i="6"/>
  <c r="F287" i="6"/>
  <c r="J287" i="6"/>
  <c r="B288" i="6"/>
  <c r="F288" i="6"/>
  <c r="J288" i="6"/>
  <c r="B289" i="6"/>
  <c r="F289" i="6"/>
  <c r="J289" i="6"/>
  <c r="B290" i="6"/>
  <c r="F290" i="6"/>
  <c r="J290" i="6"/>
  <c r="B291" i="6"/>
  <c r="F291" i="6"/>
  <c r="J291" i="6"/>
  <c r="B292" i="6"/>
  <c r="F292" i="6"/>
  <c r="J292" i="6"/>
  <c r="B293" i="6"/>
  <c r="F293" i="6"/>
  <c r="J293" i="6"/>
  <c r="B294" i="6"/>
  <c r="F294" i="6"/>
  <c r="J294" i="6"/>
  <c r="B295" i="6"/>
  <c r="F295" i="6"/>
  <c r="J295" i="6"/>
  <c r="B296" i="6"/>
  <c r="F296" i="6"/>
  <c r="J296" i="6"/>
  <c r="B297" i="6"/>
  <c r="F297" i="6"/>
  <c r="J297" i="6"/>
  <c r="B298" i="6"/>
  <c r="F298" i="6"/>
  <c r="J298" i="6"/>
  <c r="B299" i="6"/>
  <c r="F299" i="6"/>
  <c r="J299" i="6"/>
  <c r="B300" i="6"/>
  <c r="F300" i="6"/>
  <c r="J300" i="6"/>
  <c r="B301" i="6"/>
  <c r="F301" i="6"/>
  <c r="J301" i="6"/>
  <c r="B302" i="6"/>
  <c r="F302" i="6"/>
  <c r="J302" i="6"/>
  <c r="B303" i="6"/>
  <c r="F303" i="6"/>
  <c r="J303" i="6"/>
  <c r="B304" i="6"/>
  <c r="F304" i="6"/>
  <c r="J304" i="6"/>
  <c r="B305" i="6"/>
  <c r="F305" i="6"/>
  <c r="J305" i="6"/>
  <c r="B306" i="6"/>
  <c r="F306" i="6"/>
  <c r="J306" i="6"/>
  <c r="B307" i="6"/>
  <c r="F307" i="6"/>
  <c r="J307" i="6"/>
  <c r="B308" i="6"/>
  <c r="F308" i="6"/>
  <c r="J308" i="6"/>
  <c r="B309" i="6"/>
  <c r="F309" i="6"/>
  <c r="J309" i="6"/>
  <c r="B310" i="6"/>
  <c r="F310" i="6"/>
  <c r="J310" i="6"/>
  <c r="B311" i="6"/>
  <c r="F311" i="6"/>
  <c r="J311" i="6"/>
  <c r="B312" i="6"/>
  <c r="F312" i="6"/>
  <c r="J312" i="6"/>
  <c r="B313" i="6"/>
  <c r="F313" i="6"/>
  <c r="J313" i="6"/>
  <c r="B314" i="6"/>
  <c r="F314" i="6"/>
  <c r="J314" i="6"/>
  <c r="B315" i="6"/>
  <c r="F315" i="6"/>
  <c r="J315" i="6"/>
  <c r="B316" i="6"/>
  <c r="F316" i="6"/>
  <c r="J316" i="6"/>
  <c r="B317" i="6"/>
  <c r="F317" i="6"/>
  <c r="J317" i="6"/>
  <c r="B318" i="6"/>
  <c r="F318" i="6"/>
  <c r="J318" i="6"/>
  <c r="B319" i="6"/>
  <c r="F319" i="6"/>
  <c r="J319" i="6"/>
  <c r="B320" i="6"/>
  <c r="F320" i="6"/>
  <c r="J320" i="6"/>
  <c r="B321" i="6"/>
  <c r="F321" i="6"/>
  <c r="J321" i="6"/>
  <c r="B322" i="6"/>
  <c r="F322" i="6"/>
  <c r="J322" i="6"/>
  <c r="B323" i="6"/>
  <c r="F323" i="6"/>
  <c r="J323" i="6"/>
  <c r="B324" i="6"/>
  <c r="F324" i="6"/>
  <c r="J324" i="6"/>
  <c r="B325" i="6"/>
  <c r="F325" i="6"/>
  <c r="J325" i="6"/>
  <c r="B326" i="6"/>
  <c r="F326" i="6"/>
  <c r="J326" i="6"/>
  <c r="B327" i="6"/>
  <c r="F327" i="6"/>
  <c r="J327" i="6"/>
  <c r="B328" i="6"/>
  <c r="F328" i="6"/>
  <c r="J328" i="6"/>
  <c r="B329" i="6"/>
  <c r="F329" i="6"/>
  <c r="J329" i="6"/>
  <c r="B330" i="6"/>
  <c r="F330" i="6"/>
  <c r="J330" i="6"/>
  <c r="B331" i="6"/>
  <c r="F331" i="6"/>
  <c r="J331" i="6"/>
  <c r="B332" i="6"/>
  <c r="F332" i="6"/>
  <c r="J332" i="6"/>
  <c r="B333" i="6"/>
  <c r="F333" i="6"/>
  <c r="J333" i="6"/>
  <c r="B334" i="6"/>
  <c r="F334" i="6"/>
  <c r="J334" i="6"/>
  <c r="B335" i="6"/>
  <c r="F335" i="6"/>
  <c r="J335" i="6"/>
  <c r="B336" i="6"/>
  <c r="F336" i="6"/>
  <c r="J336" i="6"/>
  <c r="B337" i="6"/>
  <c r="F337" i="6"/>
  <c r="J337" i="6"/>
  <c r="B338" i="6"/>
  <c r="F338" i="6"/>
  <c r="J338" i="6"/>
  <c r="B339" i="6"/>
  <c r="F339" i="6"/>
  <c r="J339" i="6"/>
  <c r="B340" i="6"/>
  <c r="F340" i="6"/>
  <c r="J340" i="6"/>
  <c r="B341" i="6"/>
  <c r="F341" i="6"/>
  <c r="J341" i="6"/>
  <c r="B342" i="6"/>
  <c r="F342" i="6"/>
  <c r="J342" i="6"/>
  <c r="B343" i="6"/>
  <c r="F343" i="6"/>
  <c r="J343" i="6"/>
  <c r="B344" i="6"/>
  <c r="F344" i="6"/>
  <c r="J344" i="6"/>
  <c r="B345" i="6"/>
  <c r="F345" i="6"/>
  <c r="J345" i="6"/>
  <c r="B346" i="6"/>
  <c r="F346" i="6"/>
  <c r="J346" i="6"/>
  <c r="B347" i="6"/>
  <c r="F347" i="6"/>
  <c r="J347" i="6"/>
  <c r="B348" i="6"/>
  <c r="F348" i="6"/>
  <c r="J348" i="6"/>
  <c r="B349" i="6"/>
  <c r="F349" i="6"/>
  <c r="J349" i="6"/>
  <c r="B350" i="6"/>
  <c r="F350" i="6"/>
  <c r="J350" i="6"/>
  <c r="B351" i="6"/>
  <c r="F351" i="6"/>
  <c r="J351" i="6"/>
  <c r="B352" i="6"/>
  <c r="F352" i="6"/>
  <c r="J352" i="6"/>
  <c r="B353" i="6"/>
  <c r="F353" i="6"/>
  <c r="J353" i="6"/>
  <c r="B354" i="6"/>
  <c r="F354" i="6"/>
  <c r="J354" i="6"/>
  <c r="B355" i="6"/>
  <c r="F355" i="6"/>
  <c r="J355" i="6"/>
  <c r="B356" i="6"/>
  <c r="F356" i="6"/>
  <c r="J356" i="6"/>
  <c r="B357" i="6"/>
  <c r="F357" i="6"/>
  <c r="J357" i="6"/>
  <c r="B358" i="6"/>
  <c r="F358" i="6"/>
  <c r="J358" i="6"/>
  <c r="B359" i="6"/>
  <c r="F359" i="6"/>
  <c r="J359" i="6"/>
  <c r="B360" i="6"/>
  <c r="F360" i="6"/>
  <c r="J360" i="6"/>
  <c r="B361" i="6"/>
  <c r="F361" i="6"/>
  <c r="J361" i="6"/>
  <c r="B362" i="6"/>
  <c r="F362" i="6"/>
  <c r="J362" i="6"/>
  <c r="B363" i="6"/>
  <c r="F363" i="6"/>
  <c r="J363" i="6"/>
  <c r="B364" i="6"/>
  <c r="F364" i="6"/>
  <c r="J364" i="6"/>
  <c r="B365" i="6"/>
  <c r="F365" i="6"/>
  <c r="J365" i="6"/>
  <c r="B366" i="6"/>
  <c r="F366" i="6"/>
  <c r="J366" i="6"/>
  <c r="B367" i="6"/>
  <c r="F367" i="6"/>
  <c r="J367" i="6"/>
  <c r="B368" i="6"/>
  <c r="F368" i="6"/>
  <c r="J368" i="6"/>
  <c r="B369" i="6"/>
  <c r="F369" i="6"/>
  <c r="J369" i="6"/>
  <c r="B370" i="6"/>
  <c r="F370" i="6"/>
  <c r="J370" i="6"/>
  <c r="B371" i="6"/>
  <c r="F371" i="6"/>
  <c r="J371" i="6"/>
  <c r="B372" i="6"/>
  <c r="F372" i="6"/>
  <c r="J372" i="6"/>
  <c r="B373" i="6"/>
  <c r="F373" i="6"/>
  <c r="J373" i="6"/>
  <c r="B374" i="6"/>
  <c r="F374" i="6"/>
  <c r="J374" i="6"/>
  <c r="B375" i="6"/>
  <c r="F375" i="6"/>
  <c r="J375" i="6"/>
  <c r="B376" i="6"/>
  <c r="F376" i="6"/>
  <c r="J376" i="6"/>
  <c r="B377" i="6"/>
  <c r="F377" i="6"/>
  <c r="J377" i="6"/>
  <c r="B378" i="6"/>
  <c r="F378" i="6"/>
  <c r="J378" i="6"/>
  <c r="B379" i="6"/>
  <c r="F379" i="6"/>
  <c r="J379" i="6"/>
  <c r="B380" i="6"/>
  <c r="F380" i="6"/>
  <c r="J380" i="6"/>
  <c r="B381" i="6"/>
  <c r="F381" i="6"/>
  <c r="J381" i="6"/>
  <c r="B382" i="6"/>
  <c r="F382" i="6"/>
  <c r="J382" i="6"/>
  <c r="B383" i="6"/>
  <c r="F383" i="6"/>
  <c r="J383" i="6"/>
  <c r="B384" i="6"/>
  <c r="F384" i="6"/>
  <c r="J384" i="6"/>
  <c r="B385" i="6"/>
  <c r="F385" i="6"/>
  <c r="J385" i="6"/>
  <c r="B386" i="6"/>
  <c r="F386" i="6"/>
  <c r="J386" i="6"/>
  <c r="B387" i="6"/>
  <c r="F387" i="6"/>
  <c r="J387" i="6"/>
  <c r="B388" i="6"/>
  <c r="F388" i="6"/>
  <c r="J388" i="6"/>
  <c r="B389" i="6"/>
  <c r="F389" i="6"/>
  <c r="J389" i="6"/>
  <c r="B390" i="6"/>
  <c r="F390" i="6"/>
  <c r="J390" i="6"/>
  <c r="B391" i="6"/>
  <c r="F391" i="6"/>
  <c r="J391" i="6"/>
  <c r="B392" i="6"/>
  <c r="F392" i="6"/>
  <c r="J392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11" i="6"/>
  <c r="L226" i="5"/>
  <c r="P227" i="5"/>
  <c r="P229" i="5"/>
  <c r="N188" i="5"/>
  <c r="P188" i="5"/>
  <c r="L189" i="5"/>
  <c r="J191" i="5"/>
  <c r="L191" i="5"/>
  <c r="L193" i="5"/>
  <c r="L265" i="5"/>
  <c r="L267" i="5"/>
  <c r="L269" i="5"/>
  <c r="L233" i="5"/>
  <c r="N196" i="5"/>
  <c r="P195" i="5"/>
  <c r="J196" i="5"/>
  <c r="L196" i="5"/>
  <c r="L309" i="5"/>
  <c r="J272" i="5"/>
  <c r="L272" i="5"/>
  <c r="J12" i="5"/>
  <c r="K12" i="5"/>
  <c r="L12" i="5"/>
  <c r="M12" i="5"/>
  <c r="N12" i="5"/>
  <c r="O12" i="5"/>
  <c r="P12" i="5"/>
  <c r="Q12" i="5"/>
  <c r="J13" i="5"/>
  <c r="K13" i="5"/>
  <c r="L13" i="5"/>
  <c r="M13" i="5"/>
  <c r="N13" i="5"/>
  <c r="O13" i="5"/>
  <c r="P13" i="5"/>
  <c r="Q13" i="5"/>
  <c r="J14" i="5"/>
  <c r="K14" i="5"/>
  <c r="L14" i="5"/>
  <c r="M14" i="5"/>
  <c r="N14" i="5"/>
  <c r="O14" i="5"/>
  <c r="P14" i="5"/>
  <c r="Q14" i="5"/>
  <c r="J15" i="5"/>
  <c r="K15" i="5"/>
  <c r="L15" i="5"/>
  <c r="M15" i="5"/>
  <c r="N15" i="5"/>
  <c r="O15" i="5"/>
  <c r="P15" i="5"/>
  <c r="Q15" i="5"/>
  <c r="J16" i="5"/>
  <c r="K16" i="5"/>
  <c r="L16" i="5"/>
  <c r="M16" i="5"/>
  <c r="N16" i="5"/>
  <c r="O16" i="5"/>
  <c r="P16" i="5"/>
  <c r="Q16" i="5"/>
  <c r="J17" i="5"/>
  <c r="K17" i="5"/>
  <c r="L17" i="5"/>
  <c r="M17" i="5"/>
  <c r="N17" i="5"/>
  <c r="O17" i="5"/>
  <c r="P17" i="5"/>
  <c r="Q17" i="5"/>
  <c r="J18" i="5"/>
  <c r="K18" i="5"/>
  <c r="L18" i="5"/>
  <c r="M18" i="5"/>
  <c r="N18" i="5"/>
  <c r="O18" i="5"/>
  <c r="P18" i="5"/>
  <c r="Q18" i="5"/>
  <c r="J19" i="5"/>
  <c r="K19" i="5"/>
  <c r="L19" i="5"/>
  <c r="M19" i="5"/>
  <c r="N19" i="5"/>
  <c r="O19" i="5"/>
  <c r="P19" i="5"/>
  <c r="Q19" i="5"/>
  <c r="J20" i="5"/>
  <c r="K20" i="5"/>
  <c r="L20" i="5"/>
  <c r="M20" i="5"/>
  <c r="N20" i="5"/>
  <c r="O20" i="5"/>
  <c r="P20" i="5"/>
  <c r="Q20" i="5"/>
  <c r="J21" i="5"/>
  <c r="K21" i="5"/>
  <c r="L21" i="5"/>
  <c r="M21" i="5"/>
  <c r="N21" i="5"/>
  <c r="O21" i="5"/>
  <c r="P21" i="5"/>
  <c r="Q21" i="5"/>
  <c r="J22" i="5"/>
  <c r="K22" i="5"/>
  <c r="L22" i="5"/>
  <c r="M22" i="5"/>
  <c r="N22" i="5"/>
  <c r="O22" i="5"/>
  <c r="P22" i="5"/>
  <c r="Q22" i="5"/>
  <c r="J23" i="5"/>
  <c r="K23" i="5"/>
  <c r="L23" i="5"/>
  <c r="M23" i="5"/>
  <c r="N23" i="5"/>
  <c r="O23" i="5"/>
  <c r="P23" i="5"/>
  <c r="Q23" i="5"/>
  <c r="J24" i="5"/>
  <c r="K24" i="5"/>
  <c r="L24" i="5"/>
  <c r="M24" i="5"/>
  <c r="N24" i="5"/>
  <c r="O24" i="5"/>
  <c r="P24" i="5"/>
  <c r="Q24" i="5"/>
  <c r="J25" i="5"/>
  <c r="K25" i="5"/>
  <c r="L25" i="5"/>
  <c r="M25" i="5"/>
  <c r="N25" i="5"/>
  <c r="O25" i="5"/>
  <c r="P25" i="5"/>
  <c r="Q25" i="5"/>
  <c r="J26" i="5"/>
  <c r="K26" i="5"/>
  <c r="L26" i="5"/>
  <c r="M26" i="5"/>
  <c r="N26" i="5"/>
  <c r="O26" i="5"/>
  <c r="P26" i="5"/>
  <c r="Q26" i="5"/>
  <c r="J27" i="5"/>
  <c r="K27" i="5"/>
  <c r="L27" i="5"/>
  <c r="M27" i="5"/>
  <c r="N27" i="5"/>
  <c r="O27" i="5"/>
  <c r="P27" i="5"/>
  <c r="Q27" i="5"/>
  <c r="J28" i="5"/>
  <c r="K28" i="5"/>
  <c r="L28" i="5"/>
  <c r="M28" i="5"/>
  <c r="N28" i="5"/>
  <c r="O28" i="5"/>
  <c r="P28" i="5"/>
  <c r="Q28" i="5"/>
  <c r="J29" i="5"/>
  <c r="K29" i="5"/>
  <c r="L29" i="5"/>
  <c r="M29" i="5"/>
  <c r="N29" i="5"/>
  <c r="O29" i="5"/>
  <c r="P29" i="5"/>
  <c r="Q29" i="5"/>
  <c r="J30" i="5"/>
  <c r="K30" i="5"/>
  <c r="L30" i="5"/>
  <c r="M30" i="5"/>
  <c r="N30" i="5"/>
  <c r="O30" i="5"/>
  <c r="P30" i="5"/>
  <c r="Q30" i="5"/>
  <c r="J31" i="5"/>
  <c r="K31" i="5"/>
  <c r="L31" i="5"/>
  <c r="M31" i="5"/>
  <c r="N31" i="5"/>
  <c r="O31" i="5"/>
  <c r="P31" i="5"/>
  <c r="Q31" i="5"/>
  <c r="J32" i="5"/>
  <c r="K32" i="5"/>
  <c r="L32" i="5"/>
  <c r="M32" i="5"/>
  <c r="N32" i="5"/>
  <c r="O32" i="5"/>
  <c r="P32" i="5"/>
  <c r="Q32" i="5"/>
  <c r="J33" i="5"/>
  <c r="K33" i="5"/>
  <c r="L33" i="5"/>
  <c r="M33" i="5"/>
  <c r="N33" i="5"/>
  <c r="O33" i="5"/>
  <c r="P33" i="5"/>
  <c r="Q33" i="5"/>
  <c r="J34" i="5"/>
  <c r="K34" i="5"/>
  <c r="L34" i="5"/>
  <c r="M34" i="5"/>
  <c r="N34" i="5"/>
  <c r="O34" i="5"/>
  <c r="P34" i="5"/>
  <c r="Q34" i="5"/>
  <c r="J35" i="5"/>
  <c r="K35" i="5"/>
  <c r="L35" i="5"/>
  <c r="M35" i="5"/>
  <c r="N35" i="5"/>
  <c r="O35" i="5"/>
  <c r="P35" i="5"/>
  <c r="Q35" i="5"/>
  <c r="J36" i="5"/>
  <c r="K36" i="5"/>
  <c r="L36" i="5"/>
  <c r="M36" i="5"/>
  <c r="N36" i="5"/>
  <c r="O36" i="5"/>
  <c r="P36" i="5"/>
  <c r="Q36" i="5"/>
  <c r="J37" i="5"/>
  <c r="K37" i="5"/>
  <c r="L37" i="5"/>
  <c r="M37" i="5"/>
  <c r="N37" i="5"/>
  <c r="O37" i="5"/>
  <c r="P37" i="5"/>
  <c r="Q37" i="5"/>
  <c r="J38" i="5"/>
  <c r="K38" i="5"/>
  <c r="L38" i="5"/>
  <c r="M38" i="5"/>
  <c r="N38" i="5"/>
  <c r="O38" i="5"/>
  <c r="P38" i="5"/>
  <c r="Q38" i="5"/>
  <c r="J39" i="5"/>
  <c r="K39" i="5"/>
  <c r="L39" i="5"/>
  <c r="M39" i="5"/>
  <c r="N39" i="5"/>
  <c r="O39" i="5"/>
  <c r="P39" i="5"/>
  <c r="Q39" i="5"/>
  <c r="J40" i="5"/>
  <c r="K40" i="5"/>
  <c r="L40" i="5"/>
  <c r="M40" i="5"/>
  <c r="N40" i="5"/>
  <c r="O40" i="5"/>
  <c r="P40" i="5"/>
  <c r="Q40" i="5"/>
  <c r="J41" i="5"/>
  <c r="K41" i="5"/>
  <c r="L41" i="5"/>
  <c r="M41" i="5"/>
  <c r="N41" i="5"/>
  <c r="O41" i="5"/>
  <c r="P41" i="5"/>
  <c r="Q41" i="5"/>
  <c r="J42" i="5"/>
  <c r="K42" i="5"/>
  <c r="L42" i="5"/>
  <c r="M42" i="5"/>
  <c r="N42" i="5"/>
  <c r="O42" i="5"/>
  <c r="P42" i="5"/>
  <c r="Q42" i="5"/>
  <c r="J43" i="5"/>
  <c r="K43" i="5"/>
  <c r="L43" i="5"/>
  <c r="M43" i="5"/>
  <c r="N43" i="5"/>
  <c r="O43" i="5"/>
  <c r="P43" i="5"/>
  <c r="Q43" i="5"/>
  <c r="J44" i="5"/>
  <c r="K44" i="5"/>
  <c r="L44" i="5"/>
  <c r="M44" i="5"/>
  <c r="N44" i="5"/>
  <c r="O44" i="5"/>
  <c r="P44" i="5"/>
  <c r="Q44" i="5"/>
  <c r="J45" i="5"/>
  <c r="K45" i="5"/>
  <c r="L45" i="5"/>
  <c r="M45" i="5"/>
  <c r="N45" i="5"/>
  <c r="O45" i="5"/>
  <c r="P45" i="5"/>
  <c r="Q45" i="5"/>
  <c r="J46" i="5"/>
  <c r="K46" i="5"/>
  <c r="L46" i="5"/>
  <c r="M46" i="5"/>
  <c r="N46" i="5"/>
  <c r="O46" i="5"/>
  <c r="P46" i="5"/>
  <c r="Q46" i="5"/>
  <c r="J47" i="5"/>
  <c r="K47" i="5"/>
  <c r="L47" i="5"/>
  <c r="M47" i="5"/>
  <c r="N47" i="5"/>
  <c r="O47" i="5"/>
  <c r="P47" i="5"/>
  <c r="Q47" i="5"/>
  <c r="J48" i="5"/>
  <c r="K48" i="5"/>
  <c r="L48" i="5"/>
  <c r="M48" i="5"/>
  <c r="N48" i="5"/>
  <c r="O48" i="5"/>
  <c r="P48" i="5"/>
  <c r="Q48" i="5"/>
  <c r="J49" i="5"/>
  <c r="K49" i="5"/>
  <c r="L49" i="5"/>
  <c r="M49" i="5"/>
  <c r="N49" i="5"/>
  <c r="O49" i="5"/>
  <c r="P49" i="5"/>
  <c r="Q49" i="5"/>
  <c r="J50" i="5"/>
  <c r="K50" i="5"/>
  <c r="L50" i="5"/>
  <c r="M50" i="5"/>
  <c r="N50" i="5"/>
  <c r="O50" i="5"/>
  <c r="P50" i="5"/>
  <c r="Q50" i="5"/>
  <c r="J51" i="5"/>
  <c r="K51" i="5"/>
  <c r="L51" i="5"/>
  <c r="M51" i="5"/>
  <c r="N51" i="5"/>
  <c r="O51" i="5"/>
  <c r="P51" i="5"/>
  <c r="Q51" i="5"/>
  <c r="J52" i="5"/>
  <c r="K52" i="5"/>
  <c r="L52" i="5"/>
  <c r="M52" i="5"/>
  <c r="N52" i="5"/>
  <c r="O52" i="5"/>
  <c r="P52" i="5"/>
  <c r="Q52" i="5"/>
  <c r="J53" i="5"/>
  <c r="K53" i="5"/>
  <c r="L53" i="5"/>
  <c r="M53" i="5"/>
  <c r="N53" i="5"/>
  <c r="O53" i="5"/>
  <c r="P53" i="5"/>
  <c r="Q53" i="5"/>
  <c r="J54" i="5"/>
  <c r="K54" i="5"/>
  <c r="L54" i="5"/>
  <c r="M54" i="5"/>
  <c r="N54" i="5"/>
  <c r="O54" i="5"/>
  <c r="P54" i="5"/>
  <c r="Q54" i="5"/>
  <c r="J55" i="5"/>
  <c r="K55" i="5"/>
  <c r="L55" i="5"/>
  <c r="M55" i="5"/>
  <c r="N55" i="5"/>
  <c r="O55" i="5"/>
  <c r="P55" i="5"/>
  <c r="Q55" i="5"/>
  <c r="J56" i="5"/>
  <c r="K56" i="5"/>
  <c r="L56" i="5"/>
  <c r="M56" i="5"/>
  <c r="N56" i="5"/>
  <c r="O56" i="5"/>
  <c r="P56" i="5"/>
  <c r="Q56" i="5"/>
  <c r="J57" i="5"/>
  <c r="K57" i="5"/>
  <c r="L57" i="5"/>
  <c r="M57" i="5"/>
  <c r="N57" i="5"/>
  <c r="O57" i="5"/>
  <c r="P57" i="5"/>
  <c r="Q57" i="5"/>
  <c r="J58" i="5"/>
  <c r="K58" i="5"/>
  <c r="L58" i="5"/>
  <c r="M58" i="5"/>
  <c r="N58" i="5"/>
  <c r="O58" i="5"/>
  <c r="P58" i="5"/>
  <c r="Q58" i="5"/>
  <c r="J59" i="5"/>
  <c r="K59" i="5"/>
  <c r="L59" i="5"/>
  <c r="M59" i="5"/>
  <c r="N59" i="5"/>
  <c r="O59" i="5"/>
  <c r="P59" i="5"/>
  <c r="Q59" i="5"/>
  <c r="J60" i="5"/>
  <c r="K60" i="5"/>
  <c r="L60" i="5"/>
  <c r="M60" i="5"/>
  <c r="N60" i="5"/>
  <c r="O60" i="5"/>
  <c r="P60" i="5"/>
  <c r="Q60" i="5"/>
  <c r="J61" i="5"/>
  <c r="K61" i="5"/>
  <c r="L61" i="5"/>
  <c r="M61" i="5"/>
  <c r="N61" i="5"/>
  <c r="O61" i="5"/>
  <c r="P61" i="5"/>
  <c r="Q61" i="5"/>
  <c r="J62" i="5"/>
  <c r="K62" i="5"/>
  <c r="L62" i="5"/>
  <c r="M62" i="5"/>
  <c r="N62" i="5"/>
  <c r="O62" i="5"/>
  <c r="P62" i="5"/>
  <c r="Q62" i="5"/>
  <c r="J63" i="5"/>
  <c r="K63" i="5"/>
  <c r="L63" i="5"/>
  <c r="M63" i="5"/>
  <c r="N63" i="5"/>
  <c r="O63" i="5"/>
  <c r="P63" i="5"/>
  <c r="Q63" i="5"/>
  <c r="J64" i="5"/>
  <c r="K64" i="5"/>
  <c r="L64" i="5"/>
  <c r="M64" i="5"/>
  <c r="N64" i="5"/>
  <c r="O64" i="5"/>
  <c r="P64" i="5"/>
  <c r="Q64" i="5"/>
  <c r="J65" i="5"/>
  <c r="K65" i="5"/>
  <c r="L65" i="5"/>
  <c r="M65" i="5"/>
  <c r="N65" i="5"/>
  <c r="O65" i="5"/>
  <c r="P65" i="5"/>
  <c r="Q65" i="5"/>
  <c r="J66" i="5"/>
  <c r="K66" i="5"/>
  <c r="L66" i="5"/>
  <c r="M66" i="5"/>
  <c r="N66" i="5"/>
  <c r="O66" i="5"/>
  <c r="P66" i="5"/>
  <c r="Q66" i="5"/>
  <c r="J67" i="5"/>
  <c r="K67" i="5"/>
  <c r="L67" i="5"/>
  <c r="M67" i="5"/>
  <c r="N67" i="5"/>
  <c r="O67" i="5"/>
  <c r="P67" i="5"/>
  <c r="Q67" i="5"/>
  <c r="J68" i="5"/>
  <c r="K68" i="5"/>
  <c r="L68" i="5"/>
  <c r="M68" i="5"/>
  <c r="N68" i="5"/>
  <c r="O68" i="5"/>
  <c r="P68" i="5"/>
  <c r="Q68" i="5"/>
  <c r="J69" i="5"/>
  <c r="K69" i="5"/>
  <c r="L69" i="5"/>
  <c r="M69" i="5"/>
  <c r="N69" i="5"/>
  <c r="O69" i="5"/>
  <c r="P69" i="5"/>
  <c r="Q69" i="5"/>
  <c r="J70" i="5"/>
  <c r="K70" i="5"/>
  <c r="L70" i="5"/>
  <c r="M70" i="5"/>
  <c r="N70" i="5"/>
  <c r="O70" i="5"/>
  <c r="P70" i="5"/>
  <c r="Q70" i="5"/>
  <c r="J71" i="5"/>
  <c r="K71" i="5"/>
  <c r="L71" i="5"/>
  <c r="M71" i="5"/>
  <c r="N71" i="5"/>
  <c r="O71" i="5"/>
  <c r="P71" i="5"/>
  <c r="Q71" i="5"/>
  <c r="J72" i="5"/>
  <c r="K72" i="5"/>
  <c r="L72" i="5"/>
  <c r="M72" i="5"/>
  <c r="N72" i="5"/>
  <c r="O72" i="5"/>
  <c r="P72" i="5"/>
  <c r="Q72" i="5"/>
  <c r="J73" i="5"/>
  <c r="K73" i="5"/>
  <c r="L73" i="5"/>
  <c r="M73" i="5"/>
  <c r="N73" i="5"/>
  <c r="O73" i="5"/>
  <c r="P73" i="5"/>
  <c r="Q73" i="5"/>
  <c r="J74" i="5"/>
  <c r="K74" i="5"/>
  <c r="L74" i="5"/>
  <c r="M74" i="5"/>
  <c r="N74" i="5"/>
  <c r="O74" i="5"/>
  <c r="P74" i="5"/>
  <c r="Q74" i="5"/>
  <c r="J75" i="5"/>
  <c r="K75" i="5"/>
  <c r="L75" i="5"/>
  <c r="M75" i="5"/>
  <c r="N75" i="5"/>
  <c r="O75" i="5"/>
  <c r="P75" i="5"/>
  <c r="Q75" i="5"/>
  <c r="J76" i="5"/>
  <c r="K76" i="5"/>
  <c r="L76" i="5"/>
  <c r="M76" i="5"/>
  <c r="N76" i="5"/>
  <c r="O76" i="5"/>
  <c r="P76" i="5"/>
  <c r="Q76" i="5"/>
  <c r="J77" i="5"/>
  <c r="K77" i="5"/>
  <c r="L77" i="5"/>
  <c r="M77" i="5"/>
  <c r="N77" i="5"/>
  <c r="O77" i="5"/>
  <c r="P77" i="5"/>
  <c r="Q77" i="5"/>
  <c r="J78" i="5"/>
  <c r="K78" i="5"/>
  <c r="L78" i="5"/>
  <c r="M78" i="5"/>
  <c r="N78" i="5"/>
  <c r="O78" i="5"/>
  <c r="P78" i="5"/>
  <c r="Q78" i="5"/>
  <c r="J79" i="5"/>
  <c r="K79" i="5"/>
  <c r="L79" i="5"/>
  <c r="M79" i="5"/>
  <c r="N79" i="5"/>
  <c r="O79" i="5"/>
  <c r="P79" i="5"/>
  <c r="Q79" i="5"/>
  <c r="J80" i="5"/>
  <c r="K80" i="5"/>
  <c r="L80" i="5"/>
  <c r="M80" i="5"/>
  <c r="N80" i="5"/>
  <c r="O80" i="5"/>
  <c r="P80" i="5"/>
  <c r="Q80" i="5"/>
  <c r="J81" i="5"/>
  <c r="K81" i="5"/>
  <c r="L81" i="5"/>
  <c r="M81" i="5"/>
  <c r="N81" i="5"/>
  <c r="O81" i="5"/>
  <c r="P81" i="5"/>
  <c r="Q81" i="5"/>
  <c r="J82" i="5"/>
  <c r="K82" i="5"/>
  <c r="L82" i="5"/>
  <c r="M82" i="5"/>
  <c r="N82" i="5"/>
  <c r="O82" i="5"/>
  <c r="P82" i="5"/>
  <c r="Q82" i="5"/>
  <c r="J83" i="5"/>
  <c r="K83" i="5"/>
  <c r="L83" i="5"/>
  <c r="M83" i="5"/>
  <c r="N83" i="5"/>
  <c r="O83" i="5"/>
  <c r="P83" i="5"/>
  <c r="Q83" i="5"/>
  <c r="J84" i="5"/>
  <c r="K84" i="5"/>
  <c r="L84" i="5"/>
  <c r="M84" i="5"/>
  <c r="N84" i="5"/>
  <c r="O84" i="5"/>
  <c r="P84" i="5"/>
  <c r="Q84" i="5"/>
  <c r="J85" i="5"/>
  <c r="K85" i="5"/>
  <c r="L85" i="5"/>
  <c r="M85" i="5"/>
  <c r="N85" i="5"/>
  <c r="O85" i="5"/>
  <c r="P85" i="5"/>
  <c r="Q85" i="5"/>
  <c r="J86" i="5"/>
  <c r="K86" i="5"/>
  <c r="L86" i="5"/>
  <c r="M86" i="5"/>
  <c r="N86" i="5"/>
  <c r="O86" i="5"/>
  <c r="P86" i="5"/>
  <c r="Q86" i="5"/>
  <c r="J87" i="5"/>
  <c r="K87" i="5"/>
  <c r="L87" i="5"/>
  <c r="M87" i="5"/>
  <c r="N87" i="5"/>
  <c r="O87" i="5"/>
  <c r="P87" i="5"/>
  <c r="Q87" i="5"/>
  <c r="J88" i="5"/>
  <c r="K88" i="5"/>
  <c r="L88" i="5"/>
  <c r="M88" i="5"/>
  <c r="N88" i="5"/>
  <c r="O88" i="5"/>
  <c r="P88" i="5"/>
  <c r="Q88" i="5"/>
  <c r="J89" i="5"/>
  <c r="K89" i="5"/>
  <c r="L89" i="5"/>
  <c r="M89" i="5"/>
  <c r="N89" i="5"/>
  <c r="O89" i="5"/>
  <c r="P89" i="5"/>
  <c r="Q89" i="5"/>
  <c r="J90" i="5"/>
  <c r="K90" i="5"/>
  <c r="L90" i="5"/>
  <c r="M90" i="5"/>
  <c r="N90" i="5"/>
  <c r="O90" i="5"/>
  <c r="P90" i="5"/>
  <c r="Q90" i="5"/>
  <c r="J91" i="5"/>
  <c r="K91" i="5"/>
  <c r="L91" i="5"/>
  <c r="M91" i="5"/>
  <c r="N91" i="5"/>
  <c r="O91" i="5"/>
  <c r="P91" i="5"/>
  <c r="Q91" i="5"/>
  <c r="J92" i="5"/>
  <c r="K92" i="5"/>
  <c r="L92" i="5"/>
  <c r="M92" i="5"/>
  <c r="N92" i="5"/>
  <c r="O92" i="5"/>
  <c r="P92" i="5"/>
  <c r="Q92" i="5"/>
  <c r="J93" i="5"/>
  <c r="K93" i="5"/>
  <c r="L93" i="5"/>
  <c r="M93" i="5"/>
  <c r="N93" i="5"/>
  <c r="O93" i="5"/>
  <c r="P93" i="5"/>
  <c r="Q93" i="5"/>
  <c r="J94" i="5"/>
  <c r="K94" i="5"/>
  <c r="L94" i="5"/>
  <c r="M94" i="5"/>
  <c r="N94" i="5"/>
  <c r="O94" i="5"/>
  <c r="P94" i="5"/>
  <c r="Q94" i="5"/>
  <c r="J95" i="5"/>
  <c r="K95" i="5"/>
  <c r="L95" i="5"/>
  <c r="M95" i="5"/>
  <c r="N95" i="5"/>
  <c r="O95" i="5"/>
  <c r="P95" i="5"/>
  <c r="Q95" i="5"/>
  <c r="J96" i="5"/>
  <c r="K96" i="5"/>
  <c r="L96" i="5"/>
  <c r="M96" i="5"/>
  <c r="N96" i="5"/>
  <c r="O96" i="5"/>
  <c r="P96" i="5"/>
  <c r="Q96" i="5"/>
  <c r="J97" i="5"/>
  <c r="K97" i="5"/>
  <c r="L97" i="5"/>
  <c r="M97" i="5"/>
  <c r="N97" i="5"/>
  <c r="O97" i="5"/>
  <c r="P97" i="5"/>
  <c r="Q97" i="5"/>
  <c r="J98" i="5"/>
  <c r="K98" i="5"/>
  <c r="L98" i="5"/>
  <c r="M98" i="5"/>
  <c r="N98" i="5"/>
  <c r="O98" i="5"/>
  <c r="P98" i="5"/>
  <c r="Q98" i="5"/>
  <c r="J99" i="5"/>
  <c r="K99" i="5"/>
  <c r="L99" i="5"/>
  <c r="M99" i="5"/>
  <c r="N99" i="5"/>
  <c r="O99" i="5"/>
  <c r="P99" i="5"/>
  <c r="Q99" i="5"/>
  <c r="J100" i="5"/>
  <c r="K100" i="5"/>
  <c r="L100" i="5"/>
  <c r="M100" i="5"/>
  <c r="N100" i="5"/>
  <c r="O100" i="5"/>
  <c r="P100" i="5"/>
  <c r="Q100" i="5"/>
  <c r="J101" i="5"/>
  <c r="K101" i="5"/>
  <c r="L101" i="5"/>
  <c r="M101" i="5"/>
  <c r="N101" i="5"/>
  <c r="O101" i="5"/>
  <c r="P101" i="5"/>
  <c r="Q101" i="5"/>
  <c r="J102" i="5"/>
  <c r="K102" i="5"/>
  <c r="L102" i="5"/>
  <c r="M102" i="5"/>
  <c r="N102" i="5"/>
  <c r="O102" i="5"/>
  <c r="P102" i="5"/>
  <c r="Q102" i="5"/>
  <c r="J103" i="5"/>
  <c r="K103" i="5"/>
  <c r="L103" i="5"/>
  <c r="M103" i="5"/>
  <c r="N103" i="5"/>
  <c r="O103" i="5"/>
  <c r="P103" i="5"/>
  <c r="Q103" i="5"/>
  <c r="J104" i="5"/>
  <c r="K104" i="5"/>
  <c r="L104" i="5"/>
  <c r="M104" i="5"/>
  <c r="N104" i="5"/>
  <c r="O104" i="5"/>
  <c r="P104" i="5"/>
  <c r="Q104" i="5"/>
  <c r="J105" i="5"/>
  <c r="K105" i="5"/>
  <c r="L105" i="5"/>
  <c r="M105" i="5"/>
  <c r="N105" i="5"/>
  <c r="O105" i="5"/>
  <c r="P105" i="5"/>
  <c r="Q105" i="5"/>
  <c r="J106" i="5"/>
  <c r="K106" i="5"/>
  <c r="L106" i="5"/>
  <c r="M106" i="5"/>
  <c r="N106" i="5"/>
  <c r="O106" i="5"/>
  <c r="P106" i="5"/>
  <c r="Q106" i="5"/>
  <c r="J107" i="5"/>
  <c r="K107" i="5"/>
  <c r="L107" i="5"/>
  <c r="M107" i="5"/>
  <c r="N107" i="5"/>
  <c r="O107" i="5"/>
  <c r="P107" i="5"/>
  <c r="Q107" i="5"/>
  <c r="J108" i="5"/>
  <c r="K108" i="5"/>
  <c r="L108" i="5"/>
  <c r="M108" i="5"/>
  <c r="N108" i="5"/>
  <c r="O108" i="5"/>
  <c r="P108" i="5"/>
  <c r="Q108" i="5"/>
  <c r="J109" i="5"/>
  <c r="K109" i="5"/>
  <c r="L109" i="5"/>
  <c r="M109" i="5"/>
  <c r="N109" i="5"/>
  <c r="O109" i="5"/>
  <c r="P109" i="5"/>
  <c r="Q109" i="5"/>
  <c r="J110" i="5"/>
  <c r="K110" i="5"/>
  <c r="L110" i="5"/>
  <c r="M110" i="5"/>
  <c r="N110" i="5"/>
  <c r="O110" i="5"/>
  <c r="P110" i="5"/>
  <c r="Q110" i="5"/>
  <c r="J111" i="5"/>
  <c r="K111" i="5"/>
  <c r="L111" i="5"/>
  <c r="M111" i="5"/>
  <c r="N111" i="5"/>
  <c r="O111" i="5"/>
  <c r="P111" i="5"/>
  <c r="Q111" i="5"/>
  <c r="J112" i="5"/>
  <c r="K112" i="5"/>
  <c r="L112" i="5"/>
  <c r="M112" i="5"/>
  <c r="N112" i="5"/>
  <c r="O112" i="5"/>
  <c r="P112" i="5"/>
  <c r="Q112" i="5"/>
  <c r="J113" i="5"/>
  <c r="K113" i="5"/>
  <c r="L113" i="5"/>
  <c r="M113" i="5"/>
  <c r="N113" i="5"/>
  <c r="O113" i="5"/>
  <c r="P113" i="5"/>
  <c r="Q113" i="5"/>
  <c r="J114" i="5"/>
  <c r="K114" i="5"/>
  <c r="L114" i="5"/>
  <c r="M114" i="5"/>
  <c r="N114" i="5"/>
  <c r="O114" i="5"/>
  <c r="P114" i="5"/>
  <c r="Q114" i="5"/>
  <c r="J115" i="5"/>
  <c r="K115" i="5"/>
  <c r="L115" i="5"/>
  <c r="M115" i="5"/>
  <c r="N115" i="5"/>
  <c r="O115" i="5"/>
  <c r="P115" i="5"/>
  <c r="Q115" i="5"/>
  <c r="J116" i="5"/>
  <c r="K116" i="5"/>
  <c r="L116" i="5"/>
  <c r="M116" i="5"/>
  <c r="N116" i="5"/>
  <c r="O116" i="5"/>
  <c r="P116" i="5"/>
  <c r="Q116" i="5"/>
  <c r="J117" i="5"/>
  <c r="K117" i="5"/>
  <c r="L117" i="5"/>
  <c r="M117" i="5"/>
  <c r="N117" i="5"/>
  <c r="O117" i="5"/>
  <c r="P117" i="5"/>
  <c r="Q117" i="5"/>
  <c r="J118" i="5"/>
  <c r="K118" i="5"/>
  <c r="L118" i="5"/>
  <c r="M118" i="5"/>
  <c r="N118" i="5"/>
  <c r="O118" i="5"/>
  <c r="P118" i="5"/>
  <c r="Q118" i="5"/>
  <c r="J119" i="5"/>
  <c r="K119" i="5"/>
  <c r="L119" i="5"/>
  <c r="M119" i="5"/>
  <c r="N119" i="5"/>
  <c r="O119" i="5"/>
  <c r="P119" i="5"/>
  <c r="Q119" i="5"/>
  <c r="J120" i="5"/>
  <c r="K120" i="5"/>
  <c r="L120" i="5"/>
  <c r="M120" i="5"/>
  <c r="N120" i="5"/>
  <c r="O120" i="5"/>
  <c r="P120" i="5"/>
  <c r="Q120" i="5"/>
  <c r="J121" i="5"/>
  <c r="K121" i="5"/>
  <c r="L121" i="5"/>
  <c r="M121" i="5"/>
  <c r="N121" i="5"/>
  <c r="O121" i="5"/>
  <c r="P121" i="5"/>
  <c r="Q121" i="5"/>
  <c r="J122" i="5"/>
  <c r="K122" i="5"/>
  <c r="L122" i="5"/>
  <c r="M122" i="5"/>
  <c r="N122" i="5"/>
  <c r="O122" i="5"/>
  <c r="P122" i="5"/>
  <c r="Q122" i="5"/>
  <c r="J123" i="5"/>
  <c r="K123" i="5"/>
  <c r="L123" i="5"/>
  <c r="M123" i="5"/>
  <c r="N123" i="5"/>
  <c r="O123" i="5"/>
  <c r="P123" i="5"/>
  <c r="Q123" i="5"/>
  <c r="J124" i="5"/>
  <c r="K124" i="5"/>
  <c r="L124" i="5"/>
  <c r="M124" i="5"/>
  <c r="N124" i="5"/>
  <c r="O124" i="5"/>
  <c r="P124" i="5"/>
  <c r="Q124" i="5"/>
  <c r="J125" i="5"/>
  <c r="K125" i="5"/>
  <c r="L125" i="5"/>
  <c r="M125" i="5"/>
  <c r="N125" i="5"/>
  <c r="O125" i="5"/>
  <c r="P125" i="5"/>
  <c r="Q125" i="5"/>
  <c r="J126" i="5"/>
  <c r="K126" i="5"/>
  <c r="L126" i="5"/>
  <c r="M126" i="5"/>
  <c r="N126" i="5"/>
  <c r="O126" i="5"/>
  <c r="P126" i="5"/>
  <c r="Q126" i="5"/>
  <c r="J127" i="5"/>
  <c r="K127" i="5"/>
  <c r="L127" i="5"/>
  <c r="M127" i="5"/>
  <c r="N127" i="5"/>
  <c r="O127" i="5"/>
  <c r="P127" i="5"/>
  <c r="Q127" i="5"/>
  <c r="J128" i="5"/>
  <c r="K128" i="5"/>
  <c r="L128" i="5"/>
  <c r="M128" i="5"/>
  <c r="N128" i="5"/>
  <c r="O128" i="5"/>
  <c r="P128" i="5"/>
  <c r="Q128" i="5"/>
  <c r="J129" i="5"/>
  <c r="K129" i="5"/>
  <c r="L129" i="5"/>
  <c r="M129" i="5"/>
  <c r="N129" i="5"/>
  <c r="O129" i="5"/>
  <c r="P129" i="5"/>
  <c r="Q129" i="5"/>
  <c r="J130" i="5"/>
  <c r="K130" i="5"/>
  <c r="L130" i="5"/>
  <c r="M130" i="5"/>
  <c r="N130" i="5"/>
  <c r="O130" i="5"/>
  <c r="P130" i="5"/>
  <c r="Q130" i="5"/>
  <c r="J131" i="5"/>
  <c r="K131" i="5"/>
  <c r="L131" i="5"/>
  <c r="M131" i="5"/>
  <c r="N131" i="5"/>
  <c r="O131" i="5"/>
  <c r="P131" i="5"/>
  <c r="Q131" i="5"/>
  <c r="J132" i="5"/>
  <c r="K132" i="5"/>
  <c r="L132" i="5"/>
  <c r="M132" i="5"/>
  <c r="N132" i="5"/>
  <c r="O132" i="5"/>
  <c r="P132" i="5"/>
  <c r="Q132" i="5"/>
  <c r="J133" i="5"/>
  <c r="K133" i="5"/>
  <c r="L133" i="5"/>
  <c r="M133" i="5"/>
  <c r="N133" i="5"/>
  <c r="O133" i="5"/>
  <c r="P133" i="5"/>
  <c r="Q133" i="5"/>
  <c r="J134" i="5"/>
  <c r="K134" i="5"/>
  <c r="L134" i="5"/>
  <c r="M134" i="5"/>
  <c r="N134" i="5"/>
  <c r="O134" i="5"/>
  <c r="P134" i="5"/>
  <c r="Q134" i="5"/>
  <c r="J135" i="5"/>
  <c r="K135" i="5"/>
  <c r="L135" i="5"/>
  <c r="M135" i="5"/>
  <c r="N135" i="5"/>
  <c r="O135" i="5"/>
  <c r="P135" i="5"/>
  <c r="Q135" i="5"/>
  <c r="J136" i="5"/>
  <c r="K136" i="5"/>
  <c r="L136" i="5"/>
  <c r="M136" i="5"/>
  <c r="N136" i="5"/>
  <c r="O136" i="5"/>
  <c r="P136" i="5"/>
  <c r="Q136" i="5"/>
  <c r="J137" i="5"/>
  <c r="K137" i="5"/>
  <c r="L137" i="5"/>
  <c r="M137" i="5"/>
  <c r="N137" i="5"/>
  <c r="O137" i="5"/>
  <c r="P137" i="5"/>
  <c r="Q137" i="5"/>
  <c r="J138" i="5"/>
  <c r="K138" i="5"/>
  <c r="L138" i="5"/>
  <c r="M138" i="5"/>
  <c r="N138" i="5"/>
  <c r="O138" i="5"/>
  <c r="P138" i="5"/>
  <c r="Q138" i="5"/>
  <c r="J139" i="5"/>
  <c r="K139" i="5"/>
  <c r="L139" i="5"/>
  <c r="M139" i="5"/>
  <c r="N139" i="5"/>
  <c r="O139" i="5"/>
  <c r="P139" i="5"/>
  <c r="Q139" i="5"/>
  <c r="J140" i="5"/>
  <c r="K140" i="5"/>
  <c r="L140" i="5"/>
  <c r="M140" i="5"/>
  <c r="N140" i="5"/>
  <c r="O140" i="5"/>
  <c r="P140" i="5"/>
  <c r="Q140" i="5"/>
  <c r="J141" i="5"/>
  <c r="K141" i="5"/>
  <c r="L141" i="5"/>
  <c r="M141" i="5"/>
  <c r="N141" i="5"/>
  <c r="O141" i="5"/>
  <c r="P141" i="5"/>
  <c r="Q141" i="5"/>
  <c r="J142" i="5"/>
  <c r="K142" i="5"/>
  <c r="L142" i="5"/>
  <c r="M142" i="5"/>
  <c r="N142" i="5"/>
  <c r="O142" i="5"/>
  <c r="P142" i="5"/>
  <c r="Q142" i="5"/>
  <c r="J143" i="5"/>
  <c r="K143" i="5"/>
  <c r="L143" i="5"/>
  <c r="M143" i="5"/>
  <c r="N143" i="5"/>
  <c r="O143" i="5"/>
  <c r="P143" i="5"/>
  <c r="Q143" i="5"/>
  <c r="J144" i="5"/>
  <c r="K144" i="5"/>
  <c r="L144" i="5"/>
  <c r="M144" i="5"/>
  <c r="N144" i="5"/>
  <c r="O144" i="5"/>
  <c r="P144" i="5"/>
  <c r="Q144" i="5"/>
  <c r="J145" i="5"/>
  <c r="K145" i="5"/>
  <c r="L145" i="5"/>
  <c r="M145" i="5"/>
  <c r="N145" i="5"/>
  <c r="O145" i="5"/>
  <c r="P145" i="5"/>
  <c r="Q145" i="5"/>
  <c r="J146" i="5"/>
  <c r="K146" i="5"/>
  <c r="L146" i="5"/>
  <c r="M146" i="5"/>
  <c r="N146" i="5"/>
  <c r="O146" i="5"/>
  <c r="P146" i="5"/>
  <c r="Q146" i="5"/>
  <c r="J147" i="5"/>
  <c r="K147" i="5"/>
  <c r="L147" i="5"/>
  <c r="M147" i="5"/>
  <c r="N147" i="5"/>
  <c r="O147" i="5"/>
  <c r="P147" i="5"/>
  <c r="Q147" i="5"/>
  <c r="J148" i="5"/>
  <c r="K148" i="5"/>
  <c r="L148" i="5"/>
  <c r="M148" i="5"/>
  <c r="N148" i="5"/>
  <c r="O148" i="5"/>
  <c r="P148" i="5"/>
  <c r="Q148" i="5"/>
  <c r="J149" i="5"/>
  <c r="K149" i="5"/>
  <c r="L149" i="5"/>
  <c r="M149" i="5"/>
  <c r="N149" i="5"/>
  <c r="O149" i="5"/>
  <c r="P149" i="5"/>
  <c r="Q149" i="5"/>
  <c r="J150" i="5"/>
  <c r="K150" i="5"/>
  <c r="L150" i="5"/>
  <c r="M150" i="5"/>
  <c r="N150" i="5"/>
  <c r="O150" i="5"/>
  <c r="P150" i="5"/>
  <c r="Q150" i="5"/>
  <c r="J151" i="5"/>
  <c r="K151" i="5"/>
  <c r="L151" i="5"/>
  <c r="M151" i="5"/>
  <c r="N151" i="5"/>
  <c r="O151" i="5"/>
  <c r="P151" i="5"/>
  <c r="Q151" i="5"/>
  <c r="J152" i="5"/>
  <c r="K152" i="5"/>
  <c r="L152" i="5"/>
  <c r="M152" i="5"/>
  <c r="N152" i="5"/>
  <c r="O152" i="5"/>
  <c r="P152" i="5"/>
  <c r="Q152" i="5"/>
  <c r="J153" i="5"/>
  <c r="K153" i="5"/>
  <c r="L153" i="5"/>
  <c r="M153" i="5"/>
  <c r="N153" i="5"/>
  <c r="O153" i="5"/>
  <c r="P153" i="5"/>
  <c r="Q153" i="5"/>
  <c r="J154" i="5"/>
  <c r="K154" i="5"/>
  <c r="L154" i="5"/>
  <c r="M154" i="5"/>
  <c r="N154" i="5"/>
  <c r="O154" i="5"/>
  <c r="P154" i="5"/>
  <c r="Q154" i="5"/>
  <c r="J155" i="5"/>
  <c r="K155" i="5"/>
  <c r="L155" i="5"/>
  <c r="M155" i="5"/>
  <c r="N155" i="5"/>
  <c r="O155" i="5"/>
  <c r="P155" i="5"/>
  <c r="Q155" i="5"/>
  <c r="J156" i="5"/>
  <c r="K156" i="5"/>
  <c r="L156" i="5"/>
  <c r="M156" i="5"/>
  <c r="N156" i="5"/>
  <c r="O156" i="5"/>
  <c r="P156" i="5"/>
  <c r="Q156" i="5"/>
  <c r="J157" i="5"/>
  <c r="K157" i="5"/>
  <c r="L157" i="5"/>
  <c r="M157" i="5"/>
  <c r="N157" i="5"/>
  <c r="O157" i="5"/>
  <c r="P157" i="5"/>
  <c r="Q157" i="5"/>
  <c r="J158" i="5"/>
  <c r="K158" i="5"/>
  <c r="L158" i="5"/>
  <c r="M158" i="5"/>
  <c r="N158" i="5"/>
  <c r="O158" i="5"/>
  <c r="P158" i="5"/>
  <c r="Q158" i="5"/>
  <c r="J159" i="5"/>
  <c r="K159" i="5"/>
  <c r="L159" i="5"/>
  <c r="M159" i="5"/>
  <c r="N159" i="5"/>
  <c r="O159" i="5"/>
  <c r="P159" i="5"/>
  <c r="Q159" i="5"/>
  <c r="J160" i="5"/>
  <c r="K160" i="5"/>
  <c r="L160" i="5"/>
  <c r="M160" i="5"/>
  <c r="N160" i="5"/>
  <c r="O160" i="5"/>
  <c r="P160" i="5"/>
  <c r="Q160" i="5"/>
  <c r="J161" i="5"/>
  <c r="K161" i="5"/>
  <c r="L161" i="5"/>
  <c r="M161" i="5"/>
  <c r="N161" i="5"/>
  <c r="O161" i="5"/>
  <c r="P161" i="5"/>
  <c r="Q161" i="5"/>
  <c r="J162" i="5"/>
  <c r="K162" i="5"/>
  <c r="L162" i="5"/>
  <c r="M162" i="5"/>
  <c r="N162" i="5"/>
  <c r="O162" i="5"/>
  <c r="P162" i="5"/>
  <c r="Q162" i="5"/>
  <c r="J163" i="5"/>
  <c r="K163" i="5"/>
  <c r="L163" i="5"/>
  <c r="M163" i="5"/>
  <c r="N163" i="5"/>
  <c r="O163" i="5"/>
  <c r="P163" i="5"/>
  <c r="Q163" i="5"/>
  <c r="J164" i="5"/>
  <c r="K164" i="5"/>
  <c r="L164" i="5"/>
  <c r="M164" i="5"/>
  <c r="N164" i="5"/>
  <c r="O164" i="5"/>
  <c r="P164" i="5"/>
  <c r="Q164" i="5"/>
  <c r="J165" i="5"/>
  <c r="K165" i="5"/>
  <c r="L165" i="5"/>
  <c r="M165" i="5"/>
  <c r="N165" i="5"/>
  <c r="O165" i="5"/>
  <c r="P165" i="5"/>
  <c r="Q165" i="5"/>
  <c r="J166" i="5"/>
  <c r="K166" i="5"/>
  <c r="L166" i="5"/>
  <c r="M166" i="5"/>
  <c r="N166" i="5"/>
  <c r="O166" i="5"/>
  <c r="P166" i="5"/>
  <c r="Q166" i="5"/>
  <c r="J167" i="5"/>
  <c r="K167" i="5"/>
  <c r="L167" i="5"/>
  <c r="M167" i="5"/>
  <c r="N167" i="5"/>
  <c r="O167" i="5"/>
  <c r="P167" i="5"/>
  <c r="Q167" i="5"/>
  <c r="J168" i="5"/>
  <c r="K168" i="5"/>
  <c r="L168" i="5"/>
  <c r="M168" i="5"/>
  <c r="N168" i="5"/>
  <c r="O168" i="5"/>
  <c r="P168" i="5"/>
  <c r="Q168" i="5"/>
  <c r="J169" i="5"/>
  <c r="K169" i="5"/>
  <c r="L169" i="5"/>
  <c r="M169" i="5"/>
  <c r="N169" i="5"/>
  <c r="O169" i="5"/>
  <c r="P169" i="5"/>
  <c r="Q169" i="5"/>
  <c r="J170" i="5"/>
  <c r="K170" i="5"/>
  <c r="L170" i="5"/>
  <c r="M170" i="5"/>
  <c r="N170" i="5"/>
  <c r="O170" i="5"/>
  <c r="P170" i="5"/>
  <c r="Q170" i="5"/>
  <c r="J171" i="5"/>
  <c r="K171" i="5"/>
  <c r="L171" i="5"/>
  <c r="M171" i="5"/>
  <c r="N171" i="5"/>
  <c r="O171" i="5"/>
  <c r="P171" i="5"/>
  <c r="Q171" i="5"/>
  <c r="J172" i="5"/>
  <c r="K172" i="5"/>
  <c r="L172" i="5"/>
  <c r="M172" i="5"/>
  <c r="N172" i="5"/>
  <c r="O172" i="5"/>
  <c r="P172" i="5"/>
  <c r="Q172" i="5"/>
  <c r="J173" i="5"/>
  <c r="K173" i="5"/>
  <c r="L173" i="5"/>
  <c r="M173" i="5"/>
  <c r="N173" i="5"/>
  <c r="O173" i="5"/>
  <c r="P173" i="5"/>
  <c r="Q173" i="5"/>
  <c r="J174" i="5"/>
  <c r="K174" i="5"/>
  <c r="L174" i="5"/>
  <c r="M174" i="5"/>
  <c r="N174" i="5"/>
  <c r="O174" i="5"/>
  <c r="P174" i="5"/>
  <c r="Q174" i="5"/>
  <c r="J175" i="5"/>
  <c r="K175" i="5"/>
  <c r="L175" i="5"/>
  <c r="M175" i="5"/>
  <c r="N175" i="5"/>
  <c r="O175" i="5"/>
  <c r="P175" i="5"/>
  <c r="Q175" i="5"/>
  <c r="J176" i="5"/>
  <c r="K176" i="5"/>
  <c r="L176" i="5"/>
  <c r="M176" i="5"/>
  <c r="N176" i="5"/>
  <c r="O176" i="5"/>
  <c r="P176" i="5"/>
  <c r="Q176" i="5"/>
  <c r="J177" i="5"/>
  <c r="K177" i="5"/>
  <c r="L177" i="5"/>
  <c r="M177" i="5"/>
  <c r="N177" i="5"/>
  <c r="O177" i="5"/>
  <c r="P177" i="5"/>
  <c r="Q177" i="5"/>
  <c r="J178" i="5"/>
  <c r="K178" i="5"/>
  <c r="L178" i="5"/>
  <c r="M178" i="5"/>
  <c r="N178" i="5"/>
  <c r="O178" i="5"/>
  <c r="P178" i="5"/>
  <c r="Q178" i="5"/>
  <c r="J179" i="5"/>
  <c r="K179" i="5"/>
  <c r="L179" i="5"/>
  <c r="M179" i="5"/>
  <c r="N179" i="5"/>
  <c r="O179" i="5"/>
  <c r="P179" i="5"/>
  <c r="Q179" i="5"/>
  <c r="J180" i="5"/>
  <c r="K180" i="5"/>
  <c r="L180" i="5"/>
  <c r="M180" i="5"/>
  <c r="N180" i="5"/>
  <c r="O180" i="5"/>
  <c r="P180" i="5"/>
  <c r="Q180" i="5"/>
  <c r="J181" i="5"/>
  <c r="K181" i="5"/>
  <c r="L181" i="5"/>
  <c r="M181" i="5"/>
  <c r="N181" i="5"/>
  <c r="O181" i="5"/>
  <c r="P181" i="5"/>
  <c r="Q181" i="5"/>
  <c r="J182" i="5"/>
  <c r="K182" i="5"/>
  <c r="L182" i="5"/>
  <c r="M182" i="5"/>
  <c r="N182" i="5"/>
  <c r="O182" i="5"/>
  <c r="P182" i="5"/>
  <c r="Q182" i="5"/>
  <c r="J183" i="5"/>
  <c r="K183" i="5"/>
  <c r="L183" i="5"/>
  <c r="M183" i="5"/>
  <c r="N183" i="5"/>
  <c r="O183" i="5"/>
  <c r="P183" i="5"/>
  <c r="Q183" i="5"/>
  <c r="J184" i="5"/>
  <c r="K184" i="5"/>
  <c r="L184" i="5"/>
  <c r="M184" i="5"/>
  <c r="N184" i="5"/>
  <c r="O184" i="5"/>
  <c r="P184" i="5"/>
  <c r="Q184" i="5"/>
  <c r="J185" i="5"/>
  <c r="K185" i="5"/>
  <c r="L185" i="5"/>
  <c r="M185" i="5"/>
  <c r="N185" i="5"/>
  <c r="O185" i="5"/>
  <c r="P185" i="5"/>
  <c r="Q185" i="5"/>
  <c r="J186" i="5"/>
  <c r="K186" i="5"/>
  <c r="L186" i="5"/>
  <c r="M186" i="5"/>
  <c r="N186" i="5"/>
  <c r="O186" i="5"/>
  <c r="P186" i="5"/>
  <c r="Q186" i="5"/>
  <c r="J187" i="5"/>
  <c r="K187" i="5"/>
  <c r="L187" i="5"/>
  <c r="M187" i="5"/>
  <c r="N187" i="5"/>
  <c r="O187" i="5"/>
  <c r="P187" i="5"/>
  <c r="Q187" i="5"/>
  <c r="J188" i="5"/>
  <c r="K188" i="5"/>
  <c r="L188" i="5"/>
  <c r="M188" i="5"/>
  <c r="O188" i="5"/>
  <c r="Q188" i="5"/>
  <c r="J189" i="5"/>
  <c r="K189" i="5"/>
  <c r="M189" i="5"/>
  <c r="N189" i="5"/>
  <c r="O189" i="5"/>
  <c r="Q189" i="5"/>
  <c r="J190" i="5"/>
  <c r="K190" i="5"/>
  <c r="L190" i="5"/>
  <c r="M190" i="5"/>
  <c r="N190" i="5"/>
  <c r="O190" i="5"/>
  <c r="Q190" i="5"/>
  <c r="K191" i="5"/>
  <c r="M191" i="5"/>
  <c r="N191" i="5"/>
  <c r="O191" i="5"/>
  <c r="Q191" i="5"/>
  <c r="J192" i="5"/>
  <c r="K192" i="5"/>
  <c r="L192" i="5"/>
  <c r="M192" i="5"/>
  <c r="N192" i="5"/>
  <c r="O192" i="5"/>
  <c r="Q192" i="5"/>
  <c r="J193" i="5"/>
  <c r="K193" i="5"/>
  <c r="M193" i="5"/>
  <c r="O193" i="5"/>
  <c r="Q193" i="5"/>
  <c r="J194" i="5"/>
  <c r="K194" i="5"/>
  <c r="L194" i="5"/>
  <c r="M194" i="5"/>
  <c r="N194" i="5"/>
  <c r="O194" i="5"/>
  <c r="Q194" i="5"/>
  <c r="J195" i="5"/>
  <c r="K195" i="5"/>
  <c r="M195" i="5"/>
  <c r="N195" i="5"/>
  <c r="O195" i="5"/>
  <c r="Q195" i="5"/>
  <c r="K196" i="5"/>
  <c r="M196" i="5"/>
  <c r="O196" i="5"/>
  <c r="Q196" i="5"/>
  <c r="J197" i="5"/>
  <c r="K197" i="5"/>
  <c r="M197" i="5"/>
  <c r="O197" i="5"/>
  <c r="Q197" i="5"/>
  <c r="J198" i="5"/>
  <c r="K198" i="5"/>
  <c r="M198" i="5"/>
  <c r="O198" i="5"/>
  <c r="Q198" i="5"/>
  <c r="J199" i="5"/>
  <c r="K199" i="5"/>
  <c r="L199" i="5"/>
  <c r="M199" i="5"/>
  <c r="N199" i="5"/>
  <c r="O199" i="5"/>
  <c r="P199" i="5"/>
  <c r="Q199" i="5"/>
  <c r="J200" i="5"/>
  <c r="K200" i="5"/>
  <c r="L200" i="5"/>
  <c r="M200" i="5"/>
  <c r="N200" i="5"/>
  <c r="O200" i="5"/>
  <c r="P200" i="5"/>
  <c r="Q200" i="5"/>
  <c r="J201" i="5"/>
  <c r="K201" i="5"/>
  <c r="L201" i="5"/>
  <c r="M201" i="5"/>
  <c r="N201" i="5"/>
  <c r="O201" i="5"/>
  <c r="P201" i="5"/>
  <c r="Q201" i="5"/>
  <c r="J202" i="5"/>
  <c r="K202" i="5"/>
  <c r="L202" i="5"/>
  <c r="M202" i="5"/>
  <c r="N202" i="5"/>
  <c r="O202" i="5"/>
  <c r="P202" i="5"/>
  <c r="Q202" i="5"/>
  <c r="J203" i="5"/>
  <c r="K203" i="5"/>
  <c r="L203" i="5"/>
  <c r="M203" i="5"/>
  <c r="N203" i="5"/>
  <c r="O203" i="5"/>
  <c r="P203" i="5"/>
  <c r="Q203" i="5"/>
  <c r="J204" i="5"/>
  <c r="K204" i="5"/>
  <c r="L204" i="5"/>
  <c r="M204" i="5"/>
  <c r="N204" i="5"/>
  <c r="O204" i="5"/>
  <c r="P204" i="5"/>
  <c r="Q204" i="5"/>
  <c r="J205" i="5"/>
  <c r="K205" i="5"/>
  <c r="L205" i="5"/>
  <c r="M205" i="5"/>
  <c r="N205" i="5"/>
  <c r="O205" i="5"/>
  <c r="P205" i="5"/>
  <c r="Q205" i="5"/>
  <c r="J206" i="5"/>
  <c r="K206" i="5"/>
  <c r="L206" i="5"/>
  <c r="M206" i="5"/>
  <c r="N206" i="5"/>
  <c r="O206" i="5"/>
  <c r="P206" i="5"/>
  <c r="Q206" i="5"/>
  <c r="J207" i="5"/>
  <c r="K207" i="5"/>
  <c r="L207" i="5"/>
  <c r="M207" i="5"/>
  <c r="N207" i="5"/>
  <c r="O207" i="5"/>
  <c r="P207" i="5"/>
  <c r="Q207" i="5"/>
  <c r="J208" i="5"/>
  <c r="K208" i="5"/>
  <c r="L208" i="5"/>
  <c r="M208" i="5"/>
  <c r="N208" i="5"/>
  <c r="O208" i="5"/>
  <c r="P208" i="5"/>
  <c r="Q208" i="5"/>
  <c r="J209" i="5"/>
  <c r="K209" i="5"/>
  <c r="L209" i="5"/>
  <c r="M209" i="5"/>
  <c r="N209" i="5"/>
  <c r="O209" i="5"/>
  <c r="P209" i="5"/>
  <c r="Q209" i="5"/>
  <c r="J210" i="5"/>
  <c r="K210" i="5"/>
  <c r="L210" i="5"/>
  <c r="M210" i="5"/>
  <c r="N210" i="5"/>
  <c r="O210" i="5"/>
  <c r="P210" i="5"/>
  <c r="Q210" i="5"/>
  <c r="J211" i="5"/>
  <c r="K211" i="5"/>
  <c r="L211" i="5"/>
  <c r="M211" i="5"/>
  <c r="N211" i="5"/>
  <c r="O211" i="5"/>
  <c r="P211" i="5"/>
  <c r="Q211" i="5"/>
  <c r="J212" i="5"/>
  <c r="K212" i="5"/>
  <c r="L212" i="5"/>
  <c r="M212" i="5"/>
  <c r="N212" i="5"/>
  <c r="O212" i="5"/>
  <c r="P212" i="5"/>
  <c r="Q212" i="5"/>
  <c r="J213" i="5"/>
  <c r="K213" i="5"/>
  <c r="L213" i="5"/>
  <c r="M213" i="5"/>
  <c r="N213" i="5"/>
  <c r="O213" i="5"/>
  <c r="P213" i="5"/>
  <c r="Q213" i="5"/>
  <c r="J214" i="5"/>
  <c r="K214" i="5"/>
  <c r="L214" i="5"/>
  <c r="M214" i="5"/>
  <c r="N214" i="5"/>
  <c r="O214" i="5"/>
  <c r="P214" i="5"/>
  <c r="Q214" i="5"/>
  <c r="J215" i="5"/>
  <c r="K215" i="5"/>
  <c r="L215" i="5"/>
  <c r="M215" i="5"/>
  <c r="N215" i="5"/>
  <c r="O215" i="5"/>
  <c r="P215" i="5"/>
  <c r="Q215" i="5"/>
  <c r="J216" i="5"/>
  <c r="K216" i="5"/>
  <c r="L216" i="5"/>
  <c r="M216" i="5"/>
  <c r="N216" i="5"/>
  <c r="O216" i="5"/>
  <c r="P216" i="5"/>
  <c r="Q216" i="5"/>
  <c r="J217" i="5"/>
  <c r="K217" i="5"/>
  <c r="L217" i="5"/>
  <c r="M217" i="5"/>
  <c r="N217" i="5"/>
  <c r="O217" i="5"/>
  <c r="P217" i="5"/>
  <c r="Q217" i="5"/>
  <c r="J218" i="5"/>
  <c r="K218" i="5"/>
  <c r="L218" i="5"/>
  <c r="M218" i="5"/>
  <c r="N218" i="5"/>
  <c r="O218" i="5"/>
  <c r="P218" i="5"/>
  <c r="Q218" i="5"/>
  <c r="J219" i="5"/>
  <c r="K219" i="5"/>
  <c r="L219" i="5"/>
  <c r="M219" i="5"/>
  <c r="N219" i="5"/>
  <c r="O219" i="5"/>
  <c r="P219" i="5"/>
  <c r="Q219" i="5"/>
  <c r="J220" i="5"/>
  <c r="K220" i="5"/>
  <c r="L220" i="5"/>
  <c r="M220" i="5"/>
  <c r="N220" i="5"/>
  <c r="O220" i="5"/>
  <c r="P220" i="5"/>
  <c r="Q220" i="5"/>
  <c r="J221" i="5"/>
  <c r="K221" i="5"/>
  <c r="L221" i="5"/>
  <c r="M221" i="5"/>
  <c r="N221" i="5"/>
  <c r="O221" i="5"/>
  <c r="P221" i="5"/>
  <c r="Q221" i="5"/>
  <c r="J222" i="5"/>
  <c r="K222" i="5"/>
  <c r="L222" i="5"/>
  <c r="M222" i="5"/>
  <c r="N222" i="5"/>
  <c r="O222" i="5"/>
  <c r="P222" i="5"/>
  <c r="Q222" i="5"/>
  <c r="J223" i="5"/>
  <c r="K223" i="5"/>
  <c r="L223" i="5"/>
  <c r="M223" i="5"/>
  <c r="N223" i="5"/>
  <c r="O223" i="5"/>
  <c r="P223" i="5"/>
  <c r="Q223" i="5"/>
  <c r="J224" i="5"/>
  <c r="K224" i="5"/>
  <c r="L224" i="5"/>
  <c r="M224" i="5"/>
  <c r="N224" i="5"/>
  <c r="O224" i="5"/>
  <c r="P224" i="5"/>
  <c r="Q224" i="5"/>
  <c r="J225" i="5"/>
  <c r="K225" i="5"/>
  <c r="L225" i="5"/>
  <c r="M225" i="5"/>
  <c r="N225" i="5"/>
  <c r="O225" i="5"/>
  <c r="P225" i="5"/>
  <c r="Q225" i="5"/>
  <c r="J226" i="5"/>
  <c r="K226" i="5"/>
  <c r="M226" i="5"/>
  <c r="N226" i="5"/>
  <c r="O226" i="5"/>
  <c r="P226" i="5"/>
  <c r="Q226" i="5"/>
  <c r="J227" i="5"/>
  <c r="K227" i="5"/>
  <c r="M227" i="5"/>
  <c r="N227" i="5"/>
  <c r="O227" i="5"/>
  <c r="Q227" i="5"/>
  <c r="J228" i="5"/>
  <c r="K228" i="5"/>
  <c r="M228" i="5"/>
  <c r="N228" i="5"/>
  <c r="O228" i="5"/>
  <c r="P228" i="5"/>
  <c r="Q228" i="5"/>
  <c r="J229" i="5"/>
  <c r="K229" i="5"/>
  <c r="M229" i="5"/>
  <c r="N229" i="5"/>
  <c r="O229" i="5"/>
  <c r="Q229" i="5"/>
  <c r="J230" i="5"/>
  <c r="K230" i="5"/>
  <c r="M230" i="5"/>
  <c r="N230" i="5"/>
  <c r="O230" i="5"/>
  <c r="P230" i="5"/>
  <c r="Q230" i="5"/>
  <c r="J231" i="5"/>
  <c r="K231" i="5"/>
  <c r="M231" i="5"/>
  <c r="N231" i="5"/>
  <c r="O231" i="5"/>
  <c r="Q231" i="5"/>
  <c r="J232" i="5"/>
  <c r="K232" i="5"/>
  <c r="M232" i="5"/>
  <c r="N232" i="5"/>
  <c r="O232" i="5"/>
  <c r="P232" i="5"/>
  <c r="Q232" i="5"/>
  <c r="J233" i="5"/>
  <c r="K233" i="5"/>
  <c r="M233" i="5"/>
  <c r="N233" i="5"/>
  <c r="O233" i="5"/>
  <c r="Q233" i="5"/>
  <c r="J234" i="5"/>
  <c r="K234" i="5"/>
  <c r="M234" i="5"/>
  <c r="O234" i="5"/>
  <c r="Q234" i="5"/>
  <c r="J235" i="5"/>
  <c r="K235" i="5"/>
  <c r="M235" i="5"/>
  <c r="N235" i="5"/>
  <c r="O235" i="5"/>
  <c r="Q235" i="5"/>
  <c r="J236" i="5"/>
  <c r="K236" i="5"/>
  <c r="M236" i="5"/>
  <c r="N236" i="5"/>
  <c r="O236" i="5"/>
  <c r="Q236" i="5"/>
  <c r="J237" i="5"/>
  <c r="K237" i="5"/>
  <c r="L237" i="5"/>
  <c r="M237" i="5"/>
  <c r="N237" i="5"/>
  <c r="O237" i="5"/>
  <c r="P237" i="5"/>
  <c r="Q237" i="5"/>
  <c r="J238" i="5"/>
  <c r="K238" i="5"/>
  <c r="L238" i="5"/>
  <c r="M238" i="5"/>
  <c r="N238" i="5"/>
  <c r="O238" i="5"/>
  <c r="P238" i="5"/>
  <c r="Q238" i="5"/>
  <c r="J239" i="5"/>
  <c r="K239" i="5"/>
  <c r="L239" i="5"/>
  <c r="M239" i="5"/>
  <c r="N239" i="5"/>
  <c r="O239" i="5"/>
  <c r="P239" i="5"/>
  <c r="Q239" i="5"/>
  <c r="J240" i="5"/>
  <c r="K240" i="5"/>
  <c r="L240" i="5"/>
  <c r="M240" i="5"/>
  <c r="N240" i="5"/>
  <c r="O240" i="5"/>
  <c r="P240" i="5"/>
  <c r="Q240" i="5"/>
  <c r="J241" i="5"/>
  <c r="K241" i="5"/>
  <c r="L241" i="5"/>
  <c r="M241" i="5"/>
  <c r="N241" i="5"/>
  <c r="O241" i="5"/>
  <c r="P241" i="5"/>
  <c r="Q241" i="5"/>
  <c r="J242" i="5"/>
  <c r="K242" i="5"/>
  <c r="L242" i="5"/>
  <c r="M242" i="5"/>
  <c r="N242" i="5"/>
  <c r="O242" i="5"/>
  <c r="P242" i="5"/>
  <c r="Q242" i="5"/>
  <c r="J243" i="5"/>
  <c r="K243" i="5"/>
  <c r="L243" i="5"/>
  <c r="M243" i="5"/>
  <c r="N243" i="5"/>
  <c r="O243" i="5"/>
  <c r="P243" i="5"/>
  <c r="Q243" i="5"/>
  <c r="J244" i="5"/>
  <c r="K244" i="5"/>
  <c r="L244" i="5"/>
  <c r="M244" i="5"/>
  <c r="N244" i="5"/>
  <c r="O244" i="5"/>
  <c r="P244" i="5"/>
  <c r="Q244" i="5"/>
  <c r="J245" i="5"/>
  <c r="K245" i="5"/>
  <c r="L245" i="5"/>
  <c r="M245" i="5"/>
  <c r="N245" i="5"/>
  <c r="O245" i="5"/>
  <c r="P245" i="5"/>
  <c r="Q245" i="5"/>
  <c r="J246" i="5"/>
  <c r="K246" i="5"/>
  <c r="L246" i="5"/>
  <c r="M246" i="5"/>
  <c r="N246" i="5"/>
  <c r="O246" i="5"/>
  <c r="P246" i="5"/>
  <c r="Q246" i="5"/>
  <c r="J247" i="5"/>
  <c r="K247" i="5"/>
  <c r="L247" i="5"/>
  <c r="M247" i="5"/>
  <c r="N247" i="5"/>
  <c r="O247" i="5"/>
  <c r="P247" i="5"/>
  <c r="Q247" i="5"/>
  <c r="J248" i="5"/>
  <c r="K248" i="5"/>
  <c r="L248" i="5"/>
  <c r="M248" i="5"/>
  <c r="N248" i="5"/>
  <c r="O248" i="5"/>
  <c r="P248" i="5"/>
  <c r="Q248" i="5"/>
  <c r="J249" i="5"/>
  <c r="K249" i="5"/>
  <c r="L249" i="5"/>
  <c r="M249" i="5"/>
  <c r="N249" i="5"/>
  <c r="O249" i="5"/>
  <c r="P249" i="5"/>
  <c r="Q249" i="5"/>
  <c r="J250" i="5"/>
  <c r="K250" i="5"/>
  <c r="L250" i="5"/>
  <c r="M250" i="5"/>
  <c r="N250" i="5"/>
  <c r="O250" i="5"/>
  <c r="P250" i="5"/>
  <c r="Q250" i="5"/>
  <c r="J251" i="5"/>
  <c r="K251" i="5"/>
  <c r="L251" i="5"/>
  <c r="M251" i="5"/>
  <c r="N251" i="5"/>
  <c r="O251" i="5"/>
  <c r="P251" i="5"/>
  <c r="Q251" i="5"/>
  <c r="J252" i="5"/>
  <c r="K252" i="5"/>
  <c r="L252" i="5"/>
  <c r="M252" i="5"/>
  <c r="N252" i="5"/>
  <c r="O252" i="5"/>
  <c r="P252" i="5"/>
  <c r="Q252" i="5"/>
  <c r="J253" i="5"/>
  <c r="K253" i="5"/>
  <c r="L253" i="5"/>
  <c r="M253" i="5"/>
  <c r="N253" i="5"/>
  <c r="O253" i="5"/>
  <c r="P253" i="5"/>
  <c r="Q253" i="5"/>
  <c r="J254" i="5"/>
  <c r="K254" i="5"/>
  <c r="L254" i="5"/>
  <c r="M254" i="5"/>
  <c r="N254" i="5"/>
  <c r="O254" i="5"/>
  <c r="P254" i="5"/>
  <c r="Q254" i="5"/>
  <c r="J255" i="5"/>
  <c r="K255" i="5"/>
  <c r="L255" i="5"/>
  <c r="M255" i="5"/>
  <c r="N255" i="5"/>
  <c r="O255" i="5"/>
  <c r="P255" i="5"/>
  <c r="Q255" i="5"/>
  <c r="J256" i="5"/>
  <c r="K256" i="5"/>
  <c r="L256" i="5"/>
  <c r="M256" i="5"/>
  <c r="N256" i="5"/>
  <c r="O256" i="5"/>
  <c r="P256" i="5"/>
  <c r="Q256" i="5"/>
  <c r="J257" i="5"/>
  <c r="K257" i="5"/>
  <c r="L257" i="5"/>
  <c r="M257" i="5"/>
  <c r="N257" i="5"/>
  <c r="O257" i="5"/>
  <c r="P257" i="5"/>
  <c r="Q257" i="5"/>
  <c r="J258" i="5"/>
  <c r="K258" i="5"/>
  <c r="L258" i="5"/>
  <c r="M258" i="5"/>
  <c r="N258" i="5"/>
  <c r="O258" i="5"/>
  <c r="P258" i="5"/>
  <c r="Q258" i="5"/>
  <c r="J259" i="5"/>
  <c r="K259" i="5"/>
  <c r="L259" i="5"/>
  <c r="M259" i="5"/>
  <c r="N259" i="5"/>
  <c r="O259" i="5"/>
  <c r="P259" i="5"/>
  <c r="Q259" i="5"/>
  <c r="J260" i="5"/>
  <c r="K260" i="5"/>
  <c r="L260" i="5"/>
  <c r="M260" i="5"/>
  <c r="N260" i="5"/>
  <c r="O260" i="5"/>
  <c r="P260" i="5"/>
  <c r="Q260" i="5"/>
  <c r="J261" i="5"/>
  <c r="K261" i="5"/>
  <c r="L261" i="5"/>
  <c r="M261" i="5"/>
  <c r="N261" i="5"/>
  <c r="O261" i="5"/>
  <c r="P261" i="5"/>
  <c r="Q261" i="5"/>
  <c r="J262" i="5"/>
  <c r="K262" i="5"/>
  <c r="L262" i="5"/>
  <c r="M262" i="5"/>
  <c r="N262" i="5"/>
  <c r="O262" i="5"/>
  <c r="P262" i="5"/>
  <c r="Q262" i="5"/>
  <c r="J263" i="5"/>
  <c r="K263" i="5"/>
  <c r="L263" i="5"/>
  <c r="M263" i="5"/>
  <c r="N263" i="5"/>
  <c r="O263" i="5"/>
  <c r="P263" i="5"/>
  <c r="Q263" i="5"/>
  <c r="J264" i="5"/>
  <c r="K264" i="5"/>
  <c r="L264" i="5"/>
  <c r="M264" i="5"/>
  <c r="N264" i="5"/>
  <c r="O264" i="5"/>
  <c r="P264" i="5"/>
  <c r="Q264" i="5"/>
  <c r="J265" i="5"/>
  <c r="K265" i="5"/>
  <c r="M265" i="5"/>
  <c r="N265" i="5"/>
  <c r="O265" i="5"/>
  <c r="P265" i="5"/>
  <c r="Q265" i="5"/>
  <c r="J266" i="5"/>
  <c r="K266" i="5"/>
  <c r="L266" i="5"/>
  <c r="M266" i="5"/>
  <c r="N266" i="5"/>
  <c r="O266" i="5"/>
  <c r="Q266" i="5"/>
  <c r="J267" i="5"/>
  <c r="K267" i="5"/>
  <c r="M267" i="5"/>
  <c r="N267" i="5"/>
  <c r="O267" i="5"/>
  <c r="P267" i="5"/>
  <c r="Q267" i="5"/>
  <c r="J268" i="5"/>
  <c r="K268" i="5"/>
  <c r="L268" i="5"/>
  <c r="M268" i="5"/>
  <c r="N268" i="5"/>
  <c r="O268" i="5"/>
  <c r="Q268" i="5"/>
  <c r="J269" i="5"/>
  <c r="K269" i="5"/>
  <c r="M269" i="5"/>
  <c r="N269" i="5"/>
  <c r="O269" i="5"/>
  <c r="Q269" i="5"/>
  <c r="J270" i="5"/>
  <c r="K270" i="5"/>
  <c r="L270" i="5"/>
  <c r="M270" i="5"/>
  <c r="N270" i="5"/>
  <c r="O270" i="5"/>
  <c r="Q270" i="5"/>
  <c r="J271" i="5"/>
  <c r="K271" i="5"/>
  <c r="L271" i="5"/>
  <c r="M271" i="5"/>
  <c r="N271" i="5"/>
  <c r="O271" i="5"/>
  <c r="Q271" i="5"/>
  <c r="K272" i="5"/>
  <c r="M272" i="5"/>
  <c r="N272" i="5"/>
  <c r="O272" i="5"/>
  <c r="Q272" i="5"/>
  <c r="J273" i="5"/>
  <c r="K273" i="5"/>
  <c r="M273" i="5"/>
  <c r="N273" i="5"/>
  <c r="O273" i="5"/>
  <c r="Q273" i="5"/>
  <c r="J274" i="5"/>
  <c r="K274" i="5"/>
  <c r="M274" i="5"/>
  <c r="O274" i="5"/>
  <c r="Q274" i="5"/>
  <c r="J275" i="5"/>
  <c r="K275" i="5"/>
  <c r="L275" i="5"/>
  <c r="M275" i="5"/>
  <c r="N275" i="5"/>
  <c r="O275" i="5"/>
  <c r="P275" i="5"/>
  <c r="Q275" i="5"/>
  <c r="J276" i="5"/>
  <c r="K276" i="5"/>
  <c r="L276" i="5"/>
  <c r="M276" i="5"/>
  <c r="N276" i="5"/>
  <c r="O276" i="5"/>
  <c r="P276" i="5"/>
  <c r="Q276" i="5"/>
  <c r="J277" i="5"/>
  <c r="K277" i="5"/>
  <c r="L277" i="5"/>
  <c r="M277" i="5"/>
  <c r="N277" i="5"/>
  <c r="O277" i="5"/>
  <c r="P277" i="5"/>
  <c r="Q277" i="5"/>
  <c r="J278" i="5"/>
  <c r="K278" i="5"/>
  <c r="L278" i="5"/>
  <c r="M278" i="5"/>
  <c r="N278" i="5"/>
  <c r="O278" i="5"/>
  <c r="P278" i="5"/>
  <c r="Q278" i="5"/>
  <c r="J279" i="5"/>
  <c r="K279" i="5"/>
  <c r="L279" i="5"/>
  <c r="M279" i="5"/>
  <c r="N279" i="5"/>
  <c r="O279" i="5"/>
  <c r="P279" i="5"/>
  <c r="Q279" i="5"/>
  <c r="J280" i="5"/>
  <c r="K280" i="5"/>
  <c r="L280" i="5"/>
  <c r="M280" i="5"/>
  <c r="N280" i="5"/>
  <c r="O280" i="5"/>
  <c r="P280" i="5"/>
  <c r="Q280" i="5"/>
  <c r="J281" i="5"/>
  <c r="K281" i="5"/>
  <c r="L281" i="5"/>
  <c r="M281" i="5"/>
  <c r="N281" i="5"/>
  <c r="O281" i="5"/>
  <c r="P281" i="5"/>
  <c r="Q281" i="5"/>
  <c r="J282" i="5"/>
  <c r="K282" i="5"/>
  <c r="L282" i="5"/>
  <c r="M282" i="5"/>
  <c r="N282" i="5"/>
  <c r="O282" i="5"/>
  <c r="P282" i="5"/>
  <c r="Q282" i="5"/>
  <c r="J283" i="5"/>
  <c r="K283" i="5"/>
  <c r="L283" i="5"/>
  <c r="M283" i="5"/>
  <c r="N283" i="5"/>
  <c r="O283" i="5"/>
  <c r="P283" i="5"/>
  <c r="Q283" i="5"/>
  <c r="J284" i="5"/>
  <c r="K284" i="5"/>
  <c r="L284" i="5"/>
  <c r="M284" i="5"/>
  <c r="N284" i="5"/>
  <c r="O284" i="5"/>
  <c r="P284" i="5"/>
  <c r="Q284" i="5"/>
  <c r="J285" i="5"/>
  <c r="K285" i="5"/>
  <c r="L285" i="5"/>
  <c r="M285" i="5"/>
  <c r="N285" i="5"/>
  <c r="O285" i="5"/>
  <c r="P285" i="5"/>
  <c r="Q285" i="5"/>
  <c r="J286" i="5"/>
  <c r="K286" i="5"/>
  <c r="L286" i="5"/>
  <c r="M286" i="5"/>
  <c r="N286" i="5"/>
  <c r="O286" i="5"/>
  <c r="P286" i="5"/>
  <c r="Q286" i="5"/>
  <c r="J287" i="5"/>
  <c r="K287" i="5"/>
  <c r="L287" i="5"/>
  <c r="M287" i="5"/>
  <c r="N287" i="5"/>
  <c r="O287" i="5"/>
  <c r="P287" i="5"/>
  <c r="Q287" i="5"/>
  <c r="J288" i="5"/>
  <c r="K288" i="5"/>
  <c r="L288" i="5"/>
  <c r="M288" i="5"/>
  <c r="N288" i="5"/>
  <c r="O288" i="5"/>
  <c r="P288" i="5"/>
  <c r="Q288" i="5"/>
  <c r="J289" i="5"/>
  <c r="K289" i="5"/>
  <c r="L289" i="5"/>
  <c r="M289" i="5"/>
  <c r="N289" i="5"/>
  <c r="O289" i="5"/>
  <c r="P289" i="5"/>
  <c r="Q289" i="5"/>
  <c r="J290" i="5"/>
  <c r="K290" i="5"/>
  <c r="L290" i="5"/>
  <c r="M290" i="5"/>
  <c r="N290" i="5"/>
  <c r="O290" i="5"/>
  <c r="P290" i="5"/>
  <c r="Q290" i="5"/>
  <c r="J291" i="5"/>
  <c r="K291" i="5"/>
  <c r="L291" i="5"/>
  <c r="M291" i="5"/>
  <c r="N291" i="5"/>
  <c r="O291" i="5"/>
  <c r="P291" i="5"/>
  <c r="Q291" i="5"/>
  <c r="J292" i="5"/>
  <c r="K292" i="5"/>
  <c r="L292" i="5"/>
  <c r="M292" i="5"/>
  <c r="N292" i="5"/>
  <c r="O292" i="5"/>
  <c r="P292" i="5"/>
  <c r="Q292" i="5"/>
  <c r="J293" i="5"/>
  <c r="K293" i="5"/>
  <c r="L293" i="5"/>
  <c r="M293" i="5"/>
  <c r="N293" i="5"/>
  <c r="O293" i="5"/>
  <c r="P293" i="5"/>
  <c r="Q293" i="5"/>
  <c r="J294" i="5"/>
  <c r="K294" i="5"/>
  <c r="L294" i="5"/>
  <c r="M294" i="5"/>
  <c r="N294" i="5"/>
  <c r="O294" i="5"/>
  <c r="P294" i="5"/>
  <c r="Q294" i="5"/>
  <c r="J295" i="5"/>
  <c r="K295" i="5"/>
  <c r="L295" i="5"/>
  <c r="M295" i="5"/>
  <c r="N295" i="5"/>
  <c r="O295" i="5"/>
  <c r="P295" i="5"/>
  <c r="Q295" i="5"/>
  <c r="J296" i="5"/>
  <c r="K296" i="5"/>
  <c r="L296" i="5"/>
  <c r="M296" i="5"/>
  <c r="N296" i="5"/>
  <c r="O296" i="5"/>
  <c r="P296" i="5"/>
  <c r="Q296" i="5"/>
  <c r="J297" i="5"/>
  <c r="K297" i="5"/>
  <c r="L297" i="5"/>
  <c r="M297" i="5"/>
  <c r="N297" i="5"/>
  <c r="O297" i="5"/>
  <c r="P297" i="5"/>
  <c r="Q297" i="5"/>
  <c r="J298" i="5"/>
  <c r="K298" i="5"/>
  <c r="L298" i="5"/>
  <c r="M298" i="5"/>
  <c r="N298" i="5"/>
  <c r="O298" i="5"/>
  <c r="P298" i="5"/>
  <c r="Q298" i="5"/>
  <c r="J299" i="5"/>
  <c r="K299" i="5"/>
  <c r="L299" i="5"/>
  <c r="M299" i="5"/>
  <c r="N299" i="5"/>
  <c r="O299" i="5"/>
  <c r="P299" i="5"/>
  <c r="Q299" i="5"/>
  <c r="J300" i="5"/>
  <c r="K300" i="5"/>
  <c r="L300" i="5"/>
  <c r="M300" i="5"/>
  <c r="N300" i="5"/>
  <c r="O300" i="5"/>
  <c r="P300" i="5"/>
  <c r="Q300" i="5"/>
  <c r="J301" i="5"/>
  <c r="K301" i="5"/>
  <c r="L301" i="5"/>
  <c r="M301" i="5"/>
  <c r="N301" i="5"/>
  <c r="O301" i="5"/>
  <c r="P301" i="5"/>
  <c r="Q301" i="5"/>
  <c r="J302" i="5"/>
  <c r="K302" i="5"/>
  <c r="L302" i="5"/>
  <c r="M302" i="5"/>
  <c r="N302" i="5"/>
  <c r="O302" i="5"/>
  <c r="P302" i="5"/>
  <c r="Q302" i="5"/>
  <c r="J303" i="5"/>
  <c r="K303" i="5"/>
  <c r="L303" i="5"/>
  <c r="M303" i="5"/>
  <c r="N303" i="5"/>
  <c r="O303" i="5"/>
  <c r="P303" i="5"/>
  <c r="Q303" i="5"/>
  <c r="J304" i="5"/>
  <c r="K304" i="5"/>
  <c r="L304" i="5"/>
  <c r="M304" i="5"/>
  <c r="N304" i="5"/>
  <c r="O304" i="5"/>
  <c r="P304" i="5"/>
  <c r="Q304" i="5"/>
  <c r="J305" i="5"/>
  <c r="K305" i="5"/>
  <c r="L305" i="5"/>
  <c r="M305" i="5"/>
  <c r="N305" i="5"/>
  <c r="O305" i="5"/>
  <c r="P305" i="5"/>
  <c r="Q305" i="5"/>
  <c r="J306" i="5"/>
  <c r="K306" i="5"/>
  <c r="L306" i="5"/>
  <c r="M306" i="5"/>
  <c r="N306" i="5"/>
  <c r="O306" i="5"/>
  <c r="P306" i="5"/>
  <c r="Q306" i="5"/>
  <c r="J307" i="5"/>
  <c r="K307" i="5"/>
  <c r="L307" i="5"/>
  <c r="M307" i="5"/>
  <c r="N307" i="5"/>
  <c r="O307" i="5"/>
  <c r="P307" i="5"/>
  <c r="Q307" i="5"/>
  <c r="J308" i="5"/>
  <c r="K308" i="5"/>
  <c r="L308" i="5"/>
  <c r="M308" i="5"/>
  <c r="N308" i="5"/>
  <c r="O308" i="5"/>
  <c r="P308" i="5"/>
  <c r="Q308" i="5"/>
  <c r="J309" i="5"/>
  <c r="K309" i="5"/>
  <c r="M309" i="5"/>
  <c r="N309" i="5"/>
  <c r="O309" i="5"/>
  <c r="P309" i="5"/>
  <c r="Q309" i="5"/>
  <c r="J310" i="5"/>
  <c r="K310" i="5"/>
  <c r="M310" i="5"/>
  <c r="N310" i="5"/>
  <c r="O310" i="5"/>
  <c r="Q310" i="5"/>
  <c r="J311" i="5"/>
  <c r="K311" i="5"/>
  <c r="M311" i="5"/>
  <c r="N311" i="5"/>
  <c r="O311" i="5"/>
  <c r="P311" i="5"/>
  <c r="Q311" i="5"/>
  <c r="J312" i="5"/>
  <c r="K312" i="5"/>
  <c r="M312" i="5"/>
  <c r="N312" i="5"/>
  <c r="O312" i="5"/>
  <c r="P312" i="5"/>
  <c r="Q312" i="5"/>
  <c r="J313" i="5"/>
  <c r="K313" i="5"/>
  <c r="L313" i="5"/>
  <c r="M313" i="5"/>
  <c r="N313" i="5"/>
  <c r="O313" i="5"/>
  <c r="P313" i="5"/>
  <c r="Q313" i="5"/>
  <c r="J314" i="5"/>
  <c r="K314" i="5"/>
  <c r="L314" i="5"/>
  <c r="M314" i="5"/>
  <c r="N314" i="5"/>
  <c r="O314" i="5"/>
  <c r="P314" i="5"/>
  <c r="Q314" i="5"/>
  <c r="J315" i="5"/>
  <c r="K315" i="5"/>
  <c r="L315" i="5"/>
  <c r="M315" i="5"/>
  <c r="N315" i="5"/>
  <c r="O315" i="5"/>
  <c r="P315" i="5"/>
  <c r="Q315" i="5"/>
  <c r="J316" i="5"/>
  <c r="K316" i="5"/>
  <c r="L316" i="5"/>
  <c r="M316" i="5"/>
  <c r="N316" i="5"/>
  <c r="O316" i="5"/>
  <c r="P316" i="5"/>
  <c r="Q316" i="5"/>
  <c r="J317" i="5"/>
  <c r="K317" i="5"/>
  <c r="L317" i="5"/>
  <c r="M317" i="5"/>
  <c r="N317" i="5"/>
  <c r="O317" i="5"/>
  <c r="P317" i="5"/>
  <c r="Q317" i="5"/>
  <c r="J318" i="5"/>
  <c r="K318" i="5"/>
  <c r="L318" i="5"/>
  <c r="M318" i="5"/>
  <c r="N318" i="5"/>
  <c r="O318" i="5"/>
  <c r="P318" i="5"/>
  <c r="Q318" i="5"/>
  <c r="J319" i="5"/>
  <c r="K319" i="5"/>
  <c r="L319" i="5"/>
  <c r="M319" i="5"/>
  <c r="N319" i="5"/>
  <c r="O319" i="5"/>
  <c r="P319" i="5"/>
  <c r="Q319" i="5"/>
  <c r="J320" i="5"/>
  <c r="K320" i="5"/>
  <c r="L320" i="5"/>
  <c r="M320" i="5"/>
  <c r="N320" i="5"/>
  <c r="O320" i="5"/>
  <c r="P320" i="5"/>
  <c r="Q320" i="5"/>
  <c r="J321" i="5"/>
  <c r="K321" i="5"/>
  <c r="L321" i="5"/>
  <c r="M321" i="5"/>
  <c r="N321" i="5"/>
  <c r="O321" i="5"/>
  <c r="P321" i="5"/>
  <c r="Q321" i="5"/>
  <c r="J322" i="5"/>
  <c r="K322" i="5"/>
  <c r="L322" i="5"/>
  <c r="M322" i="5"/>
  <c r="N322" i="5"/>
  <c r="O322" i="5"/>
  <c r="P322" i="5"/>
  <c r="Q322" i="5"/>
  <c r="J323" i="5"/>
  <c r="K323" i="5"/>
  <c r="L323" i="5"/>
  <c r="M323" i="5"/>
  <c r="N323" i="5"/>
  <c r="O323" i="5"/>
  <c r="P323" i="5"/>
  <c r="Q323" i="5"/>
  <c r="J324" i="5"/>
  <c r="K324" i="5"/>
  <c r="L324" i="5"/>
  <c r="M324" i="5"/>
  <c r="N324" i="5"/>
  <c r="O324" i="5"/>
  <c r="P324" i="5"/>
  <c r="Q324" i="5"/>
  <c r="J325" i="5"/>
  <c r="K325" i="5"/>
  <c r="L325" i="5"/>
  <c r="M325" i="5"/>
  <c r="N325" i="5"/>
  <c r="O325" i="5"/>
  <c r="P325" i="5"/>
  <c r="Q325" i="5"/>
  <c r="J326" i="5"/>
  <c r="K326" i="5"/>
  <c r="L326" i="5"/>
  <c r="M326" i="5"/>
  <c r="N326" i="5"/>
  <c r="O326" i="5"/>
  <c r="P326" i="5"/>
  <c r="Q326" i="5"/>
  <c r="J327" i="5"/>
  <c r="K327" i="5"/>
  <c r="L327" i="5"/>
  <c r="M327" i="5"/>
  <c r="N327" i="5"/>
  <c r="O327" i="5"/>
  <c r="P327" i="5"/>
  <c r="Q327" i="5"/>
  <c r="J328" i="5"/>
  <c r="K328" i="5"/>
  <c r="L328" i="5"/>
  <c r="M328" i="5"/>
  <c r="N328" i="5"/>
  <c r="O328" i="5"/>
  <c r="P328" i="5"/>
  <c r="Q328" i="5"/>
  <c r="J329" i="5"/>
  <c r="K329" i="5"/>
  <c r="L329" i="5"/>
  <c r="M329" i="5"/>
  <c r="N329" i="5"/>
  <c r="O329" i="5"/>
  <c r="P329" i="5"/>
  <c r="Q329" i="5"/>
  <c r="J330" i="5"/>
  <c r="K330" i="5"/>
  <c r="L330" i="5"/>
  <c r="M330" i="5"/>
  <c r="N330" i="5"/>
  <c r="O330" i="5"/>
  <c r="P330" i="5"/>
  <c r="Q330" i="5"/>
  <c r="J331" i="5"/>
  <c r="K331" i="5"/>
  <c r="L331" i="5"/>
  <c r="M331" i="5"/>
  <c r="N331" i="5"/>
  <c r="O331" i="5"/>
  <c r="P331" i="5"/>
  <c r="Q331" i="5"/>
  <c r="J332" i="5"/>
  <c r="K332" i="5"/>
  <c r="L332" i="5"/>
  <c r="M332" i="5"/>
  <c r="N332" i="5"/>
  <c r="O332" i="5"/>
  <c r="P332" i="5"/>
  <c r="Q332" i="5"/>
  <c r="J333" i="5"/>
  <c r="K333" i="5"/>
  <c r="L333" i="5"/>
  <c r="M333" i="5"/>
  <c r="N333" i="5"/>
  <c r="O333" i="5"/>
  <c r="P333" i="5"/>
  <c r="Q333" i="5"/>
  <c r="J334" i="5"/>
  <c r="K334" i="5"/>
  <c r="L334" i="5"/>
  <c r="M334" i="5"/>
  <c r="N334" i="5"/>
  <c r="O334" i="5"/>
  <c r="P334" i="5"/>
  <c r="Q334" i="5"/>
  <c r="J335" i="5"/>
  <c r="K335" i="5"/>
  <c r="L335" i="5"/>
  <c r="M335" i="5"/>
  <c r="N335" i="5"/>
  <c r="O335" i="5"/>
  <c r="P335" i="5"/>
  <c r="Q335" i="5"/>
  <c r="J336" i="5"/>
  <c r="K336" i="5"/>
  <c r="L336" i="5"/>
  <c r="M336" i="5"/>
  <c r="N336" i="5"/>
  <c r="O336" i="5"/>
  <c r="P336" i="5"/>
  <c r="Q336" i="5"/>
  <c r="J337" i="5"/>
  <c r="K337" i="5"/>
  <c r="L337" i="5"/>
  <c r="M337" i="5"/>
  <c r="N337" i="5"/>
  <c r="O337" i="5"/>
  <c r="P337" i="5"/>
  <c r="Q337" i="5"/>
  <c r="J338" i="5"/>
  <c r="K338" i="5"/>
  <c r="L338" i="5"/>
  <c r="M338" i="5"/>
  <c r="N338" i="5"/>
  <c r="O338" i="5"/>
  <c r="P338" i="5"/>
  <c r="Q338" i="5"/>
  <c r="J339" i="5"/>
  <c r="K339" i="5"/>
  <c r="L339" i="5"/>
  <c r="M339" i="5"/>
  <c r="N339" i="5"/>
  <c r="O339" i="5"/>
  <c r="P339" i="5"/>
  <c r="Q339" i="5"/>
  <c r="J340" i="5"/>
  <c r="K340" i="5"/>
  <c r="L340" i="5"/>
  <c r="M340" i="5"/>
  <c r="N340" i="5"/>
  <c r="O340" i="5"/>
  <c r="P340" i="5"/>
  <c r="Q340" i="5"/>
  <c r="J341" i="5"/>
  <c r="K341" i="5"/>
  <c r="L341" i="5"/>
  <c r="M341" i="5"/>
  <c r="N341" i="5"/>
  <c r="O341" i="5"/>
  <c r="P341" i="5"/>
  <c r="Q341" i="5"/>
  <c r="J342" i="5"/>
  <c r="K342" i="5"/>
  <c r="L342" i="5"/>
  <c r="M342" i="5"/>
  <c r="N342" i="5"/>
  <c r="O342" i="5"/>
  <c r="P342" i="5"/>
  <c r="Q342" i="5"/>
  <c r="J343" i="5"/>
  <c r="K343" i="5"/>
  <c r="L343" i="5"/>
  <c r="M343" i="5"/>
  <c r="N343" i="5"/>
  <c r="O343" i="5"/>
  <c r="P343" i="5"/>
  <c r="Q343" i="5"/>
  <c r="J344" i="5"/>
  <c r="K344" i="5"/>
  <c r="L344" i="5"/>
  <c r="M344" i="5"/>
  <c r="N344" i="5"/>
  <c r="O344" i="5"/>
  <c r="P344" i="5"/>
  <c r="Q344" i="5"/>
  <c r="J345" i="5"/>
  <c r="K345" i="5"/>
  <c r="L345" i="5"/>
  <c r="M345" i="5"/>
  <c r="N345" i="5"/>
  <c r="O345" i="5"/>
  <c r="P345" i="5"/>
  <c r="Q345" i="5"/>
  <c r="J346" i="5"/>
  <c r="K346" i="5"/>
  <c r="L346" i="5"/>
  <c r="M346" i="5"/>
  <c r="N346" i="5"/>
  <c r="O346" i="5"/>
  <c r="P346" i="5"/>
  <c r="Q346" i="5"/>
  <c r="J347" i="5"/>
  <c r="K347" i="5"/>
  <c r="L347" i="5"/>
  <c r="M347" i="5"/>
  <c r="N347" i="5"/>
  <c r="O347" i="5"/>
  <c r="P347" i="5"/>
  <c r="Q347" i="5"/>
  <c r="J348" i="5"/>
  <c r="K348" i="5"/>
  <c r="L348" i="5"/>
  <c r="M348" i="5"/>
  <c r="N348" i="5"/>
  <c r="O348" i="5"/>
  <c r="P348" i="5"/>
  <c r="Q348" i="5"/>
  <c r="J349" i="5"/>
  <c r="K349" i="5"/>
  <c r="L349" i="5"/>
  <c r="M349" i="5"/>
  <c r="N349" i="5"/>
  <c r="O349" i="5"/>
  <c r="P349" i="5"/>
  <c r="Q349" i="5"/>
  <c r="J350" i="5"/>
  <c r="K350" i="5"/>
  <c r="L350" i="5"/>
  <c r="M350" i="5"/>
  <c r="N350" i="5"/>
  <c r="O350" i="5"/>
  <c r="P350" i="5"/>
  <c r="Q350" i="5"/>
  <c r="J351" i="5"/>
  <c r="K351" i="5"/>
  <c r="L351" i="5"/>
  <c r="M351" i="5"/>
  <c r="N351" i="5"/>
  <c r="O351" i="5"/>
  <c r="P351" i="5"/>
  <c r="Q351" i="5"/>
  <c r="J352" i="5"/>
  <c r="K352" i="5"/>
  <c r="L352" i="5"/>
  <c r="M352" i="5"/>
  <c r="N352" i="5"/>
  <c r="O352" i="5"/>
  <c r="P352" i="5"/>
  <c r="Q352" i="5"/>
  <c r="J353" i="5"/>
  <c r="K353" i="5"/>
  <c r="L353" i="5"/>
  <c r="M353" i="5"/>
  <c r="N353" i="5"/>
  <c r="O353" i="5"/>
  <c r="P353" i="5"/>
  <c r="Q353" i="5"/>
  <c r="J354" i="5"/>
  <c r="K354" i="5"/>
  <c r="L354" i="5"/>
  <c r="M354" i="5"/>
  <c r="N354" i="5"/>
  <c r="O354" i="5"/>
  <c r="P354" i="5"/>
  <c r="Q354" i="5"/>
  <c r="J355" i="5"/>
  <c r="K355" i="5"/>
  <c r="L355" i="5"/>
  <c r="M355" i="5"/>
  <c r="N355" i="5"/>
  <c r="O355" i="5"/>
  <c r="P355" i="5"/>
  <c r="Q355" i="5"/>
  <c r="J356" i="5"/>
  <c r="K356" i="5"/>
  <c r="L356" i="5"/>
  <c r="M356" i="5"/>
  <c r="N356" i="5"/>
  <c r="O356" i="5"/>
  <c r="P356" i="5"/>
  <c r="Q356" i="5"/>
  <c r="J357" i="5"/>
  <c r="K357" i="5"/>
  <c r="L357" i="5"/>
  <c r="M357" i="5"/>
  <c r="N357" i="5"/>
  <c r="O357" i="5"/>
  <c r="P357" i="5"/>
  <c r="Q357" i="5"/>
  <c r="J358" i="5"/>
  <c r="K358" i="5"/>
  <c r="L358" i="5"/>
  <c r="M358" i="5"/>
  <c r="N358" i="5"/>
  <c r="O358" i="5"/>
  <c r="P358" i="5"/>
  <c r="Q358" i="5"/>
  <c r="J359" i="5"/>
  <c r="K359" i="5"/>
  <c r="L359" i="5"/>
  <c r="M359" i="5"/>
  <c r="N359" i="5"/>
  <c r="O359" i="5"/>
  <c r="P359" i="5"/>
  <c r="Q359" i="5"/>
  <c r="J360" i="5"/>
  <c r="K360" i="5"/>
  <c r="L360" i="5"/>
  <c r="M360" i="5"/>
  <c r="N360" i="5"/>
  <c r="O360" i="5"/>
  <c r="P360" i="5"/>
  <c r="Q360" i="5"/>
  <c r="J361" i="5"/>
  <c r="K361" i="5"/>
  <c r="L361" i="5"/>
  <c r="M361" i="5"/>
  <c r="N361" i="5"/>
  <c r="O361" i="5"/>
  <c r="P361" i="5"/>
  <c r="Q361" i="5"/>
  <c r="J362" i="5"/>
  <c r="K362" i="5"/>
  <c r="L362" i="5"/>
  <c r="M362" i="5"/>
  <c r="N362" i="5"/>
  <c r="O362" i="5"/>
  <c r="P362" i="5"/>
  <c r="Q362" i="5"/>
  <c r="J363" i="5"/>
  <c r="K363" i="5"/>
  <c r="L363" i="5"/>
  <c r="M363" i="5"/>
  <c r="N363" i="5"/>
  <c r="O363" i="5"/>
  <c r="P363" i="5"/>
  <c r="Q363" i="5"/>
  <c r="J364" i="5"/>
  <c r="K364" i="5"/>
  <c r="L364" i="5"/>
  <c r="M364" i="5"/>
  <c r="N364" i="5"/>
  <c r="O364" i="5"/>
  <c r="P364" i="5"/>
  <c r="Q364" i="5"/>
  <c r="J365" i="5"/>
  <c r="K365" i="5"/>
  <c r="L365" i="5"/>
  <c r="M365" i="5"/>
  <c r="N365" i="5"/>
  <c r="O365" i="5"/>
  <c r="P365" i="5"/>
  <c r="Q365" i="5"/>
  <c r="J366" i="5"/>
  <c r="K366" i="5"/>
  <c r="L366" i="5"/>
  <c r="M366" i="5"/>
  <c r="N366" i="5"/>
  <c r="O366" i="5"/>
  <c r="P366" i="5"/>
  <c r="Q366" i="5"/>
  <c r="J367" i="5"/>
  <c r="K367" i="5"/>
  <c r="L367" i="5"/>
  <c r="M367" i="5"/>
  <c r="N367" i="5"/>
  <c r="O367" i="5"/>
  <c r="P367" i="5"/>
  <c r="Q367" i="5"/>
  <c r="J368" i="5"/>
  <c r="K368" i="5"/>
  <c r="L368" i="5"/>
  <c r="M368" i="5"/>
  <c r="N368" i="5"/>
  <c r="O368" i="5"/>
  <c r="P368" i="5"/>
  <c r="Q368" i="5"/>
  <c r="J369" i="5"/>
  <c r="K369" i="5"/>
  <c r="L369" i="5"/>
  <c r="M369" i="5"/>
  <c r="N369" i="5"/>
  <c r="O369" i="5"/>
  <c r="P369" i="5"/>
  <c r="Q369" i="5"/>
  <c r="J370" i="5"/>
  <c r="K370" i="5"/>
  <c r="L370" i="5"/>
  <c r="M370" i="5"/>
  <c r="N370" i="5"/>
  <c r="O370" i="5"/>
  <c r="P370" i="5"/>
  <c r="Q370" i="5"/>
  <c r="J371" i="5"/>
  <c r="K371" i="5"/>
  <c r="L371" i="5"/>
  <c r="M371" i="5"/>
  <c r="N371" i="5"/>
  <c r="O371" i="5"/>
  <c r="P371" i="5"/>
  <c r="Q371" i="5"/>
  <c r="J372" i="5"/>
  <c r="K372" i="5"/>
  <c r="L372" i="5"/>
  <c r="M372" i="5"/>
  <c r="N372" i="5"/>
  <c r="O372" i="5"/>
  <c r="P372" i="5"/>
  <c r="Q372" i="5"/>
  <c r="J373" i="5"/>
  <c r="K373" i="5"/>
  <c r="L373" i="5"/>
  <c r="M373" i="5"/>
  <c r="N373" i="5"/>
  <c r="O373" i="5"/>
  <c r="P373" i="5"/>
  <c r="Q373" i="5"/>
  <c r="J374" i="5"/>
  <c r="K374" i="5"/>
  <c r="L374" i="5"/>
  <c r="M374" i="5"/>
  <c r="N374" i="5"/>
  <c r="O374" i="5"/>
  <c r="P374" i="5"/>
  <c r="Q374" i="5"/>
  <c r="J375" i="5"/>
  <c r="K375" i="5"/>
  <c r="L375" i="5"/>
  <c r="M375" i="5"/>
  <c r="N375" i="5"/>
  <c r="O375" i="5"/>
  <c r="P375" i="5"/>
  <c r="Q375" i="5"/>
  <c r="J376" i="5"/>
  <c r="K376" i="5"/>
  <c r="L376" i="5"/>
  <c r="M376" i="5"/>
  <c r="N376" i="5"/>
  <c r="O376" i="5"/>
  <c r="P376" i="5"/>
  <c r="Q376" i="5"/>
  <c r="J377" i="5"/>
  <c r="K377" i="5"/>
  <c r="L377" i="5"/>
  <c r="M377" i="5"/>
  <c r="N377" i="5"/>
  <c r="O377" i="5"/>
  <c r="P377" i="5"/>
  <c r="Q377" i="5"/>
  <c r="J378" i="5"/>
  <c r="K378" i="5"/>
  <c r="L378" i="5"/>
  <c r="M378" i="5"/>
  <c r="N378" i="5"/>
  <c r="O378" i="5"/>
  <c r="P378" i="5"/>
  <c r="Q378" i="5"/>
  <c r="J379" i="5"/>
  <c r="K379" i="5"/>
  <c r="L379" i="5"/>
  <c r="M379" i="5"/>
  <c r="N379" i="5"/>
  <c r="O379" i="5"/>
  <c r="P379" i="5"/>
  <c r="Q379" i="5"/>
  <c r="J380" i="5"/>
  <c r="K380" i="5"/>
  <c r="L380" i="5"/>
  <c r="M380" i="5"/>
  <c r="N380" i="5"/>
  <c r="O380" i="5"/>
  <c r="P380" i="5"/>
  <c r="Q380" i="5"/>
  <c r="J381" i="5"/>
  <c r="K381" i="5"/>
  <c r="L381" i="5"/>
  <c r="M381" i="5"/>
  <c r="N381" i="5"/>
  <c r="O381" i="5"/>
  <c r="P381" i="5"/>
  <c r="Q381" i="5"/>
  <c r="J382" i="5"/>
  <c r="K382" i="5"/>
  <c r="L382" i="5"/>
  <c r="M382" i="5"/>
  <c r="N382" i="5"/>
  <c r="O382" i="5"/>
  <c r="P382" i="5"/>
  <c r="Q382" i="5"/>
  <c r="J383" i="5"/>
  <c r="K383" i="5"/>
  <c r="L383" i="5"/>
  <c r="M383" i="5"/>
  <c r="N383" i="5"/>
  <c r="O383" i="5"/>
  <c r="P383" i="5"/>
  <c r="Q383" i="5"/>
  <c r="J384" i="5"/>
  <c r="K384" i="5"/>
  <c r="L384" i="5"/>
  <c r="M384" i="5"/>
  <c r="N384" i="5"/>
  <c r="O384" i="5"/>
  <c r="P384" i="5"/>
  <c r="Q384" i="5"/>
  <c r="J385" i="5"/>
  <c r="K385" i="5"/>
  <c r="L385" i="5"/>
  <c r="M385" i="5"/>
  <c r="N385" i="5"/>
  <c r="O385" i="5"/>
  <c r="P385" i="5"/>
  <c r="Q385" i="5"/>
  <c r="J386" i="5"/>
  <c r="K386" i="5"/>
  <c r="L386" i="5"/>
  <c r="M386" i="5"/>
  <c r="N386" i="5"/>
  <c r="O386" i="5"/>
  <c r="P386" i="5"/>
  <c r="Q386" i="5"/>
  <c r="J387" i="5"/>
  <c r="K387" i="5"/>
  <c r="L387" i="5"/>
  <c r="M387" i="5"/>
  <c r="N387" i="5"/>
  <c r="O387" i="5"/>
  <c r="P387" i="5"/>
  <c r="Q387" i="5"/>
  <c r="J388" i="5"/>
  <c r="K388" i="5"/>
  <c r="L388" i="5"/>
  <c r="M388" i="5"/>
  <c r="N388" i="5"/>
  <c r="O388" i="5"/>
  <c r="P388" i="5"/>
  <c r="Q388" i="5"/>
  <c r="J389" i="5"/>
  <c r="K389" i="5"/>
  <c r="L389" i="5"/>
  <c r="M389" i="5"/>
  <c r="N389" i="5"/>
  <c r="O389" i="5"/>
  <c r="P389" i="5"/>
  <c r="Q389" i="5"/>
  <c r="J390" i="5"/>
  <c r="K390" i="5"/>
  <c r="L390" i="5"/>
  <c r="M390" i="5"/>
  <c r="N390" i="5"/>
  <c r="O390" i="5"/>
  <c r="P390" i="5"/>
  <c r="Q390" i="5"/>
  <c r="J391" i="5"/>
  <c r="K391" i="5"/>
  <c r="L391" i="5"/>
  <c r="M391" i="5"/>
  <c r="N391" i="5"/>
  <c r="O391" i="5"/>
  <c r="P391" i="5"/>
  <c r="Q391" i="5"/>
  <c r="J392" i="5"/>
  <c r="K392" i="5"/>
  <c r="L392" i="5"/>
  <c r="M392" i="5"/>
  <c r="N392" i="5"/>
  <c r="O392" i="5"/>
  <c r="P392" i="5"/>
  <c r="Q392" i="5"/>
  <c r="Q11" i="5"/>
  <c r="P11" i="5"/>
  <c r="O11" i="5"/>
  <c r="N11" i="5"/>
  <c r="M11" i="5"/>
  <c r="L11" i="5"/>
  <c r="K11" i="5"/>
  <c r="J11" i="5"/>
  <c r="F12" i="5"/>
  <c r="G12" i="5"/>
  <c r="H12" i="5"/>
  <c r="I12" i="5"/>
  <c r="F13" i="5"/>
  <c r="G13" i="5"/>
  <c r="H13" i="5"/>
  <c r="I13" i="5"/>
  <c r="F14" i="5"/>
  <c r="G14" i="5"/>
  <c r="H14" i="5"/>
  <c r="I14" i="5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F34" i="5"/>
  <c r="G34" i="5"/>
  <c r="H34" i="5"/>
  <c r="I34" i="5"/>
  <c r="F35" i="5"/>
  <c r="G35" i="5"/>
  <c r="H35" i="5"/>
  <c r="I35" i="5"/>
  <c r="F36" i="5"/>
  <c r="G36" i="5"/>
  <c r="H36" i="5"/>
  <c r="I36" i="5"/>
  <c r="F37" i="5"/>
  <c r="G37" i="5"/>
  <c r="H37" i="5"/>
  <c r="I37" i="5"/>
  <c r="F38" i="5"/>
  <c r="G38" i="5"/>
  <c r="H38" i="5"/>
  <c r="I38" i="5"/>
  <c r="F39" i="5"/>
  <c r="G39" i="5"/>
  <c r="H39" i="5"/>
  <c r="I39" i="5"/>
  <c r="F40" i="5"/>
  <c r="G40" i="5"/>
  <c r="H40" i="5"/>
  <c r="I40" i="5"/>
  <c r="F41" i="5"/>
  <c r="G41" i="5"/>
  <c r="H41" i="5"/>
  <c r="I41" i="5"/>
  <c r="F42" i="5"/>
  <c r="G42" i="5"/>
  <c r="H42" i="5"/>
  <c r="I42" i="5"/>
  <c r="F43" i="5"/>
  <c r="G43" i="5"/>
  <c r="H43" i="5"/>
  <c r="I43" i="5"/>
  <c r="F44" i="5"/>
  <c r="G44" i="5"/>
  <c r="H44" i="5"/>
  <c r="I44" i="5"/>
  <c r="F45" i="5"/>
  <c r="G45" i="5"/>
  <c r="H45" i="5"/>
  <c r="I45" i="5"/>
  <c r="F46" i="5"/>
  <c r="G46" i="5"/>
  <c r="H46" i="5"/>
  <c r="I46" i="5"/>
  <c r="F47" i="5"/>
  <c r="G47" i="5"/>
  <c r="H47" i="5"/>
  <c r="I47" i="5"/>
  <c r="F48" i="5"/>
  <c r="G48" i="5"/>
  <c r="H48" i="5"/>
  <c r="I48" i="5"/>
  <c r="F49" i="5"/>
  <c r="G49" i="5"/>
  <c r="H49" i="5"/>
  <c r="I49" i="5"/>
  <c r="F50" i="5"/>
  <c r="G50" i="5"/>
  <c r="H50" i="5"/>
  <c r="I50" i="5"/>
  <c r="F51" i="5"/>
  <c r="G51" i="5"/>
  <c r="H51" i="5"/>
  <c r="I51" i="5"/>
  <c r="F52" i="5"/>
  <c r="G52" i="5"/>
  <c r="H52" i="5"/>
  <c r="I52" i="5"/>
  <c r="F53" i="5"/>
  <c r="G53" i="5"/>
  <c r="H53" i="5"/>
  <c r="I53" i="5"/>
  <c r="F54" i="5"/>
  <c r="G54" i="5"/>
  <c r="H54" i="5"/>
  <c r="I54" i="5"/>
  <c r="F55" i="5"/>
  <c r="G55" i="5"/>
  <c r="H55" i="5"/>
  <c r="I55" i="5"/>
  <c r="F56" i="5"/>
  <c r="G56" i="5"/>
  <c r="H56" i="5"/>
  <c r="I56" i="5"/>
  <c r="F57" i="5"/>
  <c r="G57" i="5"/>
  <c r="H57" i="5"/>
  <c r="I57" i="5"/>
  <c r="F58" i="5"/>
  <c r="G58" i="5"/>
  <c r="H58" i="5"/>
  <c r="I58" i="5"/>
  <c r="F59" i="5"/>
  <c r="G59" i="5"/>
  <c r="H59" i="5"/>
  <c r="I59" i="5"/>
  <c r="F60" i="5"/>
  <c r="G60" i="5"/>
  <c r="H60" i="5"/>
  <c r="I60" i="5"/>
  <c r="F61" i="5"/>
  <c r="G61" i="5"/>
  <c r="H61" i="5"/>
  <c r="I61" i="5"/>
  <c r="F62" i="5"/>
  <c r="G62" i="5"/>
  <c r="H62" i="5"/>
  <c r="I62" i="5"/>
  <c r="F63" i="5"/>
  <c r="G63" i="5"/>
  <c r="H63" i="5"/>
  <c r="I63" i="5"/>
  <c r="F64" i="5"/>
  <c r="G64" i="5"/>
  <c r="H64" i="5"/>
  <c r="I64" i="5"/>
  <c r="F65" i="5"/>
  <c r="G65" i="5"/>
  <c r="H65" i="5"/>
  <c r="I65" i="5"/>
  <c r="F66" i="5"/>
  <c r="G66" i="5"/>
  <c r="H66" i="5"/>
  <c r="I66" i="5"/>
  <c r="F67" i="5"/>
  <c r="G67" i="5"/>
  <c r="H67" i="5"/>
  <c r="I67" i="5"/>
  <c r="F68" i="5"/>
  <c r="G68" i="5"/>
  <c r="H68" i="5"/>
  <c r="I68" i="5"/>
  <c r="F69" i="5"/>
  <c r="G69" i="5"/>
  <c r="H69" i="5"/>
  <c r="I69" i="5"/>
  <c r="F70" i="5"/>
  <c r="G70" i="5"/>
  <c r="H70" i="5"/>
  <c r="I70" i="5"/>
  <c r="F71" i="5"/>
  <c r="G71" i="5"/>
  <c r="H71" i="5"/>
  <c r="I71" i="5"/>
  <c r="F72" i="5"/>
  <c r="G72" i="5"/>
  <c r="H72" i="5"/>
  <c r="I72" i="5"/>
  <c r="F73" i="5"/>
  <c r="G73" i="5"/>
  <c r="H73" i="5"/>
  <c r="I73" i="5"/>
  <c r="F74" i="5"/>
  <c r="G74" i="5"/>
  <c r="H74" i="5"/>
  <c r="I74" i="5"/>
  <c r="F75" i="5"/>
  <c r="G75" i="5"/>
  <c r="H75" i="5"/>
  <c r="I75" i="5"/>
  <c r="F76" i="5"/>
  <c r="G76" i="5"/>
  <c r="H76" i="5"/>
  <c r="I76" i="5"/>
  <c r="F77" i="5"/>
  <c r="G77" i="5"/>
  <c r="H77" i="5"/>
  <c r="I77" i="5"/>
  <c r="F78" i="5"/>
  <c r="G78" i="5"/>
  <c r="H78" i="5"/>
  <c r="I78" i="5"/>
  <c r="F79" i="5"/>
  <c r="G79" i="5"/>
  <c r="H79" i="5"/>
  <c r="I79" i="5"/>
  <c r="F80" i="5"/>
  <c r="G80" i="5"/>
  <c r="H80" i="5"/>
  <c r="I80" i="5"/>
  <c r="F81" i="5"/>
  <c r="G81" i="5"/>
  <c r="H81" i="5"/>
  <c r="I81" i="5"/>
  <c r="F82" i="5"/>
  <c r="G82" i="5"/>
  <c r="H82" i="5"/>
  <c r="I82" i="5"/>
  <c r="F83" i="5"/>
  <c r="G83" i="5"/>
  <c r="H83" i="5"/>
  <c r="I83" i="5"/>
  <c r="F84" i="5"/>
  <c r="G84" i="5"/>
  <c r="H84" i="5"/>
  <c r="I84" i="5"/>
  <c r="F85" i="5"/>
  <c r="G85" i="5"/>
  <c r="H85" i="5"/>
  <c r="I85" i="5"/>
  <c r="F86" i="5"/>
  <c r="G86" i="5"/>
  <c r="H86" i="5"/>
  <c r="I86" i="5"/>
  <c r="F87" i="5"/>
  <c r="G87" i="5"/>
  <c r="H87" i="5"/>
  <c r="I87" i="5"/>
  <c r="F88" i="5"/>
  <c r="G88" i="5"/>
  <c r="H88" i="5"/>
  <c r="I88" i="5"/>
  <c r="F89" i="5"/>
  <c r="G89" i="5"/>
  <c r="H89" i="5"/>
  <c r="I89" i="5"/>
  <c r="F90" i="5"/>
  <c r="G90" i="5"/>
  <c r="H90" i="5"/>
  <c r="I90" i="5"/>
  <c r="F91" i="5"/>
  <c r="G91" i="5"/>
  <c r="H91" i="5"/>
  <c r="I91" i="5"/>
  <c r="F92" i="5"/>
  <c r="G92" i="5"/>
  <c r="H92" i="5"/>
  <c r="I92" i="5"/>
  <c r="F93" i="5"/>
  <c r="G93" i="5"/>
  <c r="H93" i="5"/>
  <c r="I93" i="5"/>
  <c r="F94" i="5"/>
  <c r="G94" i="5"/>
  <c r="H94" i="5"/>
  <c r="I94" i="5"/>
  <c r="F95" i="5"/>
  <c r="G95" i="5"/>
  <c r="H95" i="5"/>
  <c r="I95" i="5"/>
  <c r="F96" i="5"/>
  <c r="G96" i="5"/>
  <c r="H96" i="5"/>
  <c r="I96" i="5"/>
  <c r="F97" i="5"/>
  <c r="G97" i="5"/>
  <c r="H97" i="5"/>
  <c r="I97" i="5"/>
  <c r="F98" i="5"/>
  <c r="G98" i="5"/>
  <c r="H98" i="5"/>
  <c r="I98" i="5"/>
  <c r="F99" i="5"/>
  <c r="G99" i="5"/>
  <c r="H99" i="5"/>
  <c r="I99" i="5"/>
  <c r="F100" i="5"/>
  <c r="G100" i="5"/>
  <c r="H100" i="5"/>
  <c r="I100" i="5"/>
  <c r="F101" i="5"/>
  <c r="G101" i="5"/>
  <c r="H101" i="5"/>
  <c r="I101" i="5"/>
  <c r="F102" i="5"/>
  <c r="G102" i="5"/>
  <c r="H102" i="5"/>
  <c r="I102" i="5"/>
  <c r="F103" i="5"/>
  <c r="G103" i="5"/>
  <c r="H103" i="5"/>
  <c r="I103" i="5"/>
  <c r="F104" i="5"/>
  <c r="G104" i="5"/>
  <c r="H104" i="5"/>
  <c r="I104" i="5"/>
  <c r="F105" i="5"/>
  <c r="G105" i="5"/>
  <c r="H105" i="5"/>
  <c r="I105" i="5"/>
  <c r="F106" i="5"/>
  <c r="G106" i="5"/>
  <c r="H106" i="5"/>
  <c r="I106" i="5"/>
  <c r="F107" i="5"/>
  <c r="G107" i="5"/>
  <c r="H107" i="5"/>
  <c r="I107" i="5"/>
  <c r="F108" i="5"/>
  <c r="G108" i="5"/>
  <c r="H108" i="5"/>
  <c r="I108" i="5"/>
  <c r="F109" i="5"/>
  <c r="G109" i="5"/>
  <c r="H109" i="5"/>
  <c r="I109" i="5"/>
  <c r="F110" i="5"/>
  <c r="G110" i="5"/>
  <c r="H110" i="5"/>
  <c r="I110" i="5"/>
  <c r="F111" i="5"/>
  <c r="G111" i="5"/>
  <c r="H111" i="5"/>
  <c r="I111" i="5"/>
  <c r="F112" i="5"/>
  <c r="G112" i="5"/>
  <c r="H112" i="5"/>
  <c r="I112" i="5"/>
  <c r="F113" i="5"/>
  <c r="G113" i="5"/>
  <c r="H113" i="5"/>
  <c r="I113" i="5"/>
  <c r="F114" i="5"/>
  <c r="G114" i="5"/>
  <c r="H114" i="5"/>
  <c r="I114" i="5"/>
  <c r="F115" i="5"/>
  <c r="G115" i="5"/>
  <c r="H115" i="5"/>
  <c r="I115" i="5"/>
  <c r="F116" i="5"/>
  <c r="G116" i="5"/>
  <c r="H116" i="5"/>
  <c r="I116" i="5"/>
  <c r="F117" i="5"/>
  <c r="G117" i="5"/>
  <c r="H117" i="5"/>
  <c r="I117" i="5"/>
  <c r="F118" i="5"/>
  <c r="G118" i="5"/>
  <c r="H118" i="5"/>
  <c r="I118" i="5"/>
  <c r="F119" i="5"/>
  <c r="G119" i="5"/>
  <c r="H119" i="5"/>
  <c r="I119" i="5"/>
  <c r="F120" i="5"/>
  <c r="G120" i="5"/>
  <c r="H120" i="5"/>
  <c r="I120" i="5"/>
  <c r="F121" i="5"/>
  <c r="G121" i="5"/>
  <c r="H121" i="5"/>
  <c r="I121" i="5"/>
  <c r="F122" i="5"/>
  <c r="G122" i="5"/>
  <c r="H122" i="5"/>
  <c r="I122" i="5"/>
  <c r="F123" i="5"/>
  <c r="G123" i="5"/>
  <c r="H123" i="5"/>
  <c r="I123" i="5"/>
  <c r="F124" i="5"/>
  <c r="G124" i="5"/>
  <c r="H124" i="5"/>
  <c r="I124" i="5"/>
  <c r="F125" i="5"/>
  <c r="G125" i="5"/>
  <c r="H125" i="5"/>
  <c r="I125" i="5"/>
  <c r="F126" i="5"/>
  <c r="G126" i="5"/>
  <c r="H126" i="5"/>
  <c r="I126" i="5"/>
  <c r="F127" i="5"/>
  <c r="G127" i="5"/>
  <c r="H127" i="5"/>
  <c r="I127" i="5"/>
  <c r="F128" i="5"/>
  <c r="G128" i="5"/>
  <c r="H128" i="5"/>
  <c r="I128" i="5"/>
  <c r="F129" i="5"/>
  <c r="G129" i="5"/>
  <c r="H129" i="5"/>
  <c r="I129" i="5"/>
  <c r="F130" i="5"/>
  <c r="G130" i="5"/>
  <c r="H130" i="5"/>
  <c r="I130" i="5"/>
  <c r="F131" i="5"/>
  <c r="G131" i="5"/>
  <c r="H131" i="5"/>
  <c r="I131" i="5"/>
  <c r="F132" i="5"/>
  <c r="G132" i="5"/>
  <c r="H132" i="5"/>
  <c r="I132" i="5"/>
  <c r="F133" i="5"/>
  <c r="G133" i="5"/>
  <c r="H133" i="5"/>
  <c r="I133" i="5"/>
  <c r="F134" i="5"/>
  <c r="G134" i="5"/>
  <c r="H134" i="5"/>
  <c r="I134" i="5"/>
  <c r="F135" i="5"/>
  <c r="G135" i="5"/>
  <c r="H135" i="5"/>
  <c r="I135" i="5"/>
  <c r="F136" i="5"/>
  <c r="G136" i="5"/>
  <c r="H136" i="5"/>
  <c r="I136" i="5"/>
  <c r="F137" i="5"/>
  <c r="G137" i="5"/>
  <c r="H137" i="5"/>
  <c r="I137" i="5"/>
  <c r="F138" i="5"/>
  <c r="G138" i="5"/>
  <c r="H138" i="5"/>
  <c r="I138" i="5"/>
  <c r="F139" i="5"/>
  <c r="G139" i="5"/>
  <c r="H139" i="5"/>
  <c r="I139" i="5"/>
  <c r="F140" i="5"/>
  <c r="G140" i="5"/>
  <c r="H140" i="5"/>
  <c r="I140" i="5"/>
  <c r="F141" i="5"/>
  <c r="G141" i="5"/>
  <c r="H141" i="5"/>
  <c r="I141" i="5"/>
  <c r="F142" i="5"/>
  <c r="G142" i="5"/>
  <c r="H142" i="5"/>
  <c r="I142" i="5"/>
  <c r="F143" i="5"/>
  <c r="G143" i="5"/>
  <c r="H143" i="5"/>
  <c r="I143" i="5"/>
  <c r="F144" i="5"/>
  <c r="G144" i="5"/>
  <c r="H144" i="5"/>
  <c r="I144" i="5"/>
  <c r="F145" i="5"/>
  <c r="G145" i="5"/>
  <c r="H145" i="5"/>
  <c r="I145" i="5"/>
  <c r="F146" i="5"/>
  <c r="G146" i="5"/>
  <c r="H146" i="5"/>
  <c r="I146" i="5"/>
  <c r="F147" i="5"/>
  <c r="G147" i="5"/>
  <c r="H147" i="5"/>
  <c r="I147" i="5"/>
  <c r="F148" i="5"/>
  <c r="G148" i="5"/>
  <c r="H148" i="5"/>
  <c r="I148" i="5"/>
  <c r="F149" i="5"/>
  <c r="G149" i="5"/>
  <c r="H149" i="5"/>
  <c r="I149" i="5"/>
  <c r="F150" i="5"/>
  <c r="G150" i="5"/>
  <c r="H150" i="5"/>
  <c r="I150" i="5"/>
  <c r="F151" i="5"/>
  <c r="G151" i="5"/>
  <c r="H151" i="5"/>
  <c r="I151" i="5"/>
  <c r="F152" i="5"/>
  <c r="G152" i="5"/>
  <c r="H152" i="5"/>
  <c r="I152" i="5"/>
  <c r="F153" i="5"/>
  <c r="G153" i="5"/>
  <c r="H153" i="5"/>
  <c r="I153" i="5"/>
  <c r="F154" i="5"/>
  <c r="G154" i="5"/>
  <c r="H154" i="5"/>
  <c r="I154" i="5"/>
  <c r="F155" i="5"/>
  <c r="G155" i="5"/>
  <c r="H155" i="5"/>
  <c r="I155" i="5"/>
  <c r="F156" i="5"/>
  <c r="G156" i="5"/>
  <c r="H156" i="5"/>
  <c r="I156" i="5"/>
  <c r="F157" i="5"/>
  <c r="G157" i="5"/>
  <c r="H157" i="5"/>
  <c r="I157" i="5"/>
  <c r="F158" i="5"/>
  <c r="G158" i="5"/>
  <c r="H158" i="5"/>
  <c r="I158" i="5"/>
  <c r="F159" i="5"/>
  <c r="G159" i="5"/>
  <c r="H159" i="5"/>
  <c r="I159" i="5"/>
  <c r="F160" i="5"/>
  <c r="G160" i="5"/>
  <c r="H160" i="5"/>
  <c r="I160" i="5"/>
  <c r="F161" i="5"/>
  <c r="G161" i="5"/>
  <c r="H161" i="5"/>
  <c r="I161" i="5"/>
  <c r="F162" i="5"/>
  <c r="G162" i="5"/>
  <c r="H162" i="5"/>
  <c r="I162" i="5"/>
  <c r="F163" i="5"/>
  <c r="G163" i="5"/>
  <c r="H163" i="5"/>
  <c r="I163" i="5"/>
  <c r="F164" i="5"/>
  <c r="G164" i="5"/>
  <c r="H164" i="5"/>
  <c r="I164" i="5"/>
  <c r="F165" i="5"/>
  <c r="G165" i="5"/>
  <c r="H165" i="5"/>
  <c r="I165" i="5"/>
  <c r="F166" i="5"/>
  <c r="G166" i="5"/>
  <c r="H166" i="5"/>
  <c r="I166" i="5"/>
  <c r="F167" i="5"/>
  <c r="G167" i="5"/>
  <c r="H167" i="5"/>
  <c r="I167" i="5"/>
  <c r="F168" i="5"/>
  <c r="G168" i="5"/>
  <c r="H168" i="5"/>
  <c r="I168" i="5"/>
  <c r="F169" i="5"/>
  <c r="G169" i="5"/>
  <c r="H169" i="5"/>
  <c r="I169" i="5"/>
  <c r="F170" i="5"/>
  <c r="G170" i="5"/>
  <c r="H170" i="5"/>
  <c r="I170" i="5"/>
  <c r="F171" i="5"/>
  <c r="G171" i="5"/>
  <c r="H171" i="5"/>
  <c r="I171" i="5"/>
  <c r="F172" i="5"/>
  <c r="G172" i="5"/>
  <c r="H172" i="5"/>
  <c r="I172" i="5"/>
  <c r="F173" i="5"/>
  <c r="G173" i="5"/>
  <c r="H173" i="5"/>
  <c r="I173" i="5"/>
  <c r="F174" i="5"/>
  <c r="G174" i="5"/>
  <c r="H174" i="5"/>
  <c r="I174" i="5"/>
  <c r="F175" i="5"/>
  <c r="G175" i="5"/>
  <c r="H175" i="5"/>
  <c r="I175" i="5"/>
  <c r="F176" i="5"/>
  <c r="G176" i="5"/>
  <c r="H176" i="5"/>
  <c r="I176" i="5"/>
  <c r="F177" i="5"/>
  <c r="G177" i="5"/>
  <c r="H177" i="5"/>
  <c r="I177" i="5"/>
  <c r="F178" i="5"/>
  <c r="G178" i="5"/>
  <c r="H178" i="5"/>
  <c r="I178" i="5"/>
  <c r="F179" i="5"/>
  <c r="G179" i="5"/>
  <c r="H179" i="5"/>
  <c r="I179" i="5"/>
  <c r="F180" i="5"/>
  <c r="G180" i="5"/>
  <c r="H180" i="5"/>
  <c r="I180" i="5"/>
  <c r="F181" i="5"/>
  <c r="G181" i="5"/>
  <c r="H181" i="5"/>
  <c r="I181" i="5"/>
  <c r="F182" i="5"/>
  <c r="G182" i="5"/>
  <c r="H182" i="5"/>
  <c r="I182" i="5"/>
  <c r="F183" i="5"/>
  <c r="G183" i="5"/>
  <c r="H183" i="5"/>
  <c r="I183" i="5"/>
  <c r="F184" i="5"/>
  <c r="G184" i="5"/>
  <c r="H184" i="5"/>
  <c r="I184" i="5"/>
  <c r="F185" i="5"/>
  <c r="G185" i="5"/>
  <c r="H185" i="5"/>
  <c r="I185" i="5"/>
  <c r="F186" i="5"/>
  <c r="G186" i="5"/>
  <c r="H186" i="5"/>
  <c r="I186" i="5"/>
  <c r="F187" i="5"/>
  <c r="G187" i="5"/>
  <c r="H187" i="5"/>
  <c r="I187" i="5"/>
  <c r="F188" i="5"/>
  <c r="G188" i="5"/>
  <c r="H188" i="5"/>
  <c r="I188" i="5"/>
  <c r="F189" i="5"/>
  <c r="G189" i="5"/>
  <c r="H189" i="5"/>
  <c r="I189" i="5"/>
  <c r="F190" i="5"/>
  <c r="G190" i="5"/>
  <c r="H190" i="5"/>
  <c r="I190" i="5"/>
  <c r="F191" i="5"/>
  <c r="G191" i="5"/>
  <c r="H191" i="5"/>
  <c r="I191" i="5"/>
  <c r="F192" i="5"/>
  <c r="G192" i="5"/>
  <c r="H192" i="5"/>
  <c r="I192" i="5"/>
  <c r="F193" i="5"/>
  <c r="G193" i="5"/>
  <c r="H193" i="5"/>
  <c r="I193" i="5"/>
  <c r="F194" i="5"/>
  <c r="G194" i="5"/>
  <c r="H194" i="5"/>
  <c r="I194" i="5"/>
  <c r="F195" i="5"/>
  <c r="G195" i="5"/>
  <c r="H195" i="5"/>
  <c r="I195" i="5"/>
  <c r="F196" i="5"/>
  <c r="G196" i="5"/>
  <c r="H196" i="5"/>
  <c r="I196" i="5"/>
  <c r="F197" i="5"/>
  <c r="G197" i="5"/>
  <c r="H197" i="5"/>
  <c r="I197" i="5"/>
  <c r="F198" i="5"/>
  <c r="G198" i="5"/>
  <c r="H198" i="5"/>
  <c r="I198" i="5"/>
  <c r="F199" i="5"/>
  <c r="G199" i="5"/>
  <c r="H199" i="5"/>
  <c r="I199" i="5"/>
  <c r="F200" i="5"/>
  <c r="G200" i="5"/>
  <c r="H200" i="5"/>
  <c r="I200" i="5"/>
  <c r="F201" i="5"/>
  <c r="G201" i="5"/>
  <c r="H201" i="5"/>
  <c r="I201" i="5"/>
  <c r="F202" i="5"/>
  <c r="G202" i="5"/>
  <c r="H202" i="5"/>
  <c r="I202" i="5"/>
  <c r="F203" i="5"/>
  <c r="G203" i="5"/>
  <c r="H203" i="5"/>
  <c r="I203" i="5"/>
  <c r="F204" i="5"/>
  <c r="G204" i="5"/>
  <c r="H204" i="5"/>
  <c r="I204" i="5"/>
  <c r="F205" i="5"/>
  <c r="G205" i="5"/>
  <c r="H205" i="5"/>
  <c r="I205" i="5"/>
  <c r="F206" i="5"/>
  <c r="G206" i="5"/>
  <c r="H206" i="5"/>
  <c r="I206" i="5"/>
  <c r="F207" i="5"/>
  <c r="G207" i="5"/>
  <c r="H207" i="5"/>
  <c r="I207" i="5"/>
  <c r="F208" i="5"/>
  <c r="G208" i="5"/>
  <c r="H208" i="5"/>
  <c r="I208" i="5"/>
  <c r="F209" i="5"/>
  <c r="G209" i="5"/>
  <c r="H209" i="5"/>
  <c r="I209" i="5"/>
  <c r="F210" i="5"/>
  <c r="G210" i="5"/>
  <c r="H210" i="5"/>
  <c r="I210" i="5"/>
  <c r="F211" i="5"/>
  <c r="G211" i="5"/>
  <c r="H211" i="5"/>
  <c r="I211" i="5"/>
  <c r="F212" i="5"/>
  <c r="G212" i="5"/>
  <c r="H212" i="5"/>
  <c r="I212" i="5"/>
  <c r="F213" i="5"/>
  <c r="G213" i="5"/>
  <c r="H213" i="5"/>
  <c r="I213" i="5"/>
  <c r="F214" i="5"/>
  <c r="G214" i="5"/>
  <c r="H214" i="5"/>
  <c r="I214" i="5"/>
  <c r="F215" i="5"/>
  <c r="G215" i="5"/>
  <c r="H215" i="5"/>
  <c r="I215" i="5"/>
  <c r="F216" i="5"/>
  <c r="G216" i="5"/>
  <c r="H216" i="5"/>
  <c r="I216" i="5"/>
  <c r="F217" i="5"/>
  <c r="G217" i="5"/>
  <c r="H217" i="5"/>
  <c r="I217" i="5"/>
  <c r="F218" i="5"/>
  <c r="G218" i="5"/>
  <c r="H218" i="5"/>
  <c r="I218" i="5"/>
  <c r="F219" i="5"/>
  <c r="G219" i="5"/>
  <c r="H219" i="5"/>
  <c r="I219" i="5"/>
  <c r="F220" i="5"/>
  <c r="G220" i="5"/>
  <c r="H220" i="5"/>
  <c r="I220" i="5"/>
  <c r="F221" i="5"/>
  <c r="G221" i="5"/>
  <c r="H221" i="5"/>
  <c r="I221" i="5"/>
  <c r="F222" i="5"/>
  <c r="G222" i="5"/>
  <c r="H222" i="5"/>
  <c r="I222" i="5"/>
  <c r="F223" i="5"/>
  <c r="G223" i="5"/>
  <c r="H223" i="5"/>
  <c r="I223" i="5"/>
  <c r="F224" i="5"/>
  <c r="G224" i="5"/>
  <c r="H224" i="5"/>
  <c r="I224" i="5"/>
  <c r="F225" i="5"/>
  <c r="G225" i="5"/>
  <c r="H225" i="5"/>
  <c r="I225" i="5"/>
  <c r="F226" i="5"/>
  <c r="G226" i="5"/>
  <c r="H226" i="5"/>
  <c r="I226" i="5"/>
  <c r="F227" i="5"/>
  <c r="G227" i="5"/>
  <c r="H227" i="5"/>
  <c r="I227" i="5"/>
  <c r="F228" i="5"/>
  <c r="G228" i="5"/>
  <c r="H228" i="5"/>
  <c r="I228" i="5"/>
  <c r="F229" i="5"/>
  <c r="G229" i="5"/>
  <c r="H229" i="5"/>
  <c r="I229" i="5"/>
  <c r="F230" i="5"/>
  <c r="G230" i="5"/>
  <c r="H230" i="5"/>
  <c r="I230" i="5"/>
  <c r="F231" i="5"/>
  <c r="G231" i="5"/>
  <c r="H231" i="5"/>
  <c r="I231" i="5"/>
  <c r="F232" i="5"/>
  <c r="G232" i="5"/>
  <c r="H232" i="5"/>
  <c r="I232" i="5"/>
  <c r="F233" i="5"/>
  <c r="G233" i="5"/>
  <c r="H233" i="5"/>
  <c r="I233" i="5"/>
  <c r="F234" i="5"/>
  <c r="G234" i="5"/>
  <c r="H234" i="5"/>
  <c r="I234" i="5"/>
  <c r="F235" i="5"/>
  <c r="G235" i="5"/>
  <c r="H235" i="5"/>
  <c r="I235" i="5"/>
  <c r="F236" i="5"/>
  <c r="G236" i="5"/>
  <c r="H236" i="5"/>
  <c r="I236" i="5"/>
  <c r="F237" i="5"/>
  <c r="G237" i="5"/>
  <c r="H237" i="5"/>
  <c r="I237" i="5"/>
  <c r="F238" i="5"/>
  <c r="G238" i="5"/>
  <c r="H238" i="5"/>
  <c r="I238" i="5"/>
  <c r="F239" i="5"/>
  <c r="G239" i="5"/>
  <c r="H239" i="5"/>
  <c r="I239" i="5"/>
  <c r="F240" i="5"/>
  <c r="G240" i="5"/>
  <c r="H240" i="5"/>
  <c r="I240" i="5"/>
  <c r="F241" i="5"/>
  <c r="G241" i="5"/>
  <c r="H241" i="5"/>
  <c r="I241" i="5"/>
  <c r="F242" i="5"/>
  <c r="G242" i="5"/>
  <c r="H242" i="5"/>
  <c r="I242" i="5"/>
  <c r="F243" i="5"/>
  <c r="G243" i="5"/>
  <c r="H243" i="5"/>
  <c r="I243" i="5"/>
  <c r="F244" i="5"/>
  <c r="G244" i="5"/>
  <c r="H244" i="5"/>
  <c r="I244" i="5"/>
  <c r="F245" i="5"/>
  <c r="G245" i="5"/>
  <c r="H245" i="5"/>
  <c r="I245" i="5"/>
  <c r="F246" i="5"/>
  <c r="G246" i="5"/>
  <c r="H246" i="5"/>
  <c r="I246" i="5"/>
  <c r="F247" i="5"/>
  <c r="G247" i="5"/>
  <c r="H247" i="5"/>
  <c r="I247" i="5"/>
  <c r="F248" i="5"/>
  <c r="G248" i="5"/>
  <c r="H248" i="5"/>
  <c r="I248" i="5"/>
  <c r="F249" i="5"/>
  <c r="G249" i="5"/>
  <c r="H249" i="5"/>
  <c r="I249" i="5"/>
  <c r="F250" i="5"/>
  <c r="G250" i="5"/>
  <c r="H250" i="5"/>
  <c r="I250" i="5"/>
  <c r="F251" i="5"/>
  <c r="G251" i="5"/>
  <c r="H251" i="5"/>
  <c r="I251" i="5"/>
  <c r="F252" i="5"/>
  <c r="G252" i="5"/>
  <c r="H252" i="5"/>
  <c r="I252" i="5"/>
  <c r="F253" i="5"/>
  <c r="G253" i="5"/>
  <c r="H253" i="5"/>
  <c r="I253" i="5"/>
  <c r="F254" i="5"/>
  <c r="G254" i="5"/>
  <c r="H254" i="5"/>
  <c r="I254" i="5"/>
  <c r="F255" i="5"/>
  <c r="G255" i="5"/>
  <c r="H255" i="5"/>
  <c r="I255" i="5"/>
  <c r="F256" i="5"/>
  <c r="G256" i="5"/>
  <c r="H256" i="5"/>
  <c r="I256" i="5"/>
  <c r="F257" i="5"/>
  <c r="G257" i="5"/>
  <c r="H257" i="5"/>
  <c r="I257" i="5"/>
  <c r="F258" i="5"/>
  <c r="G258" i="5"/>
  <c r="H258" i="5"/>
  <c r="I258" i="5"/>
  <c r="F259" i="5"/>
  <c r="G259" i="5"/>
  <c r="H259" i="5"/>
  <c r="I259" i="5"/>
  <c r="F260" i="5"/>
  <c r="G260" i="5"/>
  <c r="H260" i="5"/>
  <c r="I260" i="5"/>
  <c r="F261" i="5"/>
  <c r="G261" i="5"/>
  <c r="H261" i="5"/>
  <c r="I261" i="5"/>
  <c r="F262" i="5"/>
  <c r="G262" i="5"/>
  <c r="H262" i="5"/>
  <c r="I262" i="5"/>
  <c r="F263" i="5"/>
  <c r="G263" i="5"/>
  <c r="H263" i="5"/>
  <c r="I263" i="5"/>
  <c r="F264" i="5"/>
  <c r="G264" i="5"/>
  <c r="H264" i="5"/>
  <c r="I264" i="5"/>
  <c r="F265" i="5"/>
  <c r="G265" i="5"/>
  <c r="H265" i="5"/>
  <c r="I265" i="5"/>
  <c r="F266" i="5"/>
  <c r="G266" i="5"/>
  <c r="H266" i="5"/>
  <c r="I266" i="5"/>
  <c r="F267" i="5"/>
  <c r="G267" i="5"/>
  <c r="H267" i="5"/>
  <c r="I267" i="5"/>
  <c r="F268" i="5"/>
  <c r="G268" i="5"/>
  <c r="H268" i="5"/>
  <c r="I268" i="5"/>
  <c r="F269" i="5"/>
  <c r="G269" i="5"/>
  <c r="H269" i="5"/>
  <c r="I269" i="5"/>
  <c r="F270" i="5"/>
  <c r="G270" i="5"/>
  <c r="H270" i="5"/>
  <c r="I270" i="5"/>
  <c r="F271" i="5"/>
  <c r="G271" i="5"/>
  <c r="H271" i="5"/>
  <c r="I271" i="5"/>
  <c r="F272" i="5"/>
  <c r="G272" i="5"/>
  <c r="H272" i="5"/>
  <c r="I272" i="5"/>
  <c r="F273" i="5"/>
  <c r="G273" i="5"/>
  <c r="H273" i="5"/>
  <c r="I273" i="5"/>
  <c r="F274" i="5"/>
  <c r="G274" i="5"/>
  <c r="H274" i="5"/>
  <c r="I274" i="5"/>
  <c r="F275" i="5"/>
  <c r="G275" i="5"/>
  <c r="H275" i="5"/>
  <c r="I275" i="5"/>
  <c r="F276" i="5"/>
  <c r="G276" i="5"/>
  <c r="H276" i="5"/>
  <c r="I276" i="5"/>
  <c r="F277" i="5"/>
  <c r="G277" i="5"/>
  <c r="H277" i="5"/>
  <c r="I277" i="5"/>
  <c r="F278" i="5"/>
  <c r="G278" i="5"/>
  <c r="H278" i="5"/>
  <c r="I278" i="5"/>
  <c r="F279" i="5"/>
  <c r="G279" i="5"/>
  <c r="H279" i="5"/>
  <c r="I279" i="5"/>
  <c r="F280" i="5"/>
  <c r="G280" i="5"/>
  <c r="H280" i="5"/>
  <c r="I280" i="5"/>
  <c r="F281" i="5"/>
  <c r="G281" i="5"/>
  <c r="H281" i="5"/>
  <c r="I281" i="5"/>
  <c r="F282" i="5"/>
  <c r="G282" i="5"/>
  <c r="H282" i="5"/>
  <c r="I282" i="5"/>
  <c r="F283" i="5"/>
  <c r="G283" i="5"/>
  <c r="H283" i="5"/>
  <c r="I283" i="5"/>
  <c r="F284" i="5"/>
  <c r="G284" i="5"/>
  <c r="H284" i="5"/>
  <c r="I284" i="5"/>
  <c r="F285" i="5"/>
  <c r="G285" i="5"/>
  <c r="H285" i="5"/>
  <c r="I285" i="5"/>
  <c r="F286" i="5"/>
  <c r="G286" i="5"/>
  <c r="H286" i="5"/>
  <c r="I286" i="5"/>
  <c r="F287" i="5"/>
  <c r="G287" i="5"/>
  <c r="H287" i="5"/>
  <c r="I287" i="5"/>
  <c r="F288" i="5"/>
  <c r="G288" i="5"/>
  <c r="H288" i="5"/>
  <c r="I288" i="5"/>
  <c r="F289" i="5"/>
  <c r="G289" i="5"/>
  <c r="H289" i="5"/>
  <c r="I289" i="5"/>
  <c r="F290" i="5"/>
  <c r="G290" i="5"/>
  <c r="H290" i="5"/>
  <c r="I290" i="5"/>
  <c r="F291" i="5"/>
  <c r="G291" i="5"/>
  <c r="H291" i="5"/>
  <c r="I291" i="5"/>
  <c r="F292" i="5"/>
  <c r="G292" i="5"/>
  <c r="H292" i="5"/>
  <c r="I292" i="5"/>
  <c r="F293" i="5"/>
  <c r="G293" i="5"/>
  <c r="H293" i="5"/>
  <c r="I293" i="5"/>
  <c r="F294" i="5"/>
  <c r="G294" i="5"/>
  <c r="H294" i="5"/>
  <c r="I294" i="5"/>
  <c r="F295" i="5"/>
  <c r="G295" i="5"/>
  <c r="H295" i="5"/>
  <c r="I295" i="5"/>
  <c r="F296" i="5"/>
  <c r="G296" i="5"/>
  <c r="H296" i="5"/>
  <c r="I296" i="5"/>
  <c r="F297" i="5"/>
  <c r="G297" i="5"/>
  <c r="H297" i="5"/>
  <c r="I297" i="5"/>
  <c r="F298" i="5"/>
  <c r="G298" i="5"/>
  <c r="H298" i="5"/>
  <c r="I298" i="5"/>
  <c r="F299" i="5"/>
  <c r="G299" i="5"/>
  <c r="H299" i="5"/>
  <c r="I299" i="5"/>
  <c r="F300" i="5"/>
  <c r="G300" i="5"/>
  <c r="H300" i="5"/>
  <c r="I300" i="5"/>
  <c r="F301" i="5"/>
  <c r="G301" i="5"/>
  <c r="H301" i="5"/>
  <c r="I301" i="5"/>
  <c r="F302" i="5"/>
  <c r="G302" i="5"/>
  <c r="H302" i="5"/>
  <c r="I302" i="5"/>
  <c r="F303" i="5"/>
  <c r="G303" i="5"/>
  <c r="H303" i="5"/>
  <c r="I303" i="5"/>
  <c r="F304" i="5"/>
  <c r="G304" i="5"/>
  <c r="H304" i="5"/>
  <c r="I304" i="5"/>
  <c r="F305" i="5"/>
  <c r="G305" i="5"/>
  <c r="H305" i="5"/>
  <c r="I305" i="5"/>
  <c r="F306" i="5"/>
  <c r="G306" i="5"/>
  <c r="H306" i="5"/>
  <c r="I306" i="5"/>
  <c r="F307" i="5"/>
  <c r="G307" i="5"/>
  <c r="H307" i="5"/>
  <c r="I307" i="5"/>
  <c r="F308" i="5"/>
  <c r="G308" i="5"/>
  <c r="H308" i="5"/>
  <c r="I308" i="5"/>
  <c r="F309" i="5"/>
  <c r="G309" i="5"/>
  <c r="H309" i="5"/>
  <c r="I309" i="5"/>
  <c r="F310" i="5"/>
  <c r="G310" i="5"/>
  <c r="H310" i="5"/>
  <c r="I310" i="5"/>
  <c r="F311" i="5"/>
  <c r="G311" i="5"/>
  <c r="H311" i="5"/>
  <c r="I311" i="5"/>
  <c r="F312" i="5"/>
  <c r="G312" i="5"/>
  <c r="H312" i="5"/>
  <c r="I312" i="5"/>
  <c r="F313" i="5"/>
  <c r="G313" i="5"/>
  <c r="H313" i="5"/>
  <c r="I313" i="5"/>
  <c r="F314" i="5"/>
  <c r="G314" i="5"/>
  <c r="H314" i="5"/>
  <c r="I314" i="5"/>
  <c r="F315" i="5"/>
  <c r="G315" i="5"/>
  <c r="H315" i="5"/>
  <c r="I315" i="5"/>
  <c r="F316" i="5"/>
  <c r="G316" i="5"/>
  <c r="H316" i="5"/>
  <c r="I316" i="5"/>
  <c r="F317" i="5"/>
  <c r="G317" i="5"/>
  <c r="H317" i="5"/>
  <c r="I317" i="5"/>
  <c r="F318" i="5"/>
  <c r="G318" i="5"/>
  <c r="H318" i="5"/>
  <c r="I318" i="5"/>
  <c r="F319" i="5"/>
  <c r="G319" i="5"/>
  <c r="H319" i="5"/>
  <c r="I319" i="5"/>
  <c r="F320" i="5"/>
  <c r="G320" i="5"/>
  <c r="H320" i="5"/>
  <c r="I320" i="5"/>
  <c r="F321" i="5"/>
  <c r="G321" i="5"/>
  <c r="H321" i="5"/>
  <c r="I321" i="5"/>
  <c r="F322" i="5"/>
  <c r="G322" i="5"/>
  <c r="H322" i="5"/>
  <c r="I322" i="5"/>
  <c r="F323" i="5"/>
  <c r="G323" i="5"/>
  <c r="H323" i="5"/>
  <c r="I323" i="5"/>
  <c r="F324" i="5"/>
  <c r="G324" i="5"/>
  <c r="H324" i="5"/>
  <c r="I324" i="5"/>
  <c r="F325" i="5"/>
  <c r="G325" i="5"/>
  <c r="H325" i="5"/>
  <c r="I325" i="5"/>
  <c r="F326" i="5"/>
  <c r="G326" i="5"/>
  <c r="H326" i="5"/>
  <c r="I326" i="5"/>
  <c r="F327" i="5"/>
  <c r="G327" i="5"/>
  <c r="H327" i="5"/>
  <c r="I327" i="5"/>
  <c r="F328" i="5"/>
  <c r="G328" i="5"/>
  <c r="H328" i="5"/>
  <c r="I328" i="5"/>
  <c r="F329" i="5"/>
  <c r="G329" i="5"/>
  <c r="H329" i="5"/>
  <c r="I329" i="5"/>
  <c r="F330" i="5"/>
  <c r="G330" i="5"/>
  <c r="H330" i="5"/>
  <c r="I330" i="5"/>
  <c r="F331" i="5"/>
  <c r="G331" i="5"/>
  <c r="H331" i="5"/>
  <c r="I331" i="5"/>
  <c r="F332" i="5"/>
  <c r="G332" i="5"/>
  <c r="H332" i="5"/>
  <c r="I332" i="5"/>
  <c r="F333" i="5"/>
  <c r="G333" i="5"/>
  <c r="H333" i="5"/>
  <c r="I333" i="5"/>
  <c r="F334" i="5"/>
  <c r="G334" i="5"/>
  <c r="H334" i="5"/>
  <c r="I334" i="5"/>
  <c r="F335" i="5"/>
  <c r="G335" i="5"/>
  <c r="H335" i="5"/>
  <c r="I335" i="5"/>
  <c r="F336" i="5"/>
  <c r="G336" i="5"/>
  <c r="H336" i="5"/>
  <c r="I336" i="5"/>
  <c r="F337" i="5"/>
  <c r="G337" i="5"/>
  <c r="H337" i="5"/>
  <c r="I337" i="5"/>
  <c r="F338" i="5"/>
  <c r="G338" i="5"/>
  <c r="H338" i="5"/>
  <c r="I338" i="5"/>
  <c r="F339" i="5"/>
  <c r="G339" i="5"/>
  <c r="H339" i="5"/>
  <c r="I339" i="5"/>
  <c r="F340" i="5"/>
  <c r="G340" i="5"/>
  <c r="H340" i="5"/>
  <c r="I340" i="5"/>
  <c r="F341" i="5"/>
  <c r="G341" i="5"/>
  <c r="H341" i="5"/>
  <c r="I341" i="5"/>
  <c r="F342" i="5"/>
  <c r="G342" i="5"/>
  <c r="H342" i="5"/>
  <c r="I342" i="5"/>
  <c r="F343" i="5"/>
  <c r="G343" i="5"/>
  <c r="H343" i="5"/>
  <c r="I343" i="5"/>
  <c r="F344" i="5"/>
  <c r="G344" i="5"/>
  <c r="H344" i="5"/>
  <c r="I344" i="5"/>
  <c r="F345" i="5"/>
  <c r="G345" i="5"/>
  <c r="H345" i="5"/>
  <c r="I345" i="5"/>
  <c r="F346" i="5"/>
  <c r="G346" i="5"/>
  <c r="H346" i="5"/>
  <c r="I346" i="5"/>
  <c r="F347" i="5"/>
  <c r="G347" i="5"/>
  <c r="H347" i="5"/>
  <c r="I347" i="5"/>
  <c r="F348" i="5"/>
  <c r="G348" i="5"/>
  <c r="H348" i="5"/>
  <c r="I348" i="5"/>
  <c r="F349" i="5"/>
  <c r="G349" i="5"/>
  <c r="H349" i="5"/>
  <c r="I349" i="5"/>
  <c r="F350" i="5"/>
  <c r="G350" i="5"/>
  <c r="H350" i="5"/>
  <c r="I350" i="5"/>
  <c r="F351" i="5"/>
  <c r="G351" i="5"/>
  <c r="H351" i="5"/>
  <c r="I351" i="5"/>
  <c r="F352" i="5"/>
  <c r="G352" i="5"/>
  <c r="H352" i="5"/>
  <c r="I352" i="5"/>
  <c r="F353" i="5"/>
  <c r="G353" i="5"/>
  <c r="H353" i="5"/>
  <c r="I353" i="5"/>
  <c r="F354" i="5"/>
  <c r="G354" i="5"/>
  <c r="H354" i="5"/>
  <c r="I354" i="5"/>
  <c r="F355" i="5"/>
  <c r="G355" i="5"/>
  <c r="H355" i="5"/>
  <c r="I355" i="5"/>
  <c r="F356" i="5"/>
  <c r="G356" i="5"/>
  <c r="H356" i="5"/>
  <c r="I356" i="5"/>
  <c r="F357" i="5"/>
  <c r="G357" i="5"/>
  <c r="H357" i="5"/>
  <c r="I357" i="5"/>
  <c r="F358" i="5"/>
  <c r="G358" i="5"/>
  <c r="H358" i="5"/>
  <c r="I358" i="5"/>
  <c r="F359" i="5"/>
  <c r="G359" i="5"/>
  <c r="H359" i="5"/>
  <c r="I359" i="5"/>
  <c r="F360" i="5"/>
  <c r="G360" i="5"/>
  <c r="H360" i="5"/>
  <c r="I360" i="5"/>
  <c r="F361" i="5"/>
  <c r="G361" i="5"/>
  <c r="H361" i="5"/>
  <c r="I361" i="5"/>
  <c r="F362" i="5"/>
  <c r="G362" i="5"/>
  <c r="H362" i="5"/>
  <c r="I362" i="5"/>
  <c r="F363" i="5"/>
  <c r="G363" i="5"/>
  <c r="H363" i="5"/>
  <c r="I363" i="5"/>
  <c r="F364" i="5"/>
  <c r="G364" i="5"/>
  <c r="H364" i="5"/>
  <c r="I364" i="5"/>
  <c r="F365" i="5"/>
  <c r="G365" i="5"/>
  <c r="H365" i="5"/>
  <c r="I365" i="5"/>
  <c r="F366" i="5"/>
  <c r="G366" i="5"/>
  <c r="H366" i="5"/>
  <c r="I366" i="5"/>
  <c r="F367" i="5"/>
  <c r="G367" i="5"/>
  <c r="H367" i="5"/>
  <c r="I367" i="5"/>
  <c r="F368" i="5"/>
  <c r="G368" i="5"/>
  <c r="H368" i="5"/>
  <c r="I368" i="5"/>
  <c r="F369" i="5"/>
  <c r="G369" i="5"/>
  <c r="H369" i="5"/>
  <c r="I369" i="5"/>
  <c r="F370" i="5"/>
  <c r="G370" i="5"/>
  <c r="H370" i="5"/>
  <c r="I370" i="5"/>
  <c r="F371" i="5"/>
  <c r="G371" i="5"/>
  <c r="H371" i="5"/>
  <c r="I371" i="5"/>
  <c r="F372" i="5"/>
  <c r="G372" i="5"/>
  <c r="H372" i="5"/>
  <c r="I372" i="5"/>
  <c r="F373" i="5"/>
  <c r="G373" i="5"/>
  <c r="H373" i="5"/>
  <c r="I373" i="5"/>
  <c r="F374" i="5"/>
  <c r="G374" i="5"/>
  <c r="H374" i="5"/>
  <c r="I374" i="5"/>
  <c r="F375" i="5"/>
  <c r="G375" i="5"/>
  <c r="H375" i="5"/>
  <c r="I375" i="5"/>
  <c r="F376" i="5"/>
  <c r="G376" i="5"/>
  <c r="H376" i="5"/>
  <c r="I376" i="5"/>
  <c r="F377" i="5"/>
  <c r="G377" i="5"/>
  <c r="H377" i="5"/>
  <c r="I377" i="5"/>
  <c r="F378" i="5"/>
  <c r="G378" i="5"/>
  <c r="H378" i="5"/>
  <c r="I378" i="5"/>
  <c r="F379" i="5"/>
  <c r="G379" i="5"/>
  <c r="H379" i="5"/>
  <c r="I379" i="5"/>
  <c r="F380" i="5"/>
  <c r="G380" i="5"/>
  <c r="H380" i="5"/>
  <c r="I380" i="5"/>
  <c r="F381" i="5"/>
  <c r="G381" i="5"/>
  <c r="H381" i="5"/>
  <c r="I381" i="5"/>
  <c r="F382" i="5"/>
  <c r="G382" i="5"/>
  <c r="H382" i="5"/>
  <c r="I382" i="5"/>
  <c r="F383" i="5"/>
  <c r="G383" i="5"/>
  <c r="H383" i="5"/>
  <c r="I383" i="5"/>
  <c r="F384" i="5"/>
  <c r="G384" i="5"/>
  <c r="H384" i="5"/>
  <c r="I384" i="5"/>
  <c r="F385" i="5"/>
  <c r="G385" i="5"/>
  <c r="H385" i="5"/>
  <c r="I385" i="5"/>
  <c r="F386" i="5"/>
  <c r="G386" i="5"/>
  <c r="H386" i="5"/>
  <c r="I386" i="5"/>
  <c r="F387" i="5"/>
  <c r="G387" i="5"/>
  <c r="H387" i="5"/>
  <c r="I387" i="5"/>
  <c r="F388" i="5"/>
  <c r="G388" i="5"/>
  <c r="H388" i="5"/>
  <c r="I388" i="5"/>
  <c r="F389" i="5"/>
  <c r="G389" i="5"/>
  <c r="H389" i="5"/>
  <c r="I389" i="5"/>
  <c r="F390" i="5"/>
  <c r="G390" i="5"/>
  <c r="H390" i="5"/>
  <c r="I390" i="5"/>
  <c r="F391" i="5"/>
  <c r="G391" i="5"/>
  <c r="H391" i="5"/>
  <c r="I391" i="5"/>
  <c r="F392" i="5"/>
  <c r="G392" i="5"/>
  <c r="H392" i="5"/>
  <c r="I392" i="5"/>
  <c r="I11" i="5"/>
  <c r="H11" i="5"/>
  <c r="G11" i="5"/>
  <c r="F11" i="5"/>
  <c r="L350" i="6" l="1"/>
  <c r="L386" i="6"/>
  <c r="L349" i="6"/>
  <c r="H348" i="6"/>
  <c r="H388" i="6"/>
  <c r="H387" i="6"/>
  <c r="D390" i="6"/>
  <c r="D391" i="6"/>
  <c r="D389" i="6"/>
  <c r="M198" i="6"/>
  <c r="M197" i="6"/>
  <c r="M234" i="6"/>
  <c r="M389" i="6"/>
  <c r="I235" i="6"/>
  <c r="I196" i="6"/>
  <c r="I236" i="6"/>
  <c r="I391" i="6"/>
  <c r="L195" i="6"/>
  <c r="L196" i="6"/>
  <c r="H385" i="6"/>
  <c r="H389" i="6"/>
  <c r="H386" i="6"/>
  <c r="M345" i="6"/>
  <c r="M344" i="6"/>
  <c r="I343" i="6"/>
  <c r="I349" i="6"/>
  <c r="E350" i="6"/>
  <c r="L342" i="6"/>
  <c r="L343" i="6"/>
  <c r="H341" i="6"/>
  <c r="H347" i="6"/>
  <c r="D348" i="6"/>
  <c r="D349" i="6"/>
  <c r="M303" i="6"/>
  <c r="M309" i="6"/>
  <c r="I305" i="6"/>
  <c r="I304" i="6"/>
  <c r="E311" i="6"/>
  <c r="E310" i="6"/>
  <c r="L340" i="6"/>
  <c r="L341" i="6"/>
  <c r="H302" i="6"/>
  <c r="H303" i="6"/>
  <c r="D347" i="6"/>
  <c r="D309" i="6"/>
  <c r="M379" i="6"/>
  <c r="M385" i="6"/>
  <c r="I381" i="6"/>
  <c r="I380" i="6"/>
  <c r="E387" i="6"/>
  <c r="E386" i="6"/>
  <c r="L267" i="6"/>
  <c r="L266" i="6"/>
  <c r="H265" i="6"/>
  <c r="H271" i="6"/>
  <c r="D272" i="6"/>
  <c r="D273" i="6"/>
  <c r="M191" i="6"/>
  <c r="M190" i="6"/>
  <c r="I195" i="6"/>
  <c r="I189" i="6"/>
  <c r="E197" i="6"/>
  <c r="E196" i="6"/>
  <c r="L189" i="6"/>
  <c r="L188" i="6"/>
  <c r="H379" i="6"/>
  <c r="H378" i="6"/>
  <c r="D195" i="6"/>
  <c r="D385" i="6"/>
  <c r="M264" i="6"/>
  <c r="M265" i="6"/>
  <c r="I227" i="6"/>
  <c r="I226" i="6"/>
  <c r="E233" i="6"/>
  <c r="E271" i="6"/>
  <c r="L339" i="6"/>
  <c r="L376" i="6"/>
  <c r="L384" i="6"/>
  <c r="H338" i="6"/>
  <c r="H346" i="6"/>
  <c r="H377" i="6"/>
  <c r="M334" i="6"/>
  <c r="M333" i="6"/>
  <c r="I332" i="6"/>
  <c r="I340" i="6"/>
  <c r="E341" i="6"/>
  <c r="E342" i="6"/>
  <c r="L263" i="6"/>
  <c r="L300" i="6"/>
  <c r="L308" i="6"/>
  <c r="H262" i="6"/>
  <c r="H270" i="6"/>
  <c r="H301" i="6"/>
  <c r="M294" i="6"/>
  <c r="M302" i="6"/>
  <c r="I295" i="6"/>
  <c r="I296" i="6"/>
  <c r="E304" i="6"/>
  <c r="E303" i="6"/>
  <c r="L332" i="6"/>
  <c r="H294" i="6"/>
  <c r="D340" i="6"/>
  <c r="D302" i="6"/>
  <c r="M372" i="6"/>
  <c r="M380" i="6"/>
  <c r="I374" i="6"/>
  <c r="I373" i="6"/>
  <c r="E381" i="6"/>
  <c r="E382" i="6"/>
  <c r="L259" i="6"/>
  <c r="L260" i="6"/>
  <c r="H258" i="6"/>
  <c r="H266" i="6"/>
  <c r="D268" i="6"/>
  <c r="D267" i="6"/>
  <c r="M224" i="6"/>
  <c r="M187" i="6"/>
  <c r="M232" i="6"/>
  <c r="I186" i="6"/>
  <c r="I194" i="6"/>
  <c r="I225" i="6"/>
  <c r="L186" i="6"/>
  <c r="L185" i="6"/>
  <c r="H184" i="6"/>
  <c r="H192" i="6"/>
  <c r="D194" i="6"/>
  <c r="D193" i="6"/>
  <c r="M180" i="6"/>
  <c r="I370" i="6"/>
  <c r="E188" i="6"/>
  <c r="E378" i="6"/>
  <c r="L222" i="6"/>
  <c r="L230" i="6"/>
  <c r="H224" i="6"/>
  <c r="H223" i="6"/>
  <c r="D232" i="6"/>
  <c r="D231" i="6"/>
  <c r="M256" i="6"/>
  <c r="I218" i="6"/>
  <c r="E264" i="6"/>
  <c r="E226" i="6"/>
  <c r="L331" i="6"/>
  <c r="L377" i="6"/>
  <c r="L368" i="6"/>
  <c r="H330" i="6"/>
  <c r="H339" i="6"/>
  <c r="H369" i="6"/>
  <c r="M324" i="6"/>
  <c r="M326" i="6"/>
  <c r="M325" i="6"/>
  <c r="I333" i="6"/>
  <c r="E335" i="6"/>
  <c r="E334" i="6"/>
  <c r="L255" i="6"/>
  <c r="L301" i="6"/>
  <c r="L292" i="6"/>
  <c r="H254" i="6"/>
  <c r="H293" i="6"/>
  <c r="H263" i="6"/>
  <c r="M295" i="6"/>
  <c r="I287" i="6"/>
  <c r="I286" i="6"/>
  <c r="I288" i="6"/>
  <c r="E297" i="6"/>
  <c r="E296" i="6"/>
  <c r="L323" i="6"/>
  <c r="H285" i="6"/>
  <c r="D324" i="6"/>
  <c r="D332" i="6"/>
  <c r="D295" i="6"/>
  <c r="D286" i="6"/>
  <c r="D294" i="6"/>
  <c r="D333" i="6"/>
  <c r="M373" i="6"/>
  <c r="M364" i="6"/>
  <c r="I366" i="6"/>
  <c r="I365" i="6"/>
  <c r="E375" i="6"/>
  <c r="E374" i="6"/>
  <c r="L251" i="6"/>
  <c r="L252" i="6"/>
  <c r="H250" i="6"/>
  <c r="H259" i="6"/>
  <c r="D260" i="6"/>
  <c r="D261" i="6"/>
  <c r="M216" i="6"/>
  <c r="M179" i="6"/>
  <c r="M225" i="6"/>
  <c r="I187" i="6"/>
  <c r="I178" i="6"/>
  <c r="I217" i="6"/>
  <c r="L178" i="6"/>
  <c r="L177" i="6"/>
  <c r="H185" i="6"/>
  <c r="H176" i="6"/>
  <c r="D187" i="6"/>
  <c r="D186" i="6"/>
  <c r="M171" i="6"/>
  <c r="E181" i="6"/>
  <c r="I361" i="6"/>
  <c r="E172" i="6"/>
  <c r="E180" i="6"/>
  <c r="E371" i="6"/>
  <c r="E362" i="6"/>
  <c r="E370" i="6"/>
  <c r="L223" i="6"/>
  <c r="L214" i="6"/>
  <c r="H216" i="6"/>
  <c r="H215" i="6"/>
  <c r="D224" i="6"/>
  <c r="D225" i="6"/>
  <c r="M247" i="6"/>
  <c r="I209" i="6"/>
  <c r="E257" i="6"/>
  <c r="E248" i="6"/>
  <c r="E256" i="6"/>
  <c r="E219" i="6"/>
  <c r="E210" i="6"/>
  <c r="E218" i="6"/>
  <c r="L322" i="6"/>
  <c r="L369" i="6"/>
  <c r="L359" i="6"/>
  <c r="H321" i="6"/>
  <c r="H331" i="6"/>
  <c r="H360" i="6"/>
  <c r="M316" i="6"/>
  <c r="M317" i="6"/>
  <c r="I315" i="6"/>
  <c r="I325" i="6"/>
  <c r="E327" i="6"/>
  <c r="E326" i="6"/>
  <c r="L315" i="6"/>
  <c r="L314" i="6"/>
  <c r="H313" i="6"/>
  <c r="H324" i="6"/>
  <c r="H323" i="6"/>
  <c r="D325" i="6"/>
  <c r="M279" i="6"/>
  <c r="M289" i="6"/>
  <c r="I281" i="6"/>
  <c r="I280" i="6"/>
  <c r="E291" i="6"/>
  <c r="E290" i="6"/>
  <c r="L287" i="6"/>
  <c r="L277" i="6"/>
  <c r="H278" i="6"/>
  <c r="H279" i="6"/>
  <c r="D288" i="6"/>
  <c r="D289" i="6"/>
  <c r="M367" i="6"/>
  <c r="M357" i="6"/>
  <c r="I358" i="6"/>
  <c r="I359" i="6"/>
  <c r="E369" i="6"/>
  <c r="E368" i="6"/>
  <c r="L245" i="6"/>
  <c r="L244" i="6"/>
  <c r="H253" i="6"/>
  <c r="H243" i="6"/>
  <c r="D255" i="6"/>
  <c r="D254" i="6"/>
  <c r="M363" i="6"/>
  <c r="M353" i="6"/>
  <c r="I354" i="6"/>
  <c r="I355" i="6"/>
  <c r="E365" i="6"/>
  <c r="E364" i="6"/>
  <c r="L241" i="6"/>
  <c r="L240" i="6"/>
  <c r="H249" i="6"/>
  <c r="H239" i="6"/>
  <c r="D251" i="6"/>
  <c r="D250" i="6"/>
  <c r="M207" i="6"/>
  <c r="M170" i="6"/>
  <c r="M217" i="6"/>
  <c r="I179" i="6"/>
  <c r="I169" i="6"/>
  <c r="I208" i="6"/>
  <c r="L169" i="6"/>
  <c r="L168" i="6"/>
  <c r="H177" i="6"/>
  <c r="H167" i="6"/>
  <c r="D179" i="6"/>
  <c r="D178" i="6"/>
  <c r="M163" i="6"/>
  <c r="M162" i="6"/>
  <c r="I171" i="6"/>
  <c r="I161" i="6"/>
  <c r="I172" i="6"/>
  <c r="E173" i="6"/>
  <c r="L161" i="6"/>
  <c r="D171" i="6"/>
  <c r="H351" i="6"/>
  <c r="D361" i="6"/>
  <c r="M211" i="6"/>
  <c r="M201" i="6"/>
  <c r="I203" i="6"/>
  <c r="I202" i="6"/>
  <c r="E213" i="6"/>
  <c r="E212" i="6"/>
  <c r="L199" i="6"/>
  <c r="L210" i="6"/>
  <c r="L209" i="6"/>
  <c r="H201" i="6"/>
  <c r="H200" i="6"/>
  <c r="D211" i="6"/>
  <c r="M152" i="6"/>
  <c r="M153" i="6"/>
  <c r="I154" i="6"/>
  <c r="I320" i="6"/>
  <c r="E321" i="6"/>
  <c r="E322" i="6"/>
  <c r="L155" i="6"/>
  <c r="L154" i="6"/>
  <c r="H318" i="6"/>
  <c r="H156" i="6"/>
  <c r="D320" i="6"/>
  <c r="D319" i="6"/>
  <c r="M102" i="6"/>
  <c r="M284" i="6"/>
  <c r="I101" i="6"/>
  <c r="I246" i="6"/>
  <c r="L104" i="6"/>
  <c r="L282" i="6"/>
  <c r="H103" i="6"/>
  <c r="H102" i="6"/>
  <c r="D284" i="6"/>
  <c r="D283" i="6"/>
  <c r="M110" i="6"/>
  <c r="M276" i="6"/>
  <c r="I109" i="6"/>
  <c r="I108" i="6"/>
  <c r="E277" i="6"/>
  <c r="E278" i="6"/>
  <c r="L160" i="6"/>
  <c r="H110" i="6"/>
  <c r="D276" i="6"/>
  <c r="D275" i="6"/>
  <c r="D314" i="6"/>
  <c r="D313" i="6"/>
  <c r="M136" i="6"/>
  <c r="M137" i="6"/>
  <c r="I138" i="6"/>
  <c r="I155" i="6"/>
  <c r="E153" i="6"/>
  <c r="E154" i="6"/>
  <c r="L139" i="6"/>
  <c r="L138" i="6"/>
  <c r="H157" i="6"/>
  <c r="H140" i="6"/>
  <c r="D156" i="6"/>
  <c r="D155" i="6"/>
  <c r="M86" i="6"/>
  <c r="M103" i="6"/>
  <c r="I85" i="6"/>
  <c r="I100" i="6"/>
  <c r="E101" i="6"/>
  <c r="E102" i="6"/>
  <c r="L105" i="6"/>
  <c r="L88" i="6"/>
  <c r="H87" i="6"/>
  <c r="H86" i="6"/>
  <c r="D104" i="6"/>
  <c r="D103" i="6"/>
  <c r="M142" i="6"/>
  <c r="I92" i="6"/>
  <c r="E109" i="6"/>
  <c r="E160" i="6"/>
  <c r="E159" i="6"/>
  <c r="E110" i="6"/>
  <c r="L147" i="6"/>
  <c r="L356" i="6"/>
  <c r="H149" i="6"/>
  <c r="H148" i="6"/>
  <c r="D358" i="6"/>
  <c r="D357" i="6"/>
  <c r="M124" i="6"/>
  <c r="M125" i="6"/>
  <c r="I139" i="6"/>
  <c r="I126" i="6"/>
  <c r="E137" i="6"/>
  <c r="E138" i="6"/>
  <c r="L127" i="6"/>
  <c r="L126" i="6"/>
  <c r="H128" i="6"/>
  <c r="H141" i="6"/>
  <c r="D140" i="6"/>
  <c r="D139" i="6"/>
  <c r="M74" i="6"/>
  <c r="M87" i="6"/>
  <c r="I73" i="6"/>
  <c r="I84" i="6"/>
  <c r="E85" i="6"/>
  <c r="E86" i="6"/>
  <c r="L89" i="6"/>
  <c r="L76" i="6"/>
  <c r="H75" i="6"/>
  <c r="H74" i="6"/>
  <c r="D88" i="6"/>
  <c r="D87" i="6"/>
  <c r="M145" i="6"/>
  <c r="M354" i="6"/>
  <c r="I147" i="6"/>
  <c r="I146" i="6"/>
  <c r="E356" i="6"/>
  <c r="E355" i="6"/>
  <c r="L131" i="6"/>
  <c r="L146" i="6"/>
  <c r="H133" i="6"/>
  <c r="H132" i="6"/>
  <c r="D148" i="6"/>
  <c r="D147" i="6"/>
  <c r="M117" i="6"/>
  <c r="M116" i="6"/>
  <c r="I127" i="6"/>
  <c r="I118" i="6"/>
  <c r="E125" i="6"/>
  <c r="E126" i="6"/>
  <c r="L97" i="6"/>
  <c r="L96" i="6"/>
  <c r="H95" i="6"/>
  <c r="H240" i="6"/>
  <c r="D242" i="6"/>
  <c r="D241" i="6"/>
  <c r="M66" i="6"/>
  <c r="M75" i="6"/>
  <c r="I65" i="6"/>
  <c r="I72" i="6"/>
  <c r="E73" i="6"/>
  <c r="E74" i="6"/>
  <c r="L77" i="6"/>
  <c r="L68" i="6"/>
  <c r="H67" i="6"/>
  <c r="H66" i="6"/>
  <c r="D76" i="6"/>
  <c r="D75" i="6"/>
  <c r="M144" i="6"/>
  <c r="M129" i="6"/>
  <c r="I131" i="6"/>
  <c r="I130" i="6"/>
  <c r="E145" i="6"/>
  <c r="E146" i="6"/>
  <c r="L119" i="6"/>
  <c r="L130" i="6"/>
  <c r="H120" i="6"/>
  <c r="H121" i="6"/>
  <c r="D132" i="6"/>
  <c r="D131" i="6"/>
  <c r="M94" i="6"/>
  <c r="M95" i="6"/>
  <c r="I93" i="6"/>
  <c r="I238" i="6"/>
  <c r="E240" i="6"/>
  <c r="E239" i="6"/>
  <c r="L81" i="6"/>
  <c r="L80" i="6"/>
  <c r="H79" i="6"/>
  <c r="H94" i="6"/>
  <c r="D96" i="6"/>
  <c r="D95" i="6"/>
  <c r="M62" i="6"/>
  <c r="M67" i="6"/>
  <c r="I61" i="6"/>
  <c r="I64" i="6"/>
  <c r="E65" i="6"/>
  <c r="E66" i="6"/>
  <c r="L112" i="6"/>
  <c r="H62" i="6"/>
  <c r="D68" i="6"/>
  <c r="D67" i="6"/>
  <c r="D118" i="6"/>
  <c r="D117" i="6"/>
  <c r="M49" i="6"/>
  <c r="M48" i="6"/>
  <c r="I47" i="6"/>
  <c r="I166" i="6"/>
  <c r="E168" i="6"/>
  <c r="E167" i="6"/>
  <c r="L47" i="6"/>
  <c r="L46" i="6"/>
  <c r="H45" i="6"/>
  <c r="H164" i="6"/>
  <c r="D166" i="6"/>
  <c r="D165" i="6"/>
  <c r="M54" i="6"/>
  <c r="M206" i="6"/>
  <c r="I53" i="6"/>
  <c r="I52" i="6"/>
  <c r="E208" i="6"/>
  <c r="E207" i="6"/>
  <c r="L53" i="6"/>
  <c r="L36" i="6"/>
  <c r="H35" i="6"/>
  <c r="H50" i="6"/>
  <c r="D52" i="6"/>
  <c r="D51" i="6"/>
  <c r="M30" i="6"/>
  <c r="M31" i="6"/>
  <c r="I29" i="6"/>
  <c r="I44" i="6"/>
  <c r="E45" i="6"/>
  <c r="E46" i="6"/>
  <c r="L29" i="6"/>
  <c r="H129" i="6"/>
  <c r="D44" i="6"/>
  <c r="D144" i="6"/>
  <c r="D43" i="6"/>
  <c r="D143" i="6"/>
  <c r="M37" i="6"/>
  <c r="M24" i="6"/>
  <c r="I34" i="6"/>
  <c r="I23" i="6"/>
  <c r="E36" i="6"/>
  <c r="E35" i="6"/>
  <c r="L23" i="6"/>
  <c r="L22" i="6"/>
  <c r="H21" i="6"/>
  <c r="H32" i="6"/>
  <c r="D34" i="6"/>
  <c r="D33" i="6"/>
  <c r="M58" i="6"/>
  <c r="M202" i="6"/>
  <c r="I57" i="6"/>
  <c r="I56" i="6"/>
  <c r="E204" i="6"/>
  <c r="E203" i="6"/>
  <c r="L57" i="6"/>
  <c r="L40" i="6"/>
  <c r="H39" i="6"/>
  <c r="H38" i="6"/>
  <c r="D56" i="6"/>
  <c r="D55" i="6"/>
  <c r="M14" i="6"/>
  <c r="M15" i="6"/>
  <c r="I13" i="6"/>
  <c r="I20" i="6"/>
  <c r="E21" i="6"/>
  <c r="E22" i="6"/>
  <c r="L13" i="6"/>
  <c r="H113" i="6"/>
  <c r="D20" i="6"/>
  <c r="D120" i="6"/>
  <c r="D19" i="6"/>
  <c r="D119" i="6"/>
  <c r="M41" i="6"/>
  <c r="M28" i="6"/>
  <c r="I26" i="6"/>
  <c r="I27" i="6"/>
  <c r="E40" i="6"/>
  <c r="E39" i="6"/>
  <c r="L27" i="6"/>
  <c r="L18" i="6"/>
  <c r="H17" i="6"/>
  <c r="H16" i="6"/>
  <c r="D26" i="6"/>
  <c r="D25" i="6"/>
  <c r="M93" i="6"/>
  <c r="I60" i="6"/>
  <c r="E237" i="6"/>
  <c r="E200" i="6"/>
  <c r="E199" i="6"/>
  <c r="E238" i="6"/>
  <c r="L79" i="6"/>
  <c r="H42" i="6"/>
  <c r="D60" i="6"/>
  <c r="D59" i="6"/>
  <c r="D94" i="6"/>
  <c r="D93" i="6"/>
  <c r="M61" i="6"/>
  <c r="I12" i="6"/>
  <c r="E17" i="6"/>
  <c r="E64" i="6"/>
  <c r="E63" i="6"/>
  <c r="E18" i="6"/>
  <c r="D12" i="6"/>
  <c r="D112" i="6"/>
  <c r="D111" i="6"/>
  <c r="D62" i="6"/>
  <c r="D61" i="6"/>
  <c r="D11" i="6"/>
  <c r="M347" i="6"/>
  <c r="M390" i="6"/>
  <c r="M348" i="6"/>
  <c r="I310" i="6"/>
  <c r="I309" i="6"/>
  <c r="E392" i="6"/>
  <c r="L198" i="6"/>
  <c r="L234" i="6"/>
  <c r="L197" i="6"/>
  <c r="L389" i="6"/>
  <c r="H196" i="6"/>
  <c r="H236" i="6"/>
  <c r="H235" i="6"/>
  <c r="H391" i="6"/>
  <c r="M383" i="6"/>
  <c r="M346" i="6"/>
  <c r="M388" i="6"/>
  <c r="I345" i="6"/>
  <c r="I350" i="6"/>
  <c r="I384" i="6"/>
  <c r="L344" i="6"/>
  <c r="L345" i="6"/>
  <c r="H343" i="6"/>
  <c r="H349" i="6"/>
  <c r="D350" i="6"/>
  <c r="M311" i="6"/>
  <c r="M305" i="6"/>
  <c r="I307" i="6"/>
  <c r="I306" i="6"/>
  <c r="E312" i="6"/>
  <c r="L303" i="6"/>
  <c r="L309" i="6"/>
  <c r="H305" i="6"/>
  <c r="H304" i="6"/>
  <c r="D311" i="6"/>
  <c r="D310" i="6"/>
  <c r="M268" i="6"/>
  <c r="M269" i="6"/>
  <c r="I267" i="6"/>
  <c r="I273" i="6"/>
  <c r="E274" i="6"/>
  <c r="L385" i="6"/>
  <c r="L379" i="6"/>
  <c r="H381" i="6"/>
  <c r="H380" i="6"/>
  <c r="D387" i="6"/>
  <c r="D386" i="6"/>
  <c r="M192" i="6"/>
  <c r="M193" i="6"/>
  <c r="I191" i="6"/>
  <c r="I197" i="6"/>
  <c r="E198" i="6"/>
  <c r="L191" i="6"/>
  <c r="L190" i="6"/>
  <c r="H189" i="6"/>
  <c r="H195" i="6"/>
  <c r="D196" i="6"/>
  <c r="D197" i="6"/>
  <c r="M227" i="6"/>
  <c r="M233" i="6"/>
  <c r="I229" i="6"/>
  <c r="I228" i="6"/>
  <c r="E235" i="6"/>
  <c r="E234" i="6"/>
  <c r="L265" i="6"/>
  <c r="L264" i="6"/>
  <c r="H226" i="6"/>
  <c r="H227" i="6"/>
  <c r="D271" i="6"/>
  <c r="D233" i="6"/>
  <c r="M336" i="6"/>
  <c r="M335" i="6"/>
  <c r="I334" i="6"/>
  <c r="I342" i="6"/>
  <c r="E344" i="6"/>
  <c r="E343" i="6"/>
  <c r="L334" i="6"/>
  <c r="L333" i="6"/>
  <c r="H332" i="6"/>
  <c r="H340" i="6"/>
  <c r="D342" i="6"/>
  <c r="D341" i="6"/>
  <c r="M296" i="6"/>
  <c r="M304" i="6"/>
  <c r="I298" i="6"/>
  <c r="I297" i="6"/>
  <c r="E305" i="6"/>
  <c r="E306" i="6"/>
  <c r="L294" i="6"/>
  <c r="L302" i="6"/>
  <c r="H296" i="6"/>
  <c r="H295" i="6"/>
  <c r="D304" i="6"/>
  <c r="D303" i="6"/>
  <c r="M262" i="6"/>
  <c r="M261" i="6"/>
  <c r="I260" i="6"/>
  <c r="I268" i="6"/>
  <c r="E269" i="6"/>
  <c r="E270" i="6"/>
  <c r="L372" i="6"/>
  <c r="L380" i="6"/>
  <c r="H373" i="6"/>
  <c r="H374" i="6"/>
  <c r="D382" i="6"/>
  <c r="D381" i="6"/>
  <c r="M258" i="6"/>
  <c r="M257" i="6"/>
  <c r="I256" i="6"/>
  <c r="I264" i="6"/>
  <c r="E265" i="6"/>
  <c r="E266" i="6"/>
  <c r="L187" i="6"/>
  <c r="L224" i="6"/>
  <c r="L232" i="6"/>
  <c r="H186" i="6"/>
  <c r="H194" i="6"/>
  <c r="H225" i="6"/>
  <c r="M182" i="6"/>
  <c r="M181" i="6"/>
  <c r="I180" i="6"/>
  <c r="I188" i="6"/>
  <c r="E189" i="6"/>
  <c r="E190" i="6"/>
  <c r="L180" i="6"/>
  <c r="D188" i="6"/>
  <c r="H370" i="6"/>
  <c r="D378" i="6"/>
  <c r="M218" i="6"/>
  <c r="M226" i="6"/>
  <c r="I219" i="6"/>
  <c r="I220" i="6"/>
  <c r="E228" i="6"/>
  <c r="E227" i="6"/>
  <c r="L256" i="6"/>
  <c r="H218" i="6"/>
  <c r="D264" i="6"/>
  <c r="D226" i="6"/>
  <c r="M328" i="6"/>
  <c r="M327" i="6"/>
  <c r="I335" i="6"/>
  <c r="I326" i="6"/>
  <c r="E337" i="6"/>
  <c r="E336" i="6"/>
  <c r="L326" i="6"/>
  <c r="L325" i="6"/>
  <c r="L324" i="6"/>
  <c r="H333" i="6"/>
  <c r="D335" i="6"/>
  <c r="D334" i="6"/>
  <c r="M288" i="6"/>
  <c r="M297" i="6"/>
  <c r="I290" i="6"/>
  <c r="I289" i="6"/>
  <c r="E299" i="6"/>
  <c r="E298" i="6"/>
  <c r="L295" i="6"/>
  <c r="H286" i="6"/>
  <c r="H288" i="6"/>
  <c r="H287" i="6"/>
  <c r="D296" i="6"/>
  <c r="D297" i="6"/>
  <c r="M254" i="6"/>
  <c r="M253" i="6"/>
  <c r="I261" i="6"/>
  <c r="I252" i="6"/>
  <c r="E263" i="6"/>
  <c r="E262" i="6"/>
  <c r="L373" i="6"/>
  <c r="L364" i="6"/>
  <c r="H365" i="6"/>
  <c r="H366" i="6"/>
  <c r="D375" i="6"/>
  <c r="D374" i="6"/>
  <c r="M248" i="6"/>
  <c r="M250" i="6"/>
  <c r="M249" i="6"/>
  <c r="I257" i="6"/>
  <c r="E259" i="6"/>
  <c r="E258" i="6"/>
  <c r="L179" i="6"/>
  <c r="L225" i="6"/>
  <c r="L216" i="6"/>
  <c r="H178" i="6"/>
  <c r="H217" i="6"/>
  <c r="H187" i="6"/>
  <c r="M172" i="6"/>
  <c r="M174" i="6"/>
  <c r="M173" i="6"/>
  <c r="I181" i="6"/>
  <c r="E183" i="6"/>
  <c r="E182" i="6"/>
  <c r="L171" i="6"/>
  <c r="H361" i="6"/>
  <c r="D172" i="6"/>
  <c r="D180" i="6"/>
  <c r="D181" i="6"/>
  <c r="D371" i="6"/>
  <c r="D362" i="6"/>
  <c r="D370" i="6"/>
  <c r="M219" i="6"/>
  <c r="I211" i="6"/>
  <c r="I210" i="6"/>
  <c r="I212" i="6"/>
  <c r="E221" i="6"/>
  <c r="E220" i="6"/>
  <c r="L247" i="6"/>
  <c r="H209" i="6"/>
  <c r="D248" i="6"/>
  <c r="D256" i="6"/>
  <c r="D219" i="6"/>
  <c r="D210" i="6"/>
  <c r="D218" i="6"/>
  <c r="D257" i="6"/>
  <c r="M319" i="6"/>
  <c r="M318" i="6"/>
  <c r="I327" i="6"/>
  <c r="I317" i="6"/>
  <c r="E329" i="6"/>
  <c r="E328" i="6"/>
  <c r="L317" i="6"/>
  <c r="L316" i="6"/>
  <c r="H325" i="6"/>
  <c r="H315" i="6"/>
  <c r="D327" i="6"/>
  <c r="D326" i="6"/>
  <c r="M291" i="6"/>
  <c r="M281" i="6"/>
  <c r="I283" i="6"/>
  <c r="I282" i="6"/>
  <c r="E293" i="6"/>
  <c r="E292" i="6"/>
  <c r="L279" i="6"/>
  <c r="L289" i="6"/>
  <c r="H281" i="6"/>
  <c r="H280" i="6"/>
  <c r="D291" i="6"/>
  <c r="D290" i="6"/>
  <c r="M313" i="6"/>
  <c r="I275" i="6"/>
  <c r="E285" i="6"/>
  <c r="E323" i="6"/>
  <c r="L357" i="6"/>
  <c r="L367" i="6"/>
  <c r="H359" i="6"/>
  <c r="H358" i="6"/>
  <c r="D368" i="6"/>
  <c r="D369" i="6"/>
  <c r="M243" i="6"/>
  <c r="M242" i="6"/>
  <c r="I251" i="6"/>
  <c r="I241" i="6"/>
  <c r="E253" i="6"/>
  <c r="E252" i="6"/>
  <c r="L353" i="6"/>
  <c r="L363" i="6"/>
  <c r="H355" i="6"/>
  <c r="H354" i="6"/>
  <c r="D364" i="6"/>
  <c r="D365" i="6"/>
  <c r="M239" i="6"/>
  <c r="M238" i="6"/>
  <c r="I247" i="6"/>
  <c r="I237" i="6"/>
  <c r="I248" i="6"/>
  <c r="E249" i="6"/>
  <c r="L207" i="6"/>
  <c r="L170" i="6"/>
  <c r="L217" i="6"/>
  <c r="H169" i="6"/>
  <c r="H208" i="6"/>
  <c r="H179" i="6"/>
  <c r="M164" i="6"/>
  <c r="M165" i="6"/>
  <c r="I163" i="6"/>
  <c r="I173" i="6"/>
  <c r="E175" i="6"/>
  <c r="E174" i="6"/>
  <c r="L163" i="6"/>
  <c r="L162" i="6"/>
  <c r="H161" i="6"/>
  <c r="H172" i="6"/>
  <c r="H171" i="6"/>
  <c r="D173" i="6"/>
  <c r="M203" i="6"/>
  <c r="M213" i="6"/>
  <c r="I205" i="6"/>
  <c r="I204" i="6"/>
  <c r="E215" i="6"/>
  <c r="E214" i="6"/>
  <c r="L211" i="6"/>
  <c r="L201" i="6"/>
  <c r="H202" i="6"/>
  <c r="H203" i="6"/>
  <c r="D212" i="6"/>
  <c r="D213" i="6"/>
  <c r="M151" i="6"/>
  <c r="M360" i="6"/>
  <c r="I322" i="6"/>
  <c r="I152" i="6"/>
  <c r="L153" i="6"/>
  <c r="L152" i="6"/>
  <c r="H154" i="6"/>
  <c r="H320" i="6"/>
  <c r="D322" i="6"/>
  <c r="D321" i="6"/>
  <c r="M159" i="6"/>
  <c r="M158" i="6"/>
  <c r="I314" i="6"/>
  <c r="I160" i="6"/>
  <c r="E316" i="6"/>
  <c r="E315" i="6"/>
  <c r="L102" i="6"/>
  <c r="L284" i="6"/>
  <c r="H246" i="6"/>
  <c r="H101" i="6"/>
  <c r="M108" i="6"/>
  <c r="M278" i="6"/>
  <c r="I107" i="6"/>
  <c r="I106" i="6"/>
  <c r="E280" i="6"/>
  <c r="E279" i="6"/>
  <c r="L110" i="6"/>
  <c r="L276" i="6"/>
  <c r="H108" i="6"/>
  <c r="H109" i="6"/>
  <c r="D278" i="6"/>
  <c r="D277" i="6"/>
  <c r="M135" i="6"/>
  <c r="M150" i="6"/>
  <c r="I136" i="6"/>
  <c r="I153" i="6"/>
  <c r="E152" i="6"/>
  <c r="E151" i="6"/>
  <c r="L137" i="6"/>
  <c r="L136" i="6"/>
  <c r="H138" i="6"/>
  <c r="H155" i="6"/>
  <c r="D154" i="6"/>
  <c r="D153" i="6"/>
  <c r="M101" i="6"/>
  <c r="M100" i="6"/>
  <c r="I99" i="6"/>
  <c r="I244" i="6"/>
  <c r="E245" i="6"/>
  <c r="E246" i="6"/>
  <c r="L103" i="6"/>
  <c r="L86" i="6"/>
  <c r="H100" i="6"/>
  <c r="H85" i="6"/>
  <c r="D102" i="6"/>
  <c r="D101" i="6"/>
  <c r="M109" i="6"/>
  <c r="M92" i="6"/>
  <c r="I91" i="6"/>
  <c r="I90" i="6"/>
  <c r="E108" i="6"/>
  <c r="E107" i="6"/>
  <c r="L142" i="6"/>
  <c r="H92" i="6"/>
  <c r="D160" i="6"/>
  <c r="D159" i="6"/>
  <c r="D110" i="6"/>
  <c r="D109" i="6"/>
  <c r="M134" i="6"/>
  <c r="M123" i="6"/>
  <c r="I124" i="6"/>
  <c r="I137" i="6"/>
  <c r="E136" i="6"/>
  <c r="E135" i="6"/>
  <c r="L124" i="6"/>
  <c r="L125" i="6"/>
  <c r="H139" i="6"/>
  <c r="H126" i="6"/>
  <c r="D138" i="6"/>
  <c r="D137" i="6"/>
  <c r="M85" i="6"/>
  <c r="M84" i="6"/>
  <c r="I83" i="6"/>
  <c r="I98" i="6"/>
  <c r="E100" i="6"/>
  <c r="E99" i="6"/>
  <c r="L87" i="6"/>
  <c r="L74" i="6"/>
  <c r="H73" i="6"/>
  <c r="H84" i="6"/>
  <c r="D86" i="6"/>
  <c r="D85" i="6"/>
  <c r="M128" i="6"/>
  <c r="I78" i="6"/>
  <c r="E141" i="6"/>
  <c r="E92" i="6"/>
  <c r="E91" i="6"/>
  <c r="E142" i="6"/>
  <c r="L145" i="6"/>
  <c r="L354" i="6"/>
  <c r="H146" i="6"/>
  <c r="H147" i="6"/>
  <c r="D356" i="6"/>
  <c r="D355" i="6"/>
  <c r="M115" i="6"/>
  <c r="M122" i="6"/>
  <c r="I125" i="6"/>
  <c r="I116" i="6"/>
  <c r="E124" i="6"/>
  <c r="E123" i="6"/>
  <c r="L117" i="6"/>
  <c r="L116" i="6"/>
  <c r="H127" i="6"/>
  <c r="H118" i="6"/>
  <c r="D126" i="6"/>
  <c r="D125" i="6"/>
  <c r="M73" i="6"/>
  <c r="M72" i="6"/>
  <c r="I71" i="6"/>
  <c r="I82" i="6"/>
  <c r="E84" i="6"/>
  <c r="E83" i="6"/>
  <c r="L75" i="6"/>
  <c r="L66" i="6"/>
  <c r="H65" i="6"/>
  <c r="H72" i="6"/>
  <c r="D74" i="6"/>
  <c r="D73" i="6"/>
  <c r="M143" i="6"/>
  <c r="M352" i="6"/>
  <c r="I145" i="6"/>
  <c r="I144" i="6"/>
  <c r="E353" i="6"/>
  <c r="E354" i="6"/>
  <c r="L129" i="6"/>
  <c r="L144" i="6"/>
  <c r="H131" i="6"/>
  <c r="H130" i="6"/>
  <c r="D146" i="6"/>
  <c r="D145" i="6"/>
  <c r="M114" i="6"/>
  <c r="M111" i="6"/>
  <c r="I117" i="6"/>
  <c r="I112" i="6"/>
  <c r="E116" i="6"/>
  <c r="E115" i="6"/>
  <c r="L95" i="6"/>
  <c r="L94" i="6"/>
  <c r="H238" i="6"/>
  <c r="H93" i="6"/>
  <c r="D240" i="6"/>
  <c r="D239" i="6"/>
  <c r="M65" i="6"/>
  <c r="M64" i="6"/>
  <c r="I70" i="6"/>
  <c r="I63" i="6"/>
  <c r="E72" i="6"/>
  <c r="E71" i="6"/>
  <c r="L67" i="6"/>
  <c r="L62" i="6"/>
  <c r="H61" i="6"/>
  <c r="H64" i="6"/>
  <c r="D66" i="6"/>
  <c r="D65" i="6"/>
  <c r="M50" i="6"/>
  <c r="M51" i="6"/>
  <c r="I49" i="6"/>
  <c r="I168" i="6"/>
  <c r="E169" i="6"/>
  <c r="E170" i="6"/>
  <c r="L49" i="6"/>
  <c r="L48" i="6"/>
  <c r="H47" i="6"/>
  <c r="H166" i="6"/>
  <c r="D168" i="6"/>
  <c r="D167" i="6"/>
  <c r="M43" i="6"/>
  <c r="I143" i="6"/>
  <c r="E161" i="6"/>
  <c r="E162" i="6"/>
  <c r="E352" i="6"/>
  <c r="E351" i="6"/>
  <c r="L54" i="6"/>
  <c r="L206" i="6"/>
  <c r="H53" i="6"/>
  <c r="H52" i="6"/>
  <c r="D208" i="6"/>
  <c r="D207" i="6"/>
  <c r="M33" i="6"/>
  <c r="M32" i="6"/>
  <c r="I46" i="6"/>
  <c r="I31" i="6"/>
  <c r="E48" i="6"/>
  <c r="E47" i="6"/>
  <c r="L31" i="6"/>
  <c r="L30" i="6"/>
  <c r="H29" i="6"/>
  <c r="H44" i="6"/>
  <c r="D46" i="6"/>
  <c r="D45" i="6"/>
  <c r="M38" i="6"/>
  <c r="M55" i="6"/>
  <c r="I37" i="6"/>
  <c r="I36" i="6"/>
  <c r="E53" i="6"/>
  <c r="E54" i="6"/>
  <c r="L37" i="6"/>
  <c r="L24" i="6"/>
  <c r="H23" i="6"/>
  <c r="H34" i="6"/>
  <c r="D36" i="6"/>
  <c r="D35" i="6"/>
  <c r="M19" i="6"/>
  <c r="I119" i="6"/>
  <c r="E29" i="6"/>
  <c r="E129" i="6"/>
  <c r="E30" i="6"/>
  <c r="E130" i="6"/>
  <c r="L58" i="6"/>
  <c r="L202" i="6"/>
  <c r="H57" i="6"/>
  <c r="H56" i="6"/>
  <c r="D204" i="6"/>
  <c r="D203" i="6"/>
  <c r="M25" i="6"/>
  <c r="M16" i="6"/>
  <c r="I22" i="6"/>
  <c r="I15" i="6"/>
  <c r="E24" i="6"/>
  <c r="E23" i="6"/>
  <c r="L15" i="6"/>
  <c r="L14" i="6"/>
  <c r="H13" i="6"/>
  <c r="H20" i="6"/>
  <c r="D22" i="6"/>
  <c r="D21" i="6"/>
  <c r="M42" i="6"/>
  <c r="M59" i="6"/>
  <c r="I41" i="6"/>
  <c r="I40" i="6"/>
  <c r="E57" i="6"/>
  <c r="E58" i="6"/>
  <c r="L41" i="6"/>
  <c r="L28" i="6"/>
  <c r="H27" i="6"/>
  <c r="H26" i="6"/>
  <c r="D40" i="6"/>
  <c r="D39" i="6"/>
  <c r="I111" i="6"/>
  <c r="E13" i="6"/>
  <c r="E113" i="6"/>
  <c r="E14" i="6"/>
  <c r="E114" i="6"/>
  <c r="L93" i="6"/>
  <c r="H60" i="6"/>
  <c r="D200" i="6"/>
  <c r="D199" i="6"/>
  <c r="D238" i="6"/>
  <c r="D237" i="6"/>
  <c r="M63" i="6"/>
  <c r="I18" i="6"/>
  <c r="E69" i="6"/>
  <c r="E28" i="6"/>
  <c r="E27" i="6"/>
  <c r="E70" i="6"/>
  <c r="L61" i="6"/>
  <c r="H12" i="6"/>
  <c r="D64" i="6"/>
  <c r="D63" i="6"/>
  <c r="D18" i="6"/>
  <c r="D17" i="6"/>
  <c r="E61" i="6"/>
  <c r="E12" i="6"/>
  <c r="E112" i="6"/>
  <c r="E111" i="6"/>
  <c r="E62" i="6"/>
  <c r="E11" i="6"/>
  <c r="M274" i="6"/>
  <c r="M310" i="6"/>
  <c r="M273" i="6"/>
  <c r="M392" i="6"/>
  <c r="I311" i="6"/>
  <c r="I272" i="6"/>
  <c r="I312" i="6"/>
  <c r="L390" i="6"/>
  <c r="L348" i="6"/>
  <c r="L347" i="6"/>
  <c r="H310" i="6"/>
  <c r="H309" i="6"/>
  <c r="D392" i="6"/>
  <c r="M272" i="6"/>
  <c r="M271" i="6"/>
  <c r="M391" i="6"/>
  <c r="I234" i="6"/>
  <c r="I233" i="6"/>
  <c r="I390" i="6"/>
  <c r="I392" i="6"/>
  <c r="L346" i="6"/>
  <c r="L388" i="6"/>
  <c r="L383" i="6"/>
  <c r="H384" i="6"/>
  <c r="H345" i="6"/>
  <c r="H350" i="6"/>
  <c r="M312" i="6"/>
  <c r="M307" i="6"/>
  <c r="M270" i="6"/>
  <c r="I274" i="6"/>
  <c r="I269" i="6"/>
  <c r="I308" i="6"/>
  <c r="L311" i="6"/>
  <c r="L305" i="6"/>
  <c r="H306" i="6"/>
  <c r="H307" i="6"/>
  <c r="D312" i="6"/>
  <c r="M387" i="6"/>
  <c r="M381" i="6"/>
  <c r="I382" i="6"/>
  <c r="I383" i="6"/>
  <c r="E388" i="6"/>
  <c r="L269" i="6"/>
  <c r="L268" i="6"/>
  <c r="H273" i="6"/>
  <c r="H267" i="6"/>
  <c r="D274" i="6"/>
  <c r="M231" i="6"/>
  <c r="M194" i="6"/>
  <c r="M236" i="6"/>
  <c r="I198" i="6"/>
  <c r="I193" i="6"/>
  <c r="I232" i="6"/>
  <c r="L193" i="6"/>
  <c r="L192" i="6"/>
  <c r="H197" i="6"/>
  <c r="H191" i="6"/>
  <c r="D198" i="6"/>
  <c r="M229" i="6"/>
  <c r="M235" i="6"/>
  <c r="I231" i="6"/>
  <c r="I230" i="6"/>
  <c r="E236" i="6"/>
  <c r="L227" i="6"/>
  <c r="L233" i="6"/>
  <c r="H229" i="6"/>
  <c r="H228" i="6"/>
  <c r="D235" i="6"/>
  <c r="D234" i="6"/>
  <c r="M338" i="6"/>
  <c r="M337" i="6"/>
  <c r="I336" i="6"/>
  <c r="I344" i="6"/>
  <c r="E345" i="6"/>
  <c r="E346" i="6"/>
  <c r="L335" i="6"/>
  <c r="L336" i="6"/>
  <c r="H334" i="6"/>
  <c r="H342" i="6"/>
  <c r="D344" i="6"/>
  <c r="D343" i="6"/>
  <c r="M298" i="6"/>
  <c r="M306" i="6"/>
  <c r="I299" i="6"/>
  <c r="I300" i="6"/>
  <c r="E308" i="6"/>
  <c r="E307" i="6"/>
  <c r="L296" i="6"/>
  <c r="L304" i="6"/>
  <c r="H298" i="6"/>
  <c r="H297" i="6"/>
  <c r="D306" i="6"/>
  <c r="D305" i="6"/>
  <c r="M374" i="6"/>
  <c r="M382" i="6"/>
  <c r="I376" i="6"/>
  <c r="I375" i="6"/>
  <c r="E384" i="6"/>
  <c r="E383" i="6"/>
  <c r="L262" i="6"/>
  <c r="L261" i="6"/>
  <c r="H260" i="6"/>
  <c r="H268" i="6"/>
  <c r="D270" i="6"/>
  <c r="D269" i="6"/>
  <c r="M370" i="6"/>
  <c r="M378" i="6"/>
  <c r="I372" i="6"/>
  <c r="I371" i="6"/>
  <c r="E380" i="6"/>
  <c r="E379" i="6"/>
  <c r="L258" i="6"/>
  <c r="L257" i="6"/>
  <c r="H256" i="6"/>
  <c r="H264" i="6"/>
  <c r="D266" i="6"/>
  <c r="D265" i="6"/>
  <c r="M184" i="6"/>
  <c r="M183" i="6"/>
  <c r="I182" i="6"/>
  <c r="I190" i="6"/>
  <c r="E192" i="6"/>
  <c r="E191" i="6"/>
  <c r="L182" i="6"/>
  <c r="L181" i="6"/>
  <c r="H180" i="6"/>
  <c r="H188" i="6"/>
  <c r="D190" i="6"/>
  <c r="D189" i="6"/>
  <c r="M220" i="6"/>
  <c r="M228" i="6"/>
  <c r="I222" i="6"/>
  <c r="I221" i="6"/>
  <c r="E229" i="6"/>
  <c r="E230" i="6"/>
  <c r="L218" i="6"/>
  <c r="L226" i="6"/>
  <c r="H220" i="6"/>
  <c r="H219" i="6"/>
  <c r="D228" i="6"/>
  <c r="D227" i="6"/>
  <c r="M330" i="6"/>
  <c r="M329" i="6"/>
  <c r="I337" i="6"/>
  <c r="I328" i="6"/>
  <c r="E339" i="6"/>
  <c r="E338" i="6"/>
  <c r="L327" i="6"/>
  <c r="L328" i="6"/>
  <c r="H326" i="6"/>
  <c r="H335" i="6"/>
  <c r="D336" i="6"/>
  <c r="D337" i="6"/>
  <c r="M299" i="6"/>
  <c r="M290" i="6"/>
  <c r="I291" i="6"/>
  <c r="I292" i="6"/>
  <c r="E301" i="6"/>
  <c r="E300" i="6"/>
  <c r="L297" i="6"/>
  <c r="L288" i="6"/>
  <c r="H290" i="6"/>
  <c r="H289" i="6"/>
  <c r="D299" i="6"/>
  <c r="D298" i="6"/>
  <c r="M375" i="6"/>
  <c r="M366" i="6"/>
  <c r="I368" i="6"/>
  <c r="I367" i="6"/>
  <c r="E377" i="6"/>
  <c r="E376" i="6"/>
  <c r="L254" i="6"/>
  <c r="L253" i="6"/>
  <c r="H261" i="6"/>
  <c r="H252" i="6"/>
  <c r="D263" i="6"/>
  <c r="D262" i="6"/>
  <c r="M371" i="6"/>
  <c r="I362" i="6"/>
  <c r="I364" i="6"/>
  <c r="I363" i="6"/>
  <c r="E373" i="6"/>
  <c r="E372" i="6"/>
  <c r="L250" i="6"/>
  <c r="L249" i="6"/>
  <c r="L248" i="6"/>
  <c r="H257" i="6"/>
  <c r="D259" i="6"/>
  <c r="D258" i="6"/>
  <c r="M176" i="6"/>
  <c r="M175" i="6"/>
  <c r="I183" i="6"/>
  <c r="I174" i="6"/>
  <c r="E185" i="6"/>
  <c r="E184" i="6"/>
  <c r="L174" i="6"/>
  <c r="L173" i="6"/>
  <c r="L172" i="6"/>
  <c r="H181" i="6"/>
  <c r="D183" i="6"/>
  <c r="D182" i="6"/>
  <c r="M212" i="6"/>
  <c r="M221" i="6"/>
  <c r="I214" i="6"/>
  <c r="I213" i="6"/>
  <c r="E223" i="6"/>
  <c r="E222" i="6"/>
  <c r="L219" i="6"/>
  <c r="H210" i="6"/>
  <c r="H212" i="6"/>
  <c r="H211" i="6"/>
  <c r="D220" i="6"/>
  <c r="D221" i="6"/>
  <c r="M320" i="6"/>
  <c r="M321" i="6"/>
  <c r="I319" i="6"/>
  <c r="I329" i="6"/>
  <c r="E331" i="6"/>
  <c r="E330" i="6"/>
  <c r="L319" i="6"/>
  <c r="L318" i="6"/>
  <c r="H317" i="6"/>
  <c r="H327" i="6"/>
  <c r="D328" i="6"/>
  <c r="D329" i="6"/>
  <c r="M283" i="6"/>
  <c r="M246" i="6"/>
  <c r="M293" i="6"/>
  <c r="I255" i="6"/>
  <c r="I245" i="6"/>
  <c r="I284" i="6"/>
  <c r="L291" i="6"/>
  <c r="L281" i="6"/>
  <c r="H282" i="6"/>
  <c r="H283" i="6"/>
  <c r="D292" i="6"/>
  <c r="D293" i="6"/>
  <c r="M275" i="6"/>
  <c r="M286" i="6"/>
  <c r="M285" i="6"/>
  <c r="I277" i="6"/>
  <c r="I276" i="6"/>
  <c r="E287" i="6"/>
  <c r="L313" i="6"/>
  <c r="H275" i="6"/>
  <c r="D323" i="6"/>
  <c r="D285" i="6"/>
  <c r="M355" i="6"/>
  <c r="M365" i="6"/>
  <c r="I357" i="6"/>
  <c r="I356" i="6"/>
  <c r="E367" i="6"/>
  <c r="E366" i="6"/>
  <c r="L243" i="6"/>
  <c r="L242" i="6"/>
  <c r="H241" i="6"/>
  <c r="H251" i="6"/>
  <c r="D252" i="6"/>
  <c r="D253" i="6"/>
  <c r="M351" i="6"/>
  <c r="M362" i="6"/>
  <c r="M361" i="6"/>
  <c r="I353" i="6"/>
  <c r="I352" i="6"/>
  <c r="E363" i="6"/>
  <c r="L239" i="6"/>
  <c r="L238" i="6"/>
  <c r="H237" i="6"/>
  <c r="H248" i="6"/>
  <c r="H247" i="6"/>
  <c r="D249" i="6"/>
  <c r="M167" i="6"/>
  <c r="M166" i="6"/>
  <c r="I175" i="6"/>
  <c r="I165" i="6"/>
  <c r="E177" i="6"/>
  <c r="E176" i="6"/>
  <c r="L165" i="6"/>
  <c r="L164" i="6"/>
  <c r="H173" i="6"/>
  <c r="H163" i="6"/>
  <c r="D175" i="6"/>
  <c r="D174" i="6"/>
  <c r="M215" i="6"/>
  <c r="M205" i="6"/>
  <c r="I207" i="6"/>
  <c r="I206" i="6"/>
  <c r="E217" i="6"/>
  <c r="E216" i="6"/>
  <c r="L203" i="6"/>
  <c r="L213" i="6"/>
  <c r="H205" i="6"/>
  <c r="H204" i="6"/>
  <c r="D215" i="6"/>
  <c r="D214" i="6"/>
  <c r="M237" i="6"/>
  <c r="I199" i="6"/>
  <c r="E209" i="6"/>
  <c r="E247" i="6"/>
  <c r="L151" i="6"/>
  <c r="L360" i="6"/>
  <c r="H322" i="6"/>
  <c r="H152" i="6"/>
  <c r="M156" i="6"/>
  <c r="M157" i="6"/>
  <c r="I158" i="6"/>
  <c r="I316" i="6"/>
  <c r="E317" i="6"/>
  <c r="E318" i="6"/>
  <c r="L159" i="6"/>
  <c r="L158" i="6"/>
  <c r="H314" i="6"/>
  <c r="H160" i="6"/>
  <c r="D316" i="6"/>
  <c r="D315" i="6"/>
  <c r="M106" i="6"/>
  <c r="M280" i="6"/>
  <c r="I105" i="6"/>
  <c r="I104" i="6"/>
  <c r="E281" i="6"/>
  <c r="E282" i="6"/>
  <c r="L108" i="6"/>
  <c r="L278" i="6"/>
  <c r="H107" i="6"/>
  <c r="H106" i="6"/>
  <c r="D280" i="6"/>
  <c r="D279" i="6"/>
  <c r="M149" i="6"/>
  <c r="M358" i="6"/>
  <c r="I151" i="6"/>
  <c r="I150" i="6"/>
  <c r="E360" i="6"/>
  <c r="E359" i="6"/>
  <c r="L135" i="6"/>
  <c r="L150" i="6"/>
  <c r="H136" i="6"/>
  <c r="H153" i="6"/>
  <c r="D152" i="6"/>
  <c r="D151" i="6"/>
  <c r="M140" i="6"/>
  <c r="M141" i="6"/>
  <c r="I159" i="6"/>
  <c r="I142" i="6"/>
  <c r="E157" i="6"/>
  <c r="E158" i="6"/>
  <c r="L101" i="6"/>
  <c r="L100" i="6"/>
  <c r="H99" i="6"/>
  <c r="H244" i="6"/>
  <c r="D246" i="6"/>
  <c r="D245" i="6"/>
  <c r="M90" i="6"/>
  <c r="M107" i="6"/>
  <c r="I89" i="6"/>
  <c r="I88" i="6"/>
  <c r="E105" i="6"/>
  <c r="E106" i="6"/>
  <c r="L109" i="6"/>
  <c r="L92" i="6"/>
  <c r="H91" i="6"/>
  <c r="H90" i="6"/>
  <c r="D108" i="6"/>
  <c r="D107" i="6"/>
  <c r="M148" i="6"/>
  <c r="M133" i="6"/>
  <c r="I135" i="6"/>
  <c r="I134" i="6"/>
  <c r="E149" i="6"/>
  <c r="E150" i="6"/>
  <c r="L123" i="6"/>
  <c r="L134" i="6"/>
  <c r="H124" i="6"/>
  <c r="H137" i="6"/>
  <c r="D136" i="6"/>
  <c r="D135" i="6"/>
  <c r="M98" i="6"/>
  <c r="M99" i="6"/>
  <c r="I97" i="6"/>
  <c r="I242" i="6"/>
  <c r="E244" i="6"/>
  <c r="E243" i="6"/>
  <c r="L85" i="6"/>
  <c r="L84" i="6"/>
  <c r="H83" i="6"/>
  <c r="H98" i="6"/>
  <c r="D100" i="6"/>
  <c r="D99" i="6"/>
  <c r="M78" i="6"/>
  <c r="M91" i="6"/>
  <c r="I77" i="6"/>
  <c r="I76" i="6"/>
  <c r="E89" i="6"/>
  <c r="E90" i="6"/>
  <c r="L128" i="6"/>
  <c r="H78" i="6"/>
  <c r="D92" i="6"/>
  <c r="D91" i="6"/>
  <c r="D142" i="6"/>
  <c r="D141" i="6"/>
  <c r="M121" i="6"/>
  <c r="M132" i="6"/>
  <c r="I123" i="6"/>
  <c r="I122" i="6"/>
  <c r="E133" i="6"/>
  <c r="E134" i="6"/>
  <c r="L115" i="6"/>
  <c r="L122" i="6"/>
  <c r="H116" i="6"/>
  <c r="H125" i="6"/>
  <c r="D124" i="6"/>
  <c r="D123" i="6"/>
  <c r="M82" i="6"/>
  <c r="M83" i="6"/>
  <c r="I81" i="6"/>
  <c r="I96" i="6"/>
  <c r="E97" i="6"/>
  <c r="E98" i="6"/>
  <c r="L73" i="6"/>
  <c r="L72" i="6"/>
  <c r="H71" i="6"/>
  <c r="H82" i="6"/>
  <c r="D84" i="6"/>
  <c r="D83" i="6"/>
  <c r="M118" i="6"/>
  <c r="I68" i="6"/>
  <c r="E77" i="6"/>
  <c r="E128" i="6"/>
  <c r="E127" i="6"/>
  <c r="E78" i="6"/>
  <c r="L143" i="6"/>
  <c r="L352" i="6"/>
  <c r="H145" i="6"/>
  <c r="H144" i="6"/>
  <c r="D354" i="6"/>
  <c r="D353" i="6"/>
  <c r="M113" i="6"/>
  <c r="M120" i="6"/>
  <c r="I115" i="6"/>
  <c r="I114" i="6"/>
  <c r="E121" i="6"/>
  <c r="E122" i="6"/>
  <c r="L111" i="6"/>
  <c r="L114" i="6"/>
  <c r="H112" i="6"/>
  <c r="H117" i="6"/>
  <c r="D116" i="6"/>
  <c r="D115" i="6"/>
  <c r="M70" i="6"/>
  <c r="M71" i="6"/>
  <c r="I69" i="6"/>
  <c r="I80" i="6"/>
  <c r="E81" i="6"/>
  <c r="E82" i="6"/>
  <c r="L65" i="6"/>
  <c r="L64" i="6"/>
  <c r="H63" i="6"/>
  <c r="H70" i="6"/>
  <c r="D72" i="6"/>
  <c r="D71" i="6"/>
  <c r="M52" i="6"/>
  <c r="M208" i="6"/>
  <c r="I51" i="6"/>
  <c r="I170" i="6"/>
  <c r="L51" i="6"/>
  <c r="L50" i="6"/>
  <c r="H49" i="6"/>
  <c r="H168" i="6"/>
  <c r="D170" i="6"/>
  <c r="D169" i="6"/>
  <c r="M45" i="6"/>
  <c r="M44" i="6"/>
  <c r="I43" i="6"/>
  <c r="I162" i="6"/>
  <c r="E164" i="6"/>
  <c r="E163" i="6"/>
  <c r="L43" i="6"/>
  <c r="H143" i="6"/>
  <c r="D162" i="6"/>
  <c r="D161" i="6"/>
  <c r="D352" i="6"/>
  <c r="D351" i="6"/>
  <c r="M34" i="6"/>
  <c r="M35" i="6"/>
  <c r="I33" i="6"/>
  <c r="I48" i="6"/>
  <c r="E49" i="6"/>
  <c r="E50" i="6"/>
  <c r="L33" i="6"/>
  <c r="L32" i="6"/>
  <c r="H31" i="6"/>
  <c r="H46" i="6"/>
  <c r="D48" i="6"/>
  <c r="D47" i="6"/>
  <c r="M56" i="6"/>
  <c r="M204" i="6"/>
  <c r="I54" i="6"/>
  <c r="I55" i="6"/>
  <c r="E205" i="6"/>
  <c r="E206" i="6"/>
  <c r="L55" i="6"/>
  <c r="L38" i="6"/>
  <c r="H37" i="6"/>
  <c r="H36" i="6"/>
  <c r="D54" i="6"/>
  <c r="D53" i="6"/>
  <c r="M21" i="6"/>
  <c r="M20" i="6"/>
  <c r="I30" i="6"/>
  <c r="I19" i="6"/>
  <c r="E32" i="6"/>
  <c r="E31" i="6"/>
  <c r="L19" i="6"/>
  <c r="H119" i="6"/>
  <c r="D30" i="6"/>
  <c r="D130" i="6"/>
  <c r="D29" i="6"/>
  <c r="D129" i="6"/>
  <c r="M26" i="6"/>
  <c r="M39" i="6"/>
  <c r="I25" i="6"/>
  <c r="I24" i="6"/>
  <c r="E37" i="6"/>
  <c r="E38" i="6"/>
  <c r="L25" i="6"/>
  <c r="L16" i="6"/>
  <c r="H15" i="6"/>
  <c r="H22" i="6"/>
  <c r="D24" i="6"/>
  <c r="D23" i="6"/>
  <c r="M60" i="6"/>
  <c r="M200" i="6"/>
  <c r="I58" i="6"/>
  <c r="I59" i="6"/>
  <c r="E201" i="6"/>
  <c r="E202" i="6"/>
  <c r="L59" i="6"/>
  <c r="L42" i="6"/>
  <c r="H41" i="6"/>
  <c r="H40" i="6"/>
  <c r="D58" i="6"/>
  <c r="D57" i="6"/>
  <c r="M17" i="6"/>
  <c r="M12" i="6"/>
  <c r="I14" i="6"/>
  <c r="E16" i="6"/>
  <c r="E15" i="6"/>
  <c r="H111" i="6"/>
  <c r="D14" i="6"/>
  <c r="D114" i="6"/>
  <c r="D13" i="6"/>
  <c r="D113" i="6"/>
  <c r="M69" i="6"/>
  <c r="I28" i="6"/>
  <c r="E41" i="6"/>
  <c r="E80" i="6"/>
  <c r="E79" i="6"/>
  <c r="E42" i="6"/>
  <c r="L63" i="6"/>
  <c r="H18" i="6"/>
  <c r="D28" i="6"/>
  <c r="D27" i="6"/>
  <c r="D70" i="6"/>
  <c r="D69" i="6"/>
  <c r="M350" i="6"/>
  <c r="M386" i="6"/>
  <c r="M349" i="6"/>
  <c r="I348" i="6"/>
  <c r="I388" i="6"/>
  <c r="I387" i="6"/>
  <c r="E389" i="6"/>
  <c r="E391" i="6"/>
  <c r="E390" i="6"/>
  <c r="L274" i="6"/>
  <c r="L310" i="6"/>
  <c r="L273" i="6"/>
  <c r="L392" i="6"/>
  <c r="H272" i="6"/>
  <c r="H312" i="6"/>
  <c r="H311" i="6"/>
  <c r="M196" i="6"/>
  <c r="M195" i="6"/>
  <c r="I386" i="6"/>
  <c r="I385" i="6"/>
  <c r="I389" i="6"/>
  <c r="L271" i="6"/>
  <c r="L272" i="6"/>
  <c r="L391" i="6"/>
  <c r="H234" i="6"/>
  <c r="H233" i="6"/>
  <c r="H392" i="6"/>
  <c r="H390" i="6"/>
  <c r="M343" i="6"/>
  <c r="M342" i="6"/>
  <c r="I341" i="6"/>
  <c r="I347" i="6"/>
  <c r="E349" i="6"/>
  <c r="E348" i="6"/>
  <c r="L307" i="6"/>
  <c r="L270" i="6"/>
  <c r="L312" i="6"/>
  <c r="H274" i="6"/>
  <c r="H269" i="6"/>
  <c r="H308" i="6"/>
  <c r="M341" i="6"/>
  <c r="M340" i="6"/>
  <c r="I303" i="6"/>
  <c r="I302" i="6"/>
  <c r="E309" i="6"/>
  <c r="E347" i="6"/>
  <c r="L381" i="6"/>
  <c r="L387" i="6"/>
  <c r="H383" i="6"/>
  <c r="H382" i="6"/>
  <c r="D388" i="6"/>
  <c r="M267" i="6"/>
  <c r="M266" i="6"/>
  <c r="I271" i="6"/>
  <c r="I265" i="6"/>
  <c r="E273" i="6"/>
  <c r="E272" i="6"/>
  <c r="L194" i="6"/>
  <c r="L231" i="6"/>
  <c r="L236" i="6"/>
  <c r="H198" i="6"/>
  <c r="H193" i="6"/>
  <c r="H232" i="6"/>
  <c r="M188" i="6"/>
  <c r="M189" i="6"/>
  <c r="I378" i="6"/>
  <c r="I379" i="6"/>
  <c r="E385" i="6"/>
  <c r="E195" i="6"/>
  <c r="L229" i="6"/>
  <c r="L235" i="6"/>
  <c r="H230" i="6"/>
  <c r="H231" i="6"/>
  <c r="D236" i="6"/>
  <c r="M339" i="6"/>
  <c r="M376" i="6"/>
  <c r="M384" i="6"/>
  <c r="I338" i="6"/>
  <c r="I346" i="6"/>
  <c r="I377" i="6"/>
  <c r="L338" i="6"/>
  <c r="L337" i="6"/>
  <c r="H336" i="6"/>
  <c r="H344" i="6"/>
  <c r="D346" i="6"/>
  <c r="D345" i="6"/>
  <c r="M300" i="6"/>
  <c r="M308" i="6"/>
  <c r="M263" i="6"/>
  <c r="I262" i="6"/>
  <c r="I270" i="6"/>
  <c r="I301" i="6"/>
  <c r="L298" i="6"/>
  <c r="L306" i="6"/>
  <c r="H300" i="6"/>
  <c r="H299" i="6"/>
  <c r="D308" i="6"/>
  <c r="D307" i="6"/>
  <c r="M332" i="6"/>
  <c r="I294" i="6"/>
  <c r="E340" i="6"/>
  <c r="E302" i="6"/>
  <c r="L374" i="6"/>
  <c r="L382" i="6"/>
  <c r="H376" i="6"/>
  <c r="H375" i="6"/>
  <c r="D384" i="6"/>
  <c r="D383" i="6"/>
  <c r="M260" i="6"/>
  <c r="M259" i="6"/>
  <c r="I258" i="6"/>
  <c r="I266" i="6"/>
  <c r="E268" i="6"/>
  <c r="E267" i="6"/>
  <c r="L370" i="6"/>
  <c r="L378" i="6"/>
  <c r="H372" i="6"/>
  <c r="H371" i="6"/>
  <c r="D380" i="6"/>
  <c r="D379" i="6"/>
  <c r="M186" i="6"/>
  <c r="M185" i="6"/>
  <c r="I184" i="6"/>
  <c r="I192" i="6"/>
  <c r="E193" i="6"/>
  <c r="E194" i="6"/>
  <c r="L183" i="6"/>
  <c r="L184" i="6"/>
  <c r="H182" i="6"/>
  <c r="H190" i="6"/>
  <c r="D192" i="6"/>
  <c r="D191" i="6"/>
  <c r="M222" i="6"/>
  <c r="M230" i="6"/>
  <c r="I223" i="6"/>
  <c r="I224" i="6"/>
  <c r="E232" i="6"/>
  <c r="E231" i="6"/>
  <c r="L220" i="6"/>
  <c r="L228" i="6"/>
  <c r="H222" i="6"/>
  <c r="H221" i="6"/>
  <c r="D230" i="6"/>
  <c r="D229" i="6"/>
  <c r="M331" i="6"/>
  <c r="M377" i="6"/>
  <c r="M368" i="6"/>
  <c r="I339" i="6"/>
  <c r="I330" i="6"/>
  <c r="I369" i="6"/>
  <c r="L330" i="6"/>
  <c r="L329" i="6"/>
  <c r="H337" i="6"/>
  <c r="H328" i="6"/>
  <c r="D339" i="6"/>
  <c r="D338" i="6"/>
  <c r="M292" i="6"/>
  <c r="M255" i="6"/>
  <c r="M301" i="6"/>
  <c r="I263" i="6"/>
  <c r="I254" i="6"/>
  <c r="I293" i="6"/>
  <c r="L299" i="6"/>
  <c r="L290" i="6"/>
  <c r="H292" i="6"/>
  <c r="H291" i="6"/>
  <c r="D300" i="6"/>
  <c r="D301" i="6"/>
  <c r="M323" i="6"/>
  <c r="I285" i="6"/>
  <c r="E333" i="6"/>
  <c r="E324" i="6"/>
  <c r="E332" i="6"/>
  <c r="E295" i="6"/>
  <c r="E286" i="6"/>
  <c r="E294" i="6"/>
  <c r="L366" i="6"/>
  <c r="L375" i="6"/>
  <c r="H368" i="6"/>
  <c r="H367" i="6"/>
  <c r="D376" i="6"/>
  <c r="D377" i="6"/>
  <c r="M252" i="6"/>
  <c r="M251" i="6"/>
  <c r="I259" i="6"/>
  <c r="I250" i="6"/>
  <c r="E261" i="6"/>
  <c r="E260" i="6"/>
  <c r="L371" i="6"/>
  <c r="H364" i="6"/>
  <c r="H363" i="6"/>
  <c r="H362" i="6"/>
  <c r="D372" i="6"/>
  <c r="D373" i="6"/>
  <c r="M178" i="6"/>
  <c r="M177" i="6"/>
  <c r="I185" i="6"/>
  <c r="I176" i="6"/>
  <c r="E187" i="6"/>
  <c r="E186" i="6"/>
  <c r="L175" i="6"/>
  <c r="L176" i="6"/>
  <c r="H174" i="6"/>
  <c r="H183" i="6"/>
  <c r="D184" i="6"/>
  <c r="D185" i="6"/>
  <c r="M223" i="6"/>
  <c r="M214" i="6"/>
  <c r="I215" i="6"/>
  <c r="I216" i="6"/>
  <c r="E225" i="6"/>
  <c r="E224" i="6"/>
  <c r="L221" i="6"/>
  <c r="L212" i="6"/>
  <c r="H214" i="6"/>
  <c r="H213" i="6"/>
  <c r="D223" i="6"/>
  <c r="D222" i="6"/>
  <c r="M322" i="6"/>
  <c r="M359" i="6"/>
  <c r="M369" i="6"/>
  <c r="I331" i="6"/>
  <c r="I321" i="6"/>
  <c r="I360" i="6"/>
  <c r="L321" i="6"/>
  <c r="L320" i="6"/>
  <c r="H329" i="6"/>
  <c r="H319" i="6"/>
  <c r="D331" i="6"/>
  <c r="D330" i="6"/>
  <c r="M315" i="6"/>
  <c r="M314" i="6"/>
  <c r="I323" i="6"/>
  <c r="I313" i="6"/>
  <c r="I324" i="6"/>
  <c r="E325" i="6"/>
  <c r="L283" i="6"/>
  <c r="L246" i="6"/>
  <c r="L293" i="6"/>
  <c r="H245" i="6"/>
  <c r="H284" i="6"/>
  <c r="H255" i="6"/>
  <c r="M287" i="6"/>
  <c r="M277" i="6"/>
  <c r="I279" i="6"/>
  <c r="I278" i="6"/>
  <c r="E289" i="6"/>
  <c r="E288" i="6"/>
  <c r="L275" i="6"/>
  <c r="L286" i="6"/>
  <c r="L285" i="6"/>
  <c r="H277" i="6"/>
  <c r="H276" i="6"/>
  <c r="D287" i="6"/>
  <c r="M244" i="6"/>
  <c r="M245" i="6"/>
  <c r="I243" i="6"/>
  <c r="I253" i="6"/>
  <c r="E255" i="6"/>
  <c r="E254" i="6"/>
  <c r="L365" i="6"/>
  <c r="L355" i="6"/>
  <c r="H357" i="6"/>
  <c r="H356" i="6"/>
  <c r="D367" i="6"/>
  <c r="D366" i="6"/>
  <c r="M240" i="6"/>
  <c r="M241" i="6"/>
  <c r="I239" i="6"/>
  <c r="I249" i="6"/>
  <c r="E251" i="6"/>
  <c r="E250" i="6"/>
  <c r="L362" i="6"/>
  <c r="L361" i="6"/>
  <c r="L351" i="6"/>
  <c r="H353" i="6"/>
  <c r="H352" i="6"/>
  <c r="D363" i="6"/>
  <c r="M168" i="6"/>
  <c r="M169" i="6"/>
  <c r="I167" i="6"/>
  <c r="I177" i="6"/>
  <c r="E179" i="6"/>
  <c r="E178" i="6"/>
  <c r="L167" i="6"/>
  <c r="L166" i="6"/>
  <c r="H165" i="6"/>
  <c r="H175" i="6"/>
  <c r="D176" i="6"/>
  <c r="D177" i="6"/>
  <c r="M161" i="6"/>
  <c r="E171" i="6"/>
  <c r="I351" i="6"/>
  <c r="E361" i="6"/>
  <c r="L215" i="6"/>
  <c r="L205" i="6"/>
  <c r="H206" i="6"/>
  <c r="H207" i="6"/>
  <c r="D216" i="6"/>
  <c r="D217" i="6"/>
  <c r="M199" i="6"/>
  <c r="M210" i="6"/>
  <c r="M209" i="6"/>
  <c r="I201" i="6"/>
  <c r="I200" i="6"/>
  <c r="E211" i="6"/>
  <c r="L237" i="6"/>
  <c r="H199" i="6"/>
  <c r="D247" i="6"/>
  <c r="D209" i="6"/>
  <c r="M155" i="6"/>
  <c r="M154" i="6"/>
  <c r="I318" i="6"/>
  <c r="I156" i="6"/>
  <c r="E320" i="6"/>
  <c r="E319" i="6"/>
  <c r="L157" i="6"/>
  <c r="L156" i="6"/>
  <c r="H158" i="6"/>
  <c r="H316" i="6"/>
  <c r="D318" i="6"/>
  <c r="D317" i="6"/>
  <c r="M104" i="6"/>
  <c r="M282" i="6"/>
  <c r="I103" i="6"/>
  <c r="I102" i="6"/>
  <c r="E284" i="6"/>
  <c r="E283" i="6"/>
  <c r="L106" i="6"/>
  <c r="L280" i="6"/>
  <c r="H104" i="6"/>
  <c r="H105" i="6"/>
  <c r="D282" i="6"/>
  <c r="D281" i="6"/>
  <c r="M160" i="6"/>
  <c r="I110" i="6"/>
  <c r="E313" i="6"/>
  <c r="E276" i="6"/>
  <c r="E275" i="6"/>
  <c r="E314" i="6"/>
  <c r="L149" i="6"/>
  <c r="L358" i="6"/>
  <c r="H150" i="6"/>
  <c r="H151" i="6"/>
  <c r="D360" i="6"/>
  <c r="D359" i="6"/>
  <c r="M139" i="6"/>
  <c r="M138" i="6"/>
  <c r="I140" i="6"/>
  <c r="I157" i="6"/>
  <c r="E156" i="6"/>
  <c r="E155" i="6"/>
  <c r="L141" i="6"/>
  <c r="L140" i="6"/>
  <c r="H142" i="6"/>
  <c r="H159" i="6"/>
  <c r="D158" i="6"/>
  <c r="D157" i="6"/>
  <c r="M105" i="6"/>
  <c r="M88" i="6"/>
  <c r="I87" i="6"/>
  <c r="I86" i="6"/>
  <c r="E104" i="6"/>
  <c r="E103" i="6"/>
  <c r="L107" i="6"/>
  <c r="L90" i="6"/>
  <c r="H88" i="6"/>
  <c r="H89" i="6"/>
  <c r="D106" i="6"/>
  <c r="D105" i="6"/>
  <c r="M147" i="6"/>
  <c r="M356" i="6"/>
  <c r="I149" i="6"/>
  <c r="I148" i="6"/>
  <c r="E357" i="6"/>
  <c r="E358" i="6"/>
  <c r="L133" i="6"/>
  <c r="L148" i="6"/>
  <c r="H135" i="6"/>
  <c r="H134" i="6"/>
  <c r="D150" i="6"/>
  <c r="D149" i="6"/>
  <c r="M127" i="6"/>
  <c r="M126" i="6"/>
  <c r="I128" i="6"/>
  <c r="I141" i="6"/>
  <c r="E140" i="6"/>
  <c r="E139" i="6"/>
  <c r="L99" i="6"/>
  <c r="L98" i="6"/>
  <c r="H97" i="6"/>
  <c r="H242" i="6"/>
  <c r="D244" i="6"/>
  <c r="D243" i="6"/>
  <c r="M89" i="6"/>
  <c r="M76" i="6"/>
  <c r="I74" i="6"/>
  <c r="I75" i="6"/>
  <c r="E88" i="6"/>
  <c r="E87" i="6"/>
  <c r="L91" i="6"/>
  <c r="L78" i="6"/>
  <c r="H76" i="6"/>
  <c r="H77" i="6"/>
  <c r="D90" i="6"/>
  <c r="D89" i="6"/>
  <c r="M131" i="6"/>
  <c r="M146" i="6"/>
  <c r="I132" i="6"/>
  <c r="I133" i="6"/>
  <c r="E148" i="6"/>
  <c r="E147" i="6"/>
  <c r="L121" i="6"/>
  <c r="L132" i="6"/>
  <c r="H123" i="6"/>
  <c r="H122" i="6"/>
  <c r="D134" i="6"/>
  <c r="D133" i="6"/>
  <c r="M97" i="6"/>
  <c r="M96" i="6"/>
  <c r="I95" i="6"/>
  <c r="I240" i="6"/>
  <c r="E241" i="6"/>
  <c r="E242" i="6"/>
  <c r="L83" i="6"/>
  <c r="L82" i="6"/>
  <c r="H96" i="6"/>
  <c r="H81" i="6"/>
  <c r="D98" i="6"/>
  <c r="D97" i="6"/>
  <c r="M77" i="6"/>
  <c r="M68" i="6"/>
  <c r="I66" i="6"/>
  <c r="I67" i="6"/>
  <c r="E76" i="6"/>
  <c r="E75" i="6"/>
  <c r="L118" i="6"/>
  <c r="H68" i="6"/>
  <c r="D128" i="6"/>
  <c r="D127" i="6"/>
  <c r="D78" i="6"/>
  <c r="D77" i="6"/>
  <c r="M119" i="6"/>
  <c r="M130" i="6"/>
  <c r="I121" i="6"/>
  <c r="I120" i="6"/>
  <c r="E132" i="6"/>
  <c r="E131" i="6"/>
  <c r="L113" i="6"/>
  <c r="L120" i="6"/>
  <c r="H115" i="6"/>
  <c r="H114" i="6"/>
  <c r="D122" i="6"/>
  <c r="D121" i="6"/>
  <c r="M81" i="6"/>
  <c r="M80" i="6"/>
  <c r="I79" i="6"/>
  <c r="I94" i="6"/>
  <c r="E96" i="6"/>
  <c r="E95" i="6"/>
  <c r="L71" i="6"/>
  <c r="L70" i="6"/>
  <c r="H69" i="6"/>
  <c r="H80" i="6"/>
  <c r="D82" i="6"/>
  <c r="D81" i="6"/>
  <c r="M112" i="6"/>
  <c r="I62" i="6"/>
  <c r="E117" i="6"/>
  <c r="E68" i="6"/>
  <c r="E67" i="6"/>
  <c r="E118" i="6"/>
  <c r="L52" i="6"/>
  <c r="L208" i="6"/>
  <c r="H51" i="6"/>
  <c r="H170" i="6"/>
  <c r="M46" i="6"/>
  <c r="M47" i="6"/>
  <c r="I45" i="6"/>
  <c r="I164" i="6"/>
  <c r="E165" i="6"/>
  <c r="E166" i="6"/>
  <c r="L45" i="6"/>
  <c r="L44" i="6"/>
  <c r="H43" i="6"/>
  <c r="H162" i="6"/>
  <c r="D164" i="6"/>
  <c r="D163" i="6"/>
  <c r="M53" i="6"/>
  <c r="M36" i="6"/>
  <c r="I50" i="6"/>
  <c r="I35" i="6"/>
  <c r="E52" i="6"/>
  <c r="E51" i="6"/>
  <c r="L35" i="6"/>
  <c r="L34" i="6"/>
  <c r="H33" i="6"/>
  <c r="H48" i="6"/>
  <c r="D50" i="6"/>
  <c r="D49" i="6"/>
  <c r="M29" i="6"/>
  <c r="I129" i="6"/>
  <c r="E44" i="6"/>
  <c r="E144" i="6"/>
  <c r="E43" i="6"/>
  <c r="E143" i="6"/>
  <c r="L56" i="6"/>
  <c r="L204" i="6"/>
  <c r="H55" i="6"/>
  <c r="H54" i="6"/>
  <c r="D206" i="6"/>
  <c r="D205" i="6"/>
  <c r="M22" i="6"/>
  <c r="M23" i="6"/>
  <c r="I21" i="6"/>
  <c r="I32" i="6"/>
  <c r="E33" i="6"/>
  <c r="E34" i="6"/>
  <c r="L21" i="6"/>
  <c r="L20" i="6"/>
  <c r="H19" i="6"/>
  <c r="H30" i="6"/>
  <c r="D32" i="6"/>
  <c r="D31" i="6"/>
  <c r="M57" i="6"/>
  <c r="M40" i="6"/>
  <c r="I38" i="6"/>
  <c r="I39" i="6"/>
  <c r="E56" i="6"/>
  <c r="E55" i="6"/>
  <c r="L39" i="6"/>
  <c r="L26" i="6"/>
  <c r="H25" i="6"/>
  <c r="H24" i="6"/>
  <c r="D38" i="6"/>
  <c r="D37" i="6"/>
  <c r="M13" i="6"/>
  <c r="I113" i="6"/>
  <c r="E20" i="6"/>
  <c r="E120" i="6"/>
  <c r="E19" i="6"/>
  <c r="E119" i="6"/>
  <c r="L60" i="6"/>
  <c r="L200" i="6"/>
  <c r="H59" i="6"/>
  <c r="H58" i="6"/>
  <c r="D202" i="6"/>
  <c r="D201" i="6"/>
  <c r="M18" i="6"/>
  <c r="M27" i="6"/>
  <c r="I17" i="6"/>
  <c r="I16" i="6"/>
  <c r="E25" i="6"/>
  <c r="E26" i="6"/>
  <c r="L17" i="6"/>
  <c r="L12" i="6"/>
  <c r="H14" i="6"/>
  <c r="D16" i="6"/>
  <c r="D15" i="6"/>
  <c r="M79" i="6"/>
  <c r="I42" i="6"/>
  <c r="E93" i="6"/>
  <c r="E60" i="6"/>
  <c r="E59" i="6"/>
  <c r="E94" i="6"/>
  <c r="L69" i="6"/>
  <c r="H28" i="6"/>
  <c r="D80" i="6"/>
  <c r="D79" i="6"/>
  <c r="D42" i="6"/>
  <c r="D41" i="6"/>
  <c r="N198" i="5"/>
  <c r="N274" i="5"/>
  <c r="L273" i="5"/>
  <c r="P266" i="5"/>
  <c r="N234" i="5"/>
  <c r="N197" i="5"/>
  <c r="N193" i="5"/>
  <c r="C7" i="6"/>
  <c r="C248" i="6" s="1"/>
  <c r="L312" i="5"/>
  <c r="L311" i="5"/>
  <c r="P310" i="5"/>
  <c r="L310" i="5"/>
  <c r="P274" i="5"/>
  <c r="L274" i="5"/>
  <c r="P273" i="5"/>
  <c r="P272" i="5"/>
  <c r="P271" i="5"/>
  <c r="P270" i="5"/>
  <c r="P269" i="5"/>
  <c r="P268" i="5"/>
  <c r="P236" i="5"/>
  <c r="L236" i="5"/>
  <c r="P235" i="5"/>
  <c r="L235" i="5"/>
  <c r="P234" i="5"/>
  <c r="L234" i="5"/>
  <c r="P233" i="5"/>
  <c r="L232" i="5"/>
  <c r="P231" i="5"/>
  <c r="L231" i="5"/>
  <c r="L230" i="5"/>
  <c r="L229" i="5"/>
  <c r="L228" i="5"/>
  <c r="L227" i="5"/>
  <c r="P198" i="5"/>
  <c r="L198" i="5"/>
  <c r="P197" i="5"/>
  <c r="L197" i="5"/>
  <c r="P196" i="5"/>
  <c r="L195" i="5"/>
  <c r="P194" i="5"/>
  <c r="P193" i="5"/>
  <c r="P192" i="5"/>
  <c r="P191" i="5"/>
  <c r="P190" i="5"/>
  <c r="P189" i="5"/>
  <c r="I11" i="6"/>
  <c r="H11" i="6"/>
  <c r="M11" i="6"/>
  <c r="L11" i="6"/>
  <c r="C28" i="6" l="1"/>
  <c r="K11" i="6"/>
  <c r="C70" i="6"/>
  <c r="C113" i="6"/>
  <c r="G111" i="6"/>
  <c r="C57" i="6"/>
  <c r="K42" i="6"/>
  <c r="G22" i="6"/>
  <c r="C129" i="6"/>
  <c r="G119" i="6"/>
  <c r="G37" i="6"/>
  <c r="C48" i="6"/>
  <c r="K33" i="6"/>
  <c r="C161" i="6"/>
  <c r="C169" i="6"/>
  <c r="K50" i="6"/>
  <c r="C72" i="6"/>
  <c r="K65" i="6"/>
  <c r="G112" i="6"/>
  <c r="C353" i="6"/>
  <c r="K352" i="6"/>
  <c r="G82" i="6"/>
  <c r="C124" i="6"/>
  <c r="K122" i="6"/>
  <c r="C142" i="6"/>
  <c r="C100" i="6"/>
  <c r="K85" i="6"/>
  <c r="G124" i="6"/>
  <c r="C108" i="6"/>
  <c r="K109" i="6"/>
  <c r="G244" i="6"/>
  <c r="C152" i="6"/>
  <c r="K135" i="6"/>
  <c r="G106" i="6"/>
  <c r="C316" i="6"/>
  <c r="K159" i="6"/>
  <c r="K360" i="6"/>
  <c r="C214" i="6"/>
  <c r="K203" i="6"/>
  <c r="C174" i="6"/>
  <c r="K164" i="6"/>
  <c r="G248" i="6"/>
  <c r="C252" i="6"/>
  <c r="K243" i="6"/>
  <c r="G275" i="6"/>
  <c r="G282" i="6"/>
  <c r="C328" i="6"/>
  <c r="K319" i="6"/>
  <c r="G210" i="6"/>
  <c r="C182" i="6"/>
  <c r="K173" i="6"/>
  <c r="G257" i="6"/>
  <c r="C262" i="6"/>
  <c r="K253" i="6"/>
  <c r="C298" i="6"/>
  <c r="K288" i="6"/>
  <c r="G326" i="6"/>
  <c r="C228" i="6"/>
  <c r="K226" i="6"/>
  <c r="G188" i="6"/>
  <c r="C265" i="6"/>
  <c r="K257" i="6"/>
  <c r="G268" i="6"/>
  <c r="G298" i="6"/>
  <c r="C344" i="6"/>
  <c r="K335" i="6"/>
  <c r="G228" i="6"/>
  <c r="G191" i="6"/>
  <c r="C274" i="6"/>
  <c r="K269" i="6"/>
  <c r="C312" i="6"/>
  <c r="K305" i="6"/>
  <c r="K383" i="6"/>
  <c r="G310" i="6"/>
  <c r="K348" i="6"/>
  <c r="C63" i="6"/>
  <c r="C237" i="6"/>
  <c r="K93" i="6"/>
  <c r="C39" i="6"/>
  <c r="K28" i="6"/>
  <c r="G20" i="6"/>
  <c r="C203" i="6"/>
  <c r="K58" i="6"/>
  <c r="G23" i="6"/>
  <c r="C46" i="6"/>
  <c r="K31" i="6"/>
  <c r="G52" i="6"/>
  <c r="C167" i="6"/>
  <c r="K48" i="6"/>
  <c r="C66" i="6"/>
  <c r="K67" i="6"/>
  <c r="G93" i="6"/>
  <c r="C146" i="6"/>
  <c r="K129" i="6"/>
  <c r="G72" i="6"/>
  <c r="C126" i="6"/>
  <c r="K116" i="6"/>
  <c r="G147" i="6"/>
  <c r="C86" i="6"/>
  <c r="K87" i="6"/>
  <c r="G126" i="6"/>
  <c r="C109" i="6"/>
  <c r="K142" i="6"/>
  <c r="G85" i="6"/>
  <c r="C154" i="6"/>
  <c r="K137" i="6"/>
  <c r="G109" i="6"/>
  <c r="G101" i="6"/>
  <c r="C322" i="6"/>
  <c r="K153" i="6"/>
  <c r="G203" i="6"/>
  <c r="G171" i="6"/>
  <c r="K162" i="6"/>
  <c r="K207" i="6"/>
  <c r="C365" i="6"/>
  <c r="K353" i="6"/>
  <c r="G359" i="6"/>
  <c r="G281" i="6"/>
  <c r="C327" i="6"/>
  <c r="K317" i="6"/>
  <c r="K247" i="6"/>
  <c r="C11" i="6"/>
  <c r="C27" i="6"/>
  <c r="C13" i="6"/>
  <c r="C58" i="6"/>
  <c r="K59" i="6"/>
  <c r="G15" i="6"/>
  <c r="C29" i="6"/>
  <c r="K19" i="6"/>
  <c r="G36" i="6"/>
  <c r="C47" i="6"/>
  <c r="K32" i="6"/>
  <c r="C162" i="6"/>
  <c r="C170" i="6"/>
  <c r="K51" i="6"/>
  <c r="C71" i="6"/>
  <c r="K64" i="6"/>
  <c r="G117" i="6"/>
  <c r="C354" i="6"/>
  <c r="K143" i="6"/>
  <c r="G71" i="6"/>
  <c r="C123" i="6"/>
  <c r="K115" i="6"/>
  <c r="C91" i="6"/>
  <c r="C99" i="6"/>
  <c r="K84" i="6"/>
  <c r="G137" i="6"/>
  <c r="C107" i="6"/>
  <c r="K92" i="6"/>
  <c r="G99" i="6"/>
  <c r="C151" i="6"/>
  <c r="K150" i="6"/>
  <c r="G107" i="6"/>
  <c r="C315" i="6"/>
  <c r="K158" i="6"/>
  <c r="K151" i="6"/>
  <c r="C215" i="6"/>
  <c r="K213" i="6"/>
  <c r="C175" i="6"/>
  <c r="K165" i="6"/>
  <c r="G237" i="6"/>
  <c r="C253" i="6"/>
  <c r="K242" i="6"/>
  <c r="K313" i="6"/>
  <c r="G283" i="6"/>
  <c r="C329" i="6"/>
  <c r="K318" i="6"/>
  <c r="G211" i="6"/>
  <c r="C183" i="6"/>
  <c r="K174" i="6"/>
  <c r="K248" i="6"/>
  <c r="C263" i="6"/>
  <c r="K254" i="6"/>
  <c r="C299" i="6"/>
  <c r="K297" i="6"/>
  <c r="G335" i="6"/>
  <c r="C227" i="6"/>
  <c r="K218" i="6"/>
  <c r="G180" i="6"/>
  <c r="C266" i="6"/>
  <c r="K258" i="6"/>
  <c r="G260" i="6"/>
  <c r="G297" i="6"/>
  <c r="C343" i="6"/>
  <c r="K336" i="6"/>
  <c r="G229" i="6"/>
  <c r="G197" i="6"/>
  <c r="G267" i="6"/>
  <c r="G306" i="6"/>
  <c r="G350" i="6"/>
  <c r="K388" i="6"/>
  <c r="G309" i="6"/>
  <c r="C64" i="6"/>
  <c r="G12" i="6"/>
  <c r="C238" i="6"/>
  <c r="G26" i="6"/>
  <c r="C21" i="6"/>
  <c r="K14" i="6"/>
  <c r="G57" i="6"/>
  <c r="C36" i="6"/>
  <c r="K37" i="6"/>
  <c r="G29" i="6"/>
  <c r="C208" i="6"/>
  <c r="K206" i="6"/>
  <c r="G166" i="6"/>
  <c r="G61" i="6"/>
  <c r="C240" i="6"/>
  <c r="K94" i="6"/>
  <c r="G131" i="6"/>
  <c r="C73" i="6"/>
  <c r="K66" i="6"/>
  <c r="G127" i="6"/>
  <c r="C356" i="6"/>
  <c r="K354" i="6"/>
  <c r="G84" i="6"/>
  <c r="C137" i="6"/>
  <c r="N137" i="6" s="1"/>
  <c r="O137" i="6" s="1"/>
  <c r="K125" i="6"/>
  <c r="C110" i="6"/>
  <c r="C101" i="6"/>
  <c r="K86" i="6"/>
  <c r="G155" i="6"/>
  <c r="C277" i="6"/>
  <c r="K276" i="6"/>
  <c r="K284" i="6"/>
  <c r="G154" i="6"/>
  <c r="C212" i="6"/>
  <c r="K211" i="6"/>
  <c r="G172" i="6"/>
  <c r="G179" i="6"/>
  <c r="K217" i="6"/>
  <c r="G354" i="6"/>
  <c r="C368" i="6"/>
  <c r="K367" i="6"/>
  <c r="C290" i="6"/>
  <c r="K279" i="6"/>
  <c r="G315" i="6"/>
  <c r="C111" i="6"/>
  <c r="C112" i="6"/>
  <c r="K273" i="6"/>
  <c r="G311" i="6"/>
  <c r="K391" i="6"/>
  <c r="G390" i="6"/>
  <c r="K270" i="6"/>
  <c r="G308" i="6"/>
  <c r="G383" i="6"/>
  <c r="K231" i="6"/>
  <c r="G198" i="6"/>
  <c r="G230" i="6"/>
  <c r="G336" i="6"/>
  <c r="K298" i="6"/>
  <c r="C307" i="6"/>
  <c r="K374" i="6"/>
  <c r="C383" i="6"/>
  <c r="N383" i="6" s="1"/>
  <c r="O383" i="6" s="1"/>
  <c r="G372" i="6"/>
  <c r="K184" i="6"/>
  <c r="C191" i="6"/>
  <c r="K220" i="6"/>
  <c r="C230" i="6"/>
  <c r="K330" i="6"/>
  <c r="C339" i="6"/>
  <c r="G292" i="6"/>
  <c r="G368" i="6"/>
  <c r="K371" i="6"/>
  <c r="C373" i="6"/>
  <c r="G183" i="6"/>
  <c r="G213" i="6"/>
  <c r="G329" i="6"/>
  <c r="K246" i="6"/>
  <c r="G284" i="6"/>
  <c r="K275" i="6"/>
  <c r="K365" i="6"/>
  <c r="C367" i="6"/>
  <c r="K362" i="6"/>
  <c r="K166" i="6"/>
  <c r="C177" i="6"/>
  <c r="K205" i="6"/>
  <c r="C217" i="6"/>
  <c r="C247" i="6"/>
  <c r="G316" i="6"/>
  <c r="G105" i="6"/>
  <c r="K149" i="6"/>
  <c r="C359" i="6"/>
  <c r="G159" i="6"/>
  <c r="K107" i="6"/>
  <c r="C106" i="6"/>
  <c r="G134" i="6"/>
  <c r="K99" i="6"/>
  <c r="C243" i="6"/>
  <c r="G77" i="6"/>
  <c r="K132" i="6"/>
  <c r="C134" i="6"/>
  <c r="G81" i="6"/>
  <c r="K118" i="6"/>
  <c r="C77" i="6"/>
  <c r="G115" i="6"/>
  <c r="K71" i="6"/>
  <c r="C82" i="6"/>
  <c r="G51" i="6"/>
  <c r="G43" i="6"/>
  <c r="K35" i="6"/>
  <c r="C50" i="6"/>
  <c r="G55" i="6"/>
  <c r="K20" i="6"/>
  <c r="C31" i="6"/>
  <c r="G24" i="6"/>
  <c r="K60" i="6"/>
  <c r="C202" i="6"/>
  <c r="G14" i="6"/>
  <c r="G28" i="6"/>
  <c r="C80" i="6"/>
  <c r="G348" i="6"/>
  <c r="C390" i="6"/>
  <c r="K196" i="6"/>
  <c r="G389" i="6"/>
  <c r="K343" i="6"/>
  <c r="C349" i="6"/>
  <c r="G302" i="6"/>
  <c r="G265" i="6"/>
  <c r="K188" i="6"/>
  <c r="C385" i="6"/>
  <c r="G338" i="6"/>
  <c r="K308" i="6"/>
  <c r="G270" i="6"/>
  <c r="C340" i="6"/>
  <c r="G266" i="6"/>
  <c r="K185" i="6"/>
  <c r="C193" i="6"/>
  <c r="K230" i="6"/>
  <c r="N230" i="6" s="1"/>
  <c r="O230" i="6" s="1"/>
  <c r="C232" i="6"/>
  <c r="K377" i="6"/>
  <c r="G369" i="6"/>
  <c r="G293" i="6"/>
  <c r="G285" i="6"/>
  <c r="C333" i="6"/>
  <c r="K251" i="6"/>
  <c r="C260" i="6"/>
  <c r="G176" i="6"/>
  <c r="G215" i="6"/>
  <c r="G321" i="6"/>
  <c r="K315" i="6"/>
  <c r="N315" i="6" s="1"/>
  <c r="O315" i="6" s="1"/>
  <c r="C325" i="6"/>
  <c r="G278" i="6"/>
  <c r="G243" i="6"/>
  <c r="K240" i="6"/>
  <c r="C250" i="6"/>
  <c r="G167" i="6"/>
  <c r="C171" i="6"/>
  <c r="K209" i="6"/>
  <c r="C211" i="6"/>
  <c r="K155" i="6"/>
  <c r="C320" i="6"/>
  <c r="K282" i="6"/>
  <c r="C284" i="6"/>
  <c r="C314" i="6"/>
  <c r="K139" i="6"/>
  <c r="C156" i="6"/>
  <c r="G86" i="6"/>
  <c r="K356" i="6"/>
  <c r="C357" i="6"/>
  <c r="G128" i="6"/>
  <c r="K89" i="6"/>
  <c r="C88" i="6"/>
  <c r="G132" i="6"/>
  <c r="K97" i="6"/>
  <c r="C241" i="6"/>
  <c r="G66" i="6"/>
  <c r="K130" i="6"/>
  <c r="C132" i="6"/>
  <c r="G94" i="6"/>
  <c r="G62" i="6"/>
  <c r="C68" i="6"/>
  <c r="G164" i="6"/>
  <c r="K53" i="6"/>
  <c r="C52" i="6"/>
  <c r="C143" i="6"/>
  <c r="K22" i="6"/>
  <c r="C33" i="6"/>
  <c r="G38" i="6"/>
  <c r="G113" i="6"/>
  <c r="C120" i="6"/>
  <c r="G17" i="6"/>
  <c r="C59" i="6"/>
  <c r="K197" i="6"/>
  <c r="G236" i="6"/>
  <c r="K345" i="6"/>
  <c r="C350" i="6"/>
  <c r="K309" i="6"/>
  <c r="C311" i="6"/>
  <c r="K385" i="6"/>
  <c r="C387" i="6"/>
  <c r="G195" i="6"/>
  <c r="G227" i="6"/>
  <c r="K334" i="6"/>
  <c r="C342" i="6"/>
  <c r="G296" i="6"/>
  <c r="K372" i="6"/>
  <c r="C382" i="6"/>
  <c r="K232" i="6"/>
  <c r="K180" i="6"/>
  <c r="K256" i="6"/>
  <c r="K326" i="6"/>
  <c r="C335" i="6"/>
  <c r="G287" i="6"/>
  <c r="K373" i="6"/>
  <c r="C375" i="6"/>
  <c r="K179" i="6"/>
  <c r="K171" i="6"/>
  <c r="C180" i="6"/>
  <c r="C62" i="6"/>
  <c r="K392" i="6"/>
  <c r="G233" i="6"/>
  <c r="K312" i="6"/>
  <c r="G274" i="6"/>
  <c r="G382" i="6"/>
  <c r="K236" i="6"/>
  <c r="K229" i="6"/>
  <c r="C236" i="6"/>
  <c r="G344" i="6"/>
  <c r="K306" i="6"/>
  <c r="C308" i="6"/>
  <c r="N308" i="6" s="1"/>
  <c r="O308" i="6" s="1"/>
  <c r="K382" i="6"/>
  <c r="C384" i="6"/>
  <c r="G371" i="6"/>
  <c r="K183" i="6"/>
  <c r="C192" i="6"/>
  <c r="K228" i="6"/>
  <c r="C229" i="6"/>
  <c r="K329" i="6"/>
  <c r="N329" i="6" s="1"/>
  <c r="O329" i="6" s="1"/>
  <c r="C338" i="6"/>
  <c r="G291" i="6"/>
  <c r="G367" i="6"/>
  <c r="G364" i="6"/>
  <c r="C372" i="6"/>
  <c r="G174" i="6"/>
  <c r="G214" i="6"/>
  <c r="G319" i="6"/>
  <c r="K293" i="6"/>
  <c r="G255" i="6"/>
  <c r="G277" i="6"/>
  <c r="K355" i="6"/>
  <c r="C366" i="6"/>
  <c r="G352" i="6"/>
  <c r="K167" i="6"/>
  <c r="C176" i="6"/>
  <c r="K215" i="6"/>
  <c r="C216" i="6"/>
  <c r="C209" i="6"/>
  <c r="G158" i="6"/>
  <c r="G104" i="6"/>
  <c r="K358" i="6"/>
  <c r="C360" i="6"/>
  <c r="G142" i="6"/>
  <c r="N142" i="6" s="1"/>
  <c r="O142" i="6" s="1"/>
  <c r="K90" i="6"/>
  <c r="C105" i="6"/>
  <c r="G135" i="6"/>
  <c r="K98" i="6"/>
  <c r="C244" i="6"/>
  <c r="G76" i="6"/>
  <c r="K121" i="6"/>
  <c r="C133" i="6"/>
  <c r="G96" i="6"/>
  <c r="G68" i="6"/>
  <c r="C128" i="6"/>
  <c r="G114" i="6"/>
  <c r="K70" i="6"/>
  <c r="C81" i="6"/>
  <c r="G170" i="6"/>
  <c r="G162" i="6"/>
  <c r="K34" i="6"/>
  <c r="C49" i="6"/>
  <c r="G54" i="6"/>
  <c r="K21" i="6"/>
  <c r="C32" i="6"/>
  <c r="G25" i="6"/>
  <c r="K200" i="6"/>
  <c r="C201" i="6"/>
  <c r="C15" i="6"/>
  <c r="C79" i="6"/>
  <c r="K349" i="6"/>
  <c r="G388" i="6"/>
  <c r="C389" i="6"/>
  <c r="K195" i="6"/>
  <c r="K342" i="6"/>
  <c r="C348" i="6"/>
  <c r="N348" i="6" s="1"/>
  <c r="O348" i="6" s="1"/>
  <c r="K341" i="6"/>
  <c r="C347" i="6"/>
  <c r="G271" i="6"/>
  <c r="G379" i="6"/>
  <c r="K339" i="6"/>
  <c r="G346" i="6"/>
  <c r="K263" i="6"/>
  <c r="K332" i="6"/>
  <c r="K260" i="6"/>
  <c r="C267" i="6"/>
  <c r="G184" i="6"/>
  <c r="G224" i="6"/>
  <c r="K368" i="6"/>
  <c r="K301" i="6"/>
  <c r="G263" i="6"/>
  <c r="C295" i="6"/>
  <c r="C324" i="6"/>
  <c r="G259" i="6"/>
  <c r="K178" i="6"/>
  <c r="C187" i="6"/>
  <c r="K214" i="6"/>
  <c r="C225" i="6"/>
  <c r="K322" i="6"/>
  <c r="G331" i="6"/>
  <c r="G313" i="6"/>
  <c r="K277" i="6"/>
  <c r="C289" i="6"/>
  <c r="K245" i="6"/>
  <c r="C255" i="6"/>
  <c r="G249" i="6"/>
  <c r="K169" i="6"/>
  <c r="C179" i="6"/>
  <c r="G351" i="6"/>
  <c r="K199" i="6"/>
  <c r="G156" i="6"/>
  <c r="G103" i="6"/>
  <c r="K160" i="6"/>
  <c r="C313" i="6"/>
  <c r="G157" i="6"/>
  <c r="K88" i="6"/>
  <c r="C103" i="6"/>
  <c r="G149" i="6"/>
  <c r="K126" i="6"/>
  <c r="C139" i="6"/>
  <c r="G75" i="6"/>
  <c r="K146" i="6"/>
  <c r="C147" i="6"/>
  <c r="G95" i="6"/>
  <c r="K68" i="6"/>
  <c r="C75" i="6"/>
  <c r="G121" i="6"/>
  <c r="K80" i="6"/>
  <c r="C95" i="6"/>
  <c r="C67" i="6"/>
  <c r="K47" i="6"/>
  <c r="C166" i="6"/>
  <c r="G35" i="6"/>
  <c r="K29" i="6"/>
  <c r="C44" i="6"/>
  <c r="G32" i="6"/>
  <c r="K40" i="6"/>
  <c r="C55" i="6"/>
  <c r="C19" i="6"/>
  <c r="K27" i="6"/>
  <c r="C26" i="6"/>
  <c r="C94" i="6"/>
  <c r="K234" i="6"/>
  <c r="G235" i="6"/>
  <c r="K344" i="6"/>
  <c r="K303" i="6"/>
  <c r="C310" i="6"/>
  <c r="K379" i="6"/>
  <c r="C386" i="6"/>
  <c r="K190" i="6"/>
  <c r="C197" i="6"/>
  <c r="N197" i="6" s="1"/>
  <c r="O197" i="6" s="1"/>
  <c r="G226" i="6"/>
  <c r="K333" i="6"/>
  <c r="C341" i="6"/>
  <c r="G295" i="6"/>
  <c r="K380" i="6"/>
  <c r="C381" i="6"/>
  <c r="G225" i="6"/>
  <c r="G370" i="6"/>
  <c r="G218" i="6"/>
  <c r="K325" i="6"/>
  <c r="C334" i="6"/>
  <c r="G286" i="6"/>
  <c r="K364" i="6"/>
  <c r="C374" i="6"/>
  <c r="G217" i="6"/>
  <c r="C181" i="6"/>
  <c r="C371" i="6"/>
  <c r="N371" i="6" s="1"/>
  <c r="O371" i="6" s="1"/>
  <c r="G209" i="6"/>
  <c r="C257" i="6"/>
  <c r="C61" i="6"/>
  <c r="K274" i="6"/>
  <c r="G272" i="6"/>
  <c r="K272" i="6"/>
  <c r="G234" i="6"/>
  <c r="K307" i="6"/>
  <c r="K381" i="6"/>
  <c r="C388" i="6"/>
  <c r="G193" i="6"/>
  <c r="K235" i="6"/>
  <c r="K338" i="6"/>
  <c r="C346" i="6"/>
  <c r="G300" i="6"/>
  <c r="G376" i="6"/>
  <c r="K370" i="6"/>
  <c r="C379" i="6"/>
  <c r="G182" i="6"/>
  <c r="G221" i="6"/>
  <c r="G337" i="6"/>
  <c r="K290" i="6"/>
  <c r="C301" i="6"/>
  <c r="K375" i="6"/>
  <c r="C377" i="6"/>
  <c r="G363" i="6"/>
  <c r="K176" i="6"/>
  <c r="C185" i="6"/>
  <c r="K221" i="6"/>
  <c r="C223" i="6"/>
  <c r="K321" i="6"/>
  <c r="C331" i="6"/>
  <c r="K283" i="6"/>
  <c r="K286" i="6"/>
  <c r="G276" i="6"/>
  <c r="G356" i="6"/>
  <c r="K361" i="6"/>
  <c r="G353" i="6"/>
  <c r="G165" i="6"/>
  <c r="G207" i="6"/>
  <c r="K237" i="6"/>
  <c r="K157" i="6"/>
  <c r="C318" i="6"/>
  <c r="K106" i="6"/>
  <c r="C282" i="6"/>
  <c r="G151" i="6"/>
  <c r="K141" i="6"/>
  <c r="C158" i="6"/>
  <c r="N158" i="6" s="1"/>
  <c r="O158" i="6" s="1"/>
  <c r="G89" i="6"/>
  <c r="K133" i="6"/>
  <c r="C150" i="6"/>
  <c r="G97" i="6"/>
  <c r="K91" i="6"/>
  <c r="C90" i="6"/>
  <c r="G123" i="6"/>
  <c r="K83" i="6"/>
  <c r="C98" i="6"/>
  <c r="C127" i="6"/>
  <c r="K113" i="6"/>
  <c r="C122" i="6"/>
  <c r="G69" i="6"/>
  <c r="K52" i="6"/>
  <c r="K44" i="6"/>
  <c r="C163" i="6"/>
  <c r="G48" i="6"/>
  <c r="K56" i="6"/>
  <c r="C206" i="6"/>
  <c r="G19" i="6"/>
  <c r="K39" i="6"/>
  <c r="C38" i="6"/>
  <c r="G59" i="6"/>
  <c r="K12" i="6"/>
  <c r="C16" i="6"/>
  <c r="C42" i="6"/>
  <c r="K350" i="6"/>
  <c r="G387" i="6"/>
  <c r="G386" i="6"/>
  <c r="G341" i="6"/>
  <c r="K340" i="6"/>
  <c r="C309" i="6"/>
  <c r="N309" i="6" s="1"/>
  <c r="O309" i="6" s="1"/>
  <c r="K266" i="6"/>
  <c r="C273" i="6"/>
  <c r="G378" i="6"/>
  <c r="K376" i="6"/>
  <c r="G377" i="6"/>
  <c r="G301" i="6"/>
  <c r="G294" i="6"/>
  <c r="K259" i="6"/>
  <c r="C268" i="6"/>
  <c r="G192" i="6"/>
  <c r="G223" i="6"/>
  <c r="G339" i="6"/>
  <c r="K292" i="6"/>
  <c r="G254" i="6"/>
  <c r="C286" i="6"/>
  <c r="C332" i="6"/>
  <c r="G250" i="6"/>
  <c r="K177" i="6"/>
  <c r="C186" i="6"/>
  <c r="K223" i="6"/>
  <c r="C224" i="6"/>
  <c r="K369" i="6"/>
  <c r="G360" i="6"/>
  <c r="G324" i="6"/>
  <c r="K287" i="6"/>
  <c r="C288" i="6"/>
  <c r="K244" i="6"/>
  <c r="C254" i="6"/>
  <c r="G239" i="6"/>
  <c r="K168" i="6"/>
  <c r="C178" i="6"/>
  <c r="C361" i="6"/>
  <c r="G201" i="6"/>
  <c r="G318" i="6"/>
  <c r="G102" i="6"/>
  <c r="G110" i="6"/>
  <c r="C276" i="6"/>
  <c r="G140" i="6"/>
  <c r="K105" i="6"/>
  <c r="C104" i="6"/>
  <c r="G148" i="6"/>
  <c r="K127" i="6"/>
  <c r="C140" i="6"/>
  <c r="G74" i="6"/>
  <c r="K131" i="6"/>
  <c r="C148" i="6"/>
  <c r="G240" i="6"/>
  <c r="K77" i="6"/>
  <c r="C76" i="6"/>
  <c r="G120" i="6"/>
  <c r="K81" i="6"/>
  <c r="C96" i="6"/>
  <c r="C118" i="6"/>
  <c r="K46" i="6"/>
  <c r="C165" i="6"/>
  <c r="G50" i="6"/>
  <c r="G129" i="6"/>
  <c r="C144" i="6"/>
  <c r="G21" i="6"/>
  <c r="K57" i="6"/>
  <c r="N57" i="6" s="1"/>
  <c r="O57" i="6" s="1"/>
  <c r="C56" i="6"/>
  <c r="C119" i="6"/>
  <c r="K18" i="6"/>
  <c r="C25" i="6"/>
  <c r="K79" i="6"/>
  <c r="C93" i="6"/>
  <c r="K389" i="6"/>
  <c r="G391" i="6"/>
  <c r="G343" i="6"/>
  <c r="G305" i="6"/>
  <c r="G380" i="6"/>
  <c r="K191" i="6"/>
  <c r="C196" i="6"/>
  <c r="K265" i="6"/>
  <c r="C271" i="6"/>
  <c r="G332" i="6"/>
  <c r="K294" i="6"/>
  <c r="C303" i="6"/>
  <c r="G374" i="6"/>
  <c r="K224" i="6"/>
  <c r="G186" i="6"/>
  <c r="C188" i="6"/>
  <c r="C226" i="6"/>
  <c r="K324" i="6"/>
  <c r="K295" i="6"/>
  <c r="C297" i="6"/>
  <c r="N297" i="6" s="1"/>
  <c r="O297" i="6" s="1"/>
  <c r="G366" i="6"/>
  <c r="K225" i="6"/>
  <c r="N225" i="6" s="1"/>
  <c r="O225" i="6" s="1"/>
  <c r="G187" i="6"/>
  <c r="G361" i="6"/>
  <c r="C362" i="6"/>
  <c r="C12" i="6"/>
  <c r="N12" i="6" s="1"/>
  <c r="O12" i="6" s="1"/>
  <c r="K310" i="6"/>
  <c r="G312" i="6"/>
  <c r="K271" i="6"/>
  <c r="G392" i="6"/>
  <c r="G269" i="6"/>
  <c r="K387" i="6"/>
  <c r="K194" i="6"/>
  <c r="G232" i="6"/>
  <c r="G231" i="6"/>
  <c r="K337" i="6"/>
  <c r="C345" i="6"/>
  <c r="G299" i="6"/>
  <c r="G375" i="6"/>
  <c r="K378" i="6"/>
  <c r="C380" i="6"/>
  <c r="G190" i="6"/>
  <c r="G222" i="6"/>
  <c r="G328" i="6"/>
  <c r="K299" i="6"/>
  <c r="C300" i="6"/>
  <c r="K366" i="6"/>
  <c r="C376" i="6"/>
  <c r="G362" i="6"/>
  <c r="K175" i="6"/>
  <c r="C184" i="6"/>
  <c r="K212" i="6"/>
  <c r="C222" i="6"/>
  <c r="K320" i="6"/>
  <c r="C330" i="6"/>
  <c r="G245" i="6"/>
  <c r="K285" i="6"/>
  <c r="C287" i="6"/>
  <c r="G357" i="6"/>
  <c r="K351" i="6"/>
  <c r="C363" i="6"/>
  <c r="G175" i="6"/>
  <c r="G206" i="6"/>
  <c r="G199" i="6"/>
  <c r="K156" i="6"/>
  <c r="C317" i="6"/>
  <c r="K280" i="6"/>
  <c r="C281" i="6"/>
  <c r="G150" i="6"/>
  <c r="K140" i="6"/>
  <c r="N140" i="6" s="1"/>
  <c r="O140" i="6" s="1"/>
  <c r="C157" i="6"/>
  <c r="G88" i="6"/>
  <c r="K148" i="6"/>
  <c r="C149" i="6"/>
  <c r="G242" i="6"/>
  <c r="K78" i="6"/>
  <c r="C89" i="6"/>
  <c r="G122" i="6"/>
  <c r="K82" i="6"/>
  <c r="C97" i="6"/>
  <c r="C78" i="6"/>
  <c r="K120" i="6"/>
  <c r="C121" i="6"/>
  <c r="G80" i="6"/>
  <c r="K208" i="6"/>
  <c r="K45" i="6"/>
  <c r="C164" i="6"/>
  <c r="G33" i="6"/>
  <c r="K204" i="6"/>
  <c r="C205" i="6"/>
  <c r="G30" i="6"/>
  <c r="K26" i="6"/>
  <c r="C37" i="6"/>
  <c r="N37" i="6" s="1"/>
  <c r="O37" i="6" s="1"/>
  <c r="G58" i="6"/>
  <c r="K17" i="6"/>
  <c r="K69" i="6"/>
  <c r="C41" i="6"/>
  <c r="K386" i="6"/>
  <c r="C391" i="6"/>
  <c r="G385" i="6"/>
  <c r="G347" i="6"/>
  <c r="G303" i="6"/>
  <c r="N303" i="6" s="1"/>
  <c r="O303" i="6" s="1"/>
  <c r="K267" i="6"/>
  <c r="C272" i="6"/>
  <c r="K189" i="6"/>
  <c r="C195" i="6"/>
  <c r="N195" i="6" s="1"/>
  <c r="O195" i="6" s="1"/>
  <c r="K384" i="6"/>
  <c r="K300" i="6"/>
  <c r="G262" i="6"/>
  <c r="C302" i="6"/>
  <c r="G258" i="6"/>
  <c r="K186" i="6"/>
  <c r="C194" i="6"/>
  <c r="K222" i="6"/>
  <c r="C231" i="6"/>
  <c r="N231" i="6" s="1"/>
  <c r="O231" i="6" s="1"/>
  <c r="K331" i="6"/>
  <c r="G330" i="6"/>
  <c r="K255" i="6"/>
  <c r="K323" i="6"/>
  <c r="C294" i="6"/>
  <c r="K252" i="6"/>
  <c r="C261" i="6"/>
  <c r="G185" i="6"/>
  <c r="G216" i="6"/>
  <c r="K359" i="6"/>
  <c r="N359" i="6" s="1"/>
  <c r="O359" i="6" s="1"/>
  <c r="K314" i="6"/>
  <c r="G323" i="6"/>
  <c r="G279" i="6"/>
  <c r="G253" i="6"/>
  <c r="N253" i="6" s="1"/>
  <c r="O253" i="6" s="1"/>
  <c r="K241" i="6"/>
  <c r="C251" i="6"/>
  <c r="G177" i="6"/>
  <c r="K161" i="6"/>
  <c r="K210" i="6"/>
  <c r="G200" i="6"/>
  <c r="K154" i="6"/>
  <c r="C319" i="6"/>
  <c r="K104" i="6"/>
  <c r="C283" i="6"/>
  <c r="N283" i="6" s="1"/>
  <c r="O283" i="6" s="1"/>
  <c r="C275" i="6"/>
  <c r="N275" i="6" s="1"/>
  <c r="O275" i="6" s="1"/>
  <c r="K138" i="6"/>
  <c r="C155" i="6"/>
  <c r="N155" i="6" s="1"/>
  <c r="O155" i="6" s="1"/>
  <c r="G87" i="6"/>
  <c r="K147" i="6"/>
  <c r="C358" i="6"/>
  <c r="G141" i="6"/>
  <c r="K76" i="6"/>
  <c r="C87" i="6"/>
  <c r="G133" i="6"/>
  <c r="K96" i="6"/>
  <c r="C242" i="6"/>
  <c r="N242" i="6" s="1"/>
  <c r="O242" i="6" s="1"/>
  <c r="G67" i="6"/>
  <c r="N67" i="6" s="1"/>
  <c r="O67" i="6" s="1"/>
  <c r="K119" i="6"/>
  <c r="C131" i="6"/>
  <c r="G79" i="6"/>
  <c r="K112" i="6"/>
  <c r="N112" i="6" s="1"/>
  <c r="O112" i="6" s="1"/>
  <c r="C117" i="6"/>
  <c r="G45" i="6"/>
  <c r="K36" i="6"/>
  <c r="C51" i="6"/>
  <c r="N51" i="6" s="1"/>
  <c r="O51" i="6" s="1"/>
  <c r="C43" i="6"/>
  <c r="K23" i="6"/>
  <c r="C34" i="6"/>
  <c r="G39" i="6"/>
  <c r="K13" i="6"/>
  <c r="C20" i="6"/>
  <c r="G16" i="6"/>
  <c r="G42" i="6"/>
  <c r="C60" i="6"/>
  <c r="K198" i="6"/>
  <c r="G196" i="6"/>
  <c r="G349" i="6"/>
  <c r="G304" i="6"/>
  <c r="G381" i="6"/>
  <c r="G189" i="6"/>
  <c r="K264" i="6"/>
  <c r="C233" i="6"/>
  <c r="G340" i="6"/>
  <c r="K302" i="6"/>
  <c r="C304" i="6"/>
  <c r="G373" i="6"/>
  <c r="K187" i="6"/>
  <c r="G194" i="6"/>
  <c r="C378" i="6"/>
  <c r="C264" i="6"/>
  <c r="G333" i="6"/>
  <c r="G288" i="6"/>
  <c r="C296" i="6"/>
  <c r="G365" i="6"/>
  <c r="N365" i="6" s="1"/>
  <c r="O365" i="6" s="1"/>
  <c r="K216" i="6"/>
  <c r="N216" i="6" s="1"/>
  <c r="O216" i="6" s="1"/>
  <c r="G178" i="6"/>
  <c r="C172" i="6"/>
  <c r="C370" i="6"/>
  <c r="C210" i="6"/>
  <c r="C256" i="6"/>
  <c r="G18" i="6"/>
  <c r="G41" i="6"/>
  <c r="C24" i="6"/>
  <c r="K25" i="6"/>
  <c r="C130" i="6"/>
  <c r="C53" i="6"/>
  <c r="K38" i="6"/>
  <c r="N38" i="6" s="1"/>
  <c r="O38" i="6" s="1"/>
  <c r="G46" i="6"/>
  <c r="C352" i="6"/>
  <c r="G143" i="6"/>
  <c r="G168" i="6"/>
  <c r="G70" i="6"/>
  <c r="C116" i="6"/>
  <c r="K114" i="6"/>
  <c r="G144" i="6"/>
  <c r="C84" i="6"/>
  <c r="N84" i="6" s="1"/>
  <c r="O84" i="6" s="1"/>
  <c r="K73" i="6"/>
  <c r="G116" i="6"/>
  <c r="C92" i="6"/>
  <c r="G78" i="6"/>
  <c r="G98" i="6"/>
  <c r="C136" i="6"/>
  <c r="K134" i="6"/>
  <c r="N134" i="6" s="1"/>
  <c r="O134" i="6" s="1"/>
  <c r="G90" i="6"/>
  <c r="C245" i="6"/>
  <c r="K101" i="6"/>
  <c r="G153" i="6"/>
  <c r="C280" i="6"/>
  <c r="K278" i="6"/>
  <c r="G314" i="6"/>
  <c r="G322" i="6"/>
  <c r="G204" i="6"/>
  <c r="G163" i="6"/>
  <c r="C249" i="6"/>
  <c r="K239" i="6"/>
  <c r="G251" i="6"/>
  <c r="C285" i="6"/>
  <c r="C292" i="6"/>
  <c r="K291" i="6"/>
  <c r="G327" i="6"/>
  <c r="C220" i="6"/>
  <c r="G212" i="6"/>
  <c r="G181" i="6"/>
  <c r="C258" i="6"/>
  <c r="N258" i="6" s="1"/>
  <c r="O258" i="6" s="1"/>
  <c r="K249" i="6"/>
  <c r="G252" i="6"/>
  <c r="G290" i="6"/>
  <c r="N290" i="6" s="1"/>
  <c r="O290" i="6" s="1"/>
  <c r="C336" i="6"/>
  <c r="N336" i="6" s="1"/>
  <c r="O336" i="6" s="1"/>
  <c r="K327" i="6"/>
  <c r="G219" i="6"/>
  <c r="C189" i="6"/>
  <c r="K181" i="6"/>
  <c r="G264" i="6"/>
  <c r="C269" i="6"/>
  <c r="K261" i="6"/>
  <c r="C305" i="6"/>
  <c r="K304" i="6"/>
  <c r="G342" i="6"/>
  <c r="N342" i="6" s="1"/>
  <c r="O342" i="6" s="1"/>
  <c r="C234" i="6"/>
  <c r="N234" i="6" s="1"/>
  <c r="O234" i="6" s="1"/>
  <c r="K227" i="6"/>
  <c r="K192" i="6"/>
  <c r="G273" i="6"/>
  <c r="G307" i="6"/>
  <c r="G384" i="6"/>
  <c r="K346" i="6"/>
  <c r="N346" i="6" s="1"/>
  <c r="O346" i="6" s="1"/>
  <c r="K390" i="6"/>
  <c r="C17" i="6"/>
  <c r="K61" i="6"/>
  <c r="C199" i="6"/>
  <c r="N199" i="6" s="1"/>
  <c r="O199" i="6" s="1"/>
  <c r="G27" i="6"/>
  <c r="C22" i="6"/>
  <c r="N22" i="6" s="1"/>
  <c r="O22" i="6" s="1"/>
  <c r="K15" i="6"/>
  <c r="G56" i="6"/>
  <c r="N56" i="6" s="1"/>
  <c r="O56" i="6" s="1"/>
  <c r="C35" i="6"/>
  <c r="K24" i="6"/>
  <c r="G44" i="6"/>
  <c r="C207" i="6"/>
  <c r="K54" i="6"/>
  <c r="G47" i="6"/>
  <c r="N47" i="6" s="1"/>
  <c r="O47" i="6" s="1"/>
  <c r="G64" i="6"/>
  <c r="C239" i="6"/>
  <c r="K95" i="6"/>
  <c r="G130" i="6"/>
  <c r="N130" i="6" s="1"/>
  <c r="O130" i="6" s="1"/>
  <c r="C74" i="6"/>
  <c r="K75" i="6"/>
  <c r="G118" i="6"/>
  <c r="N118" i="6" s="1"/>
  <c r="O118" i="6" s="1"/>
  <c r="C355" i="6"/>
  <c r="K145" i="6"/>
  <c r="G73" i="6"/>
  <c r="C138" i="6"/>
  <c r="K124" i="6"/>
  <c r="N124" i="6" s="1"/>
  <c r="O124" i="6" s="1"/>
  <c r="C159" i="6"/>
  <c r="C102" i="6"/>
  <c r="K103" i="6"/>
  <c r="G138" i="6"/>
  <c r="C278" i="6"/>
  <c r="K110" i="6"/>
  <c r="K102" i="6"/>
  <c r="G320" i="6"/>
  <c r="C213" i="6"/>
  <c r="N213" i="6" s="1"/>
  <c r="O213" i="6" s="1"/>
  <c r="K201" i="6"/>
  <c r="G161" i="6"/>
  <c r="G208" i="6"/>
  <c r="K170" i="6"/>
  <c r="G355" i="6"/>
  <c r="C369" i="6"/>
  <c r="K357" i="6"/>
  <c r="C291" i="6"/>
  <c r="K289" i="6"/>
  <c r="G325" i="6"/>
  <c r="C218" i="6"/>
  <c r="N218" i="6" s="1"/>
  <c r="O218" i="6" s="1"/>
  <c r="C114" i="6"/>
  <c r="C69" i="6"/>
  <c r="K63" i="6"/>
  <c r="C14" i="6"/>
  <c r="N14" i="6" s="1"/>
  <c r="O14" i="6" s="1"/>
  <c r="G40" i="6"/>
  <c r="C23" i="6"/>
  <c r="K16" i="6"/>
  <c r="C30" i="6"/>
  <c r="C54" i="6"/>
  <c r="K55" i="6"/>
  <c r="N55" i="6" s="1"/>
  <c r="O55" i="6" s="1"/>
  <c r="G31" i="6"/>
  <c r="C351" i="6"/>
  <c r="K43" i="6"/>
  <c r="G49" i="6"/>
  <c r="G63" i="6"/>
  <c r="C115" i="6"/>
  <c r="N115" i="6" s="1"/>
  <c r="O115" i="6" s="1"/>
  <c r="K111" i="6"/>
  <c r="G145" i="6"/>
  <c r="C83" i="6"/>
  <c r="K72" i="6"/>
  <c r="G125" i="6"/>
  <c r="C141" i="6"/>
  <c r="K128" i="6"/>
  <c r="G83" i="6"/>
  <c r="C135" i="6"/>
  <c r="K123" i="6"/>
  <c r="G91" i="6"/>
  <c r="C246" i="6"/>
  <c r="K100" i="6"/>
  <c r="G136" i="6"/>
  <c r="C279" i="6"/>
  <c r="K108" i="6"/>
  <c r="G160" i="6"/>
  <c r="G152" i="6"/>
  <c r="G205" i="6"/>
  <c r="G173" i="6"/>
  <c r="G247" i="6"/>
  <c r="K238" i="6"/>
  <c r="G241" i="6"/>
  <c r="C323" i="6"/>
  <c r="C293" i="6"/>
  <c r="K281" i="6"/>
  <c r="G317" i="6"/>
  <c r="C221" i="6"/>
  <c r="K219" i="6"/>
  <c r="K172" i="6"/>
  <c r="C259" i="6"/>
  <c r="K250" i="6"/>
  <c r="G261" i="6"/>
  <c r="G289" i="6"/>
  <c r="C337" i="6"/>
  <c r="K328" i="6"/>
  <c r="N328" i="6" s="1"/>
  <c r="O328" i="6" s="1"/>
  <c r="G220" i="6"/>
  <c r="C190" i="6"/>
  <c r="K182" i="6"/>
  <c r="N182" i="6" s="1"/>
  <c r="O182" i="6" s="1"/>
  <c r="G256" i="6"/>
  <c r="C270" i="6"/>
  <c r="K262" i="6"/>
  <c r="C306" i="6"/>
  <c r="K296" i="6"/>
  <c r="N296" i="6" s="1"/>
  <c r="O296" i="6" s="1"/>
  <c r="G334" i="6"/>
  <c r="C235" i="6"/>
  <c r="K233" i="6"/>
  <c r="C198" i="6"/>
  <c r="N198" i="6" s="1"/>
  <c r="O198" i="6" s="1"/>
  <c r="K193" i="6"/>
  <c r="K268" i="6"/>
  <c r="K311" i="6"/>
  <c r="G345" i="6"/>
  <c r="C392" i="6"/>
  <c r="K347" i="6"/>
  <c r="C18" i="6"/>
  <c r="C200" i="6"/>
  <c r="G60" i="6"/>
  <c r="C40" i="6"/>
  <c r="K41" i="6"/>
  <c r="G13" i="6"/>
  <c r="N13" i="6" s="1"/>
  <c r="O13" i="6" s="1"/>
  <c r="C204" i="6"/>
  <c r="K202" i="6"/>
  <c r="G34" i="6"/>
  <c r="C45" i="6"/>
  <c r="N45" i="6" s="1"/>
  <c r="O45" i="6" s="1"/>
  <c r="K30" i="6"/>
  <c r="G53" i="6"/>
  <c r="C168" i="6"/>
  <c r="K49" i="6"/>
  <c r="N49" i="6" s="1"/>
  <c r="O49" i="6" s="1"/>
  <c r="C65" i="6"/>
  <c r="K62" i="6"/>
  <c r="G238" i="6"/>
  <c r="C145" i="6"/>
  <c r="K144" i="6"/>
  <c r="G65" i="6"/>
  <c r="C125" i="6"/>
  <c r="K117" i="6"/>
  <c r="N117" i="6" s="1"/>
  <c r="O117" i="6" s="1"/>
  <c r="G146" i="6"/>
  <c r="C85" i="6"/>
  <c r="K74" i="6"/>
  <c r="G139" i="6"/>
  <c r="N139" i="6" s="1"/>
  <c r="O139" i="6" s="1"/>
  <c r="C160" i="6"/>
  <c r="N160" i="6" s="1"/>
  <c r="O160" i="6" s="1"/>
  <c r="G92" i="6"/>
  <c r="G100" i="6"/>
  <c r="C153" i="6"/>
  <c r="N153" i="6" s="1"/>
  <c r="O153" i="6" s="1"/>
  <c r="K136" i="6"/>
  <c r="G108" i="6"/>
  <c r="G246" i="6"/>
  <c r="C321" i="6"/>
  <c r="N321" i="6" s="1"/>
  <c r="O321" i="6" s="1"/>
  <c r="K152" i="6"/>
  <c r="G202" i="6"/>
  <c r="C173" i="6"/>
  <c r="K163" i="6"/>
  <c r="N163" i="6" s="1"/>
  <c r="O163" i="6" s="1"/>
  <c r="G169" i="6"/>
  <c r="C364" i="6"/>
  <c r="K363" i="6"/>
  <c r="G358" i="6"/>
  <c r="N358" i="6" s="1"/>
  <c r="O358" i="6" s="1"/>
  <c r="G280" i="6"/>
  <c r="N280" i="6" s="1"/>
  <c r="O280" i="6" s="1"/>
  <c r="C326" i="6"/>
  <c r="K316" i="6"/>
  <c r="N316" i="6" s="1"/>
  <c r="O316" i="6" s="1"/>
  <c r="C219" i="6"/>
  <c r="G11" i="6"/>
  <c r="N11" i="6" s="1"/>
  <c r="O11" i="6" s="1"/>
  <c r="N66" i="6"/>
  <c r="O66" i="6" s="1"/>
  <c r="N338" i="6"/>
  <c r="O338" i="6" s="1"/>
  <c r="N354" i="6"/>
  <c r="O354" i="6" s="1"/>
  <c r="N248" i="6"/>
  <c r="O248" i="6" s="1"/>
  <c r="N52" i="6"/>
  <c r="O52" i="6" s="1"/>
  <c r="N109" i="6"/>
  <c r="O109" i="6" s="1"/>
  <c r="N203" i="6"/>
  <c r="O203" i="6" s="1"/>
  <c r="N214" i="6"/>
  <c r="O214" i="6" s="1"/>
  <c r="N228" i="6"/>
  <c r="O228" i="6" s="1"/>
  <c r="N276" i="6"/>
  <c r="O276" i="6" s="1"/>
  <c r="N229" i="6" l="1"/>
  <c r="O229" i="6" s="1"/>
  <c r="N327" i="6"/>
  <c r="O327" i="6" s="1"/>
  <c r="N366" i="6"/>
  <c r="O366" i="6" s="1"/>
  <c r="N184" i="6"/>
  <c r="O184" i="6" s="1"/>
  <c r="N281" i="6"/>
  <c r="O281" i="6" s="1"/>
  <c r="N123" i="6"/>
  <c r="O123" i="6" s="1"/>
  <c r="N177" i="6"/>
  <c r="O177" i="6" s="1"/>
  <c r="N301" i="6"/>
  <c r="O301" i="6" s="1"/>
  <c r="N318" i="6"/>
  <c r="O318" i="6" s="1"/>
  <c r="N169" i="6"/>
  <c r="O169" i="6" s="1"/>
  <c r="N193" i="6"/>
  <c r="O193" i="6" s="1"/>
  <c r="N270" i="6"/>
  <c r="O270" i="6" s="1"/>
  <c r="N135" i="6"/>
  <c r="O135" i="6" s="1"/>
  <c r="N170" i="6"/>
  <c r="O170" i="6" s="1"/>
  <c r="N238" i="6"/>
  <c r="O238" i="6" s="1"/>
  <c r="N264" i="6"/>
  <c r="O264" i="6" s="1"/>
  <c r="N378" i="6"/>
  <c r="O378" i="6" s="1"/>
  <c r="N310" i="6"/>
  <c r="O310" i="6" s="1"/>
  <c r="N147" i="6"/>
  <c r="O147" i="6" s="1"/>
  <c r="N277" i="6"/>
  <c r="O277" i="6" s="1"/>
  <c r="N289" i="6"/>
  <c r="O289" i="6" s="1"/>
  <c r="N252" i="6"/>
  <c r="O252" i="6" s="1"/>
  <c r="N271" i="6"/>
  <c r="O271" i="6" s="1"/>
  <c r="N202" i="6"/>
  <c r="O202" i="6" s="1"/>
  <c r="N204" i="6"/>
  <c r="O204" i="6" s="1"/>
  <c r="N43" i="6"/>
  <c r="O43" i="6" s="1"/>
  <c r="N44" i="6"/>
  <c r="O44" i="6" s="1"/>
  <c r="N61" i="6"/>
  <c r="O61" i="6" s="1"/>
  <c r="N121" i="6"/>
  <c r="O121" i="6" s="1"/>
  <c r="N263" i="6"/>
  <c r="O263" i="6" s="1"/>
  <c r="N245" i="6"/>
  <c r="O245" i="6" s="1"/>
  <c r="N314" i="6"/>
  <c r="O314" i="6" s="1"/>
  <c r="N320" i="6"/>
  <c r="O320" i="6" s="1"/>
  <c r="N307" i="6"/>
  <c r="O307" i="6" s="1"/>
  <c r="N133" i="6"/>
  <c r="O133" i="6" s="1"/>
  <c r="N180" i="6"/>
  <c r="O180" i="6" s="1"/>
  <c r="N63" i="6"/>
  <c r="O63" i="6" s="1"/>
  <c r="N249" i="6"/>
  <c r="O249" i="6" s="1"/>
  <c r="N73" i="6"/>
  <c r="O73" i="6" s="1"/>
  <c r="N78" i="6"/>
  <c r="O78" i="6" s="1"/>
  <c r="N212" i="6"/>
  <c r="O212" i="6" s="1"/>
  <c r="N119" i="6"/>
  <c r="O119" i="6" s="1"/>
  <c r="N42" i="6"/>
  <c r="O42" i="6" s="1"/>
  <c r="N18" i="6"/>
  <c r="O18" i="6" s="1"/>
  <c r="N279" i="6"/>
  <c r="O279" i="6" s="1"/>
  <c r="N369" i="6"/>
  <c r="O369" i="6" s="1"/>
  <c r="N273" i="6"/>
  <c r="O273" i="6" s="1"/>
  <c r="N286" i="6"/>
  <c r="O286" i="6" s="1"/>
  <c r="N350" i="6"/>
  <c r="O350" i="6" s="1"/>
  <c r="N59" i="6"/>
  <c r="O59" i="6" s="1"/>
  <c r="N278" i="6"/>
  <c r="O278" i="6" s="1"/>
  <c r="N251" i="6"/>
  <c r="O251" i="6" s="1"/>
  <c r="N384" i="6"/>
  <c r="O384" i="6" s="1"/>
  <c r="N391" i="6"/>
  <c r="O391" i="6" s="1"/>
  <c r="N157" i="6"/>
  <c r="O157" i="6" s="1"/>
  <c r="N68" i="6"/>
  <c r="O68" i="6" s="1"/>
  <c r="N65" i="6"/>
  <c r="O65" i="6" s="1"/>
  <c r="N83" i="6"/>
  <c r="O83" i="6" s="1"/>
  <c r="N355" i="6"/>
  <c r="O355" i="6" s="1"/>
  <c r="N87" i="6"/>
  <c r="O87" i="6" s="1"/>
  <c r="N102" i="6"/>
  <c r="O102" i="6" s="1"/>
  <c r="N330" i="6"/>
  <c r="O330" i="6" s="1"/>
  <c r="N269" i="6"/>
  <c r="O269" i="6" s="1"/>
  <c r="N186" i="6"/>
  <c r="O186" i="6" s="1"/>
  <c r="N294" i="6"/>
  <c r="O294" i="6" s="1"/>
  <c r="N196" i="6"/>
  <c r="O196" i="6" s="1"/>
  <c r="N79" i="6"/>
  <c r="O79" i="6" s="1"/>
  <c r="N76" i="6"/>
  <c r="O76" i="6" s="1"/>
  <c r="N148" i="6"/>
  <c r="O148" i="6" s="1"/>
  <c r="N292" i="6"/>
  <c r="O292" i="6" s="1"/>
  <c r="N268" i="6"/>
  <c r="O268" i="6" s="1"/>
  <c r="N39" i="6"/>
  <c r="O39" i="6" s="1"/>
  <c r="N69" i="6"/>
  <c r="O69" i="6" s="1"/>
  <c r="N377" i="6"/>
  <c r="O377" i="6" s="1"/>
  <c r="N272" i="6"/>
  <c r="O272" i="6" s="1"/>
  <c r="N40" i="6"/>
  <c r="O40" i="6" s="1"/>
  <c r="N75" i="6"/>
  <c r="O75" i="6" s="1"/>
  <c r="N339" i="6"/>
  <c r="O339" i="6" s="1"/>
  <c r="N341" i="6"/>
  <c r="O341" i="6" s="1"/>
  <c r="N389" i="6"/>
  <c r="O389" i="6" s="1"/>
  <c r="N15" i="6"/>
  <c r="O15" i="6" s="1"/>
  <c r="N70" i="6"/>
  <c r="O70" i="6" s="1"/>
  <c r="N244" i="6"/>
  <c r="O244" i="6" s="1"/>
  <c r="N90" i="6"/>
  <c r="O90" i="6" s="1"/>
  <c r="N104" i="6"/>
  <c r="O104" i="6" s="1"/>
  <c r="N192" i="6"/>
  <c r="O192" i="6" s="1"/>
  <c r="N382" i="6"/>
  <c r="O382" i="6" s="1"/>
  <c r="N334" i="6"/>
  <c r="O334" i="6" s="1"/>
  <c r="N33" i="6"/>
  <c r="O33" i="6" s="1"/>
  <c r="N94" i="6"/>
  <c r="O94" i="6" s="1"/>
  <c r="N325" i="6"/>
  <c r="O325" i="6" s="1"/>
  <c r="N82" i="6"/>
  <c r="O82" i="6" s="1"/>
  <c r="N217" i="6"/>
  <c r="O217" i="6" s="1"/>
  <c r="N362" i="6"/>
  <c r="O362" i="6" s="1"/>
  <c r="N220" i="6"/>
  <c r="O220" i="6" s="1"/>
  <c r="N111" i="6"/>
  <c r="O111" i="6" s="1"/>
  <c r="N64" i="6"/>
  <c r="O64" i="6" s="1"/>
  <c r="N215" i="6"/>
  <c r="O215" i="6" s="1"/>
  <c r="N99" i="6"/>
  <c r="O99" i="6" s="1"/>
  <c r="N247" i="6"/>
  <c r="O247" i="6" s="1"/>
  <c r="N154" i="6"/>
  <c r="O154" i="6" s="1"/>
  <c r="N146" i="6"/>
  <c r="O146" i="6" s="1"/>
  <c r="N46" i="6"/>
  <c r="O46" i="6" s="1"/>
  <c r="N237" i="6"/>
  <c r="O237" i="6" s="1"/>
  <c r="N344" i="6"/>
  <c r="O344" i="6" s="1"/>
  <c r="N265" i="6"/>
  <c r="O265" i="6" s="1"/>
  <c r="N352" i="6"/>
  <c r="O352" i="6" s="1"/>
  <c r="N129" i="6"/>
  <c r="O129" i="6" s="1"/>
  <c r="N250" i="6"/>
  <c r="O250" i="6" s="1"/>
  <c r="N221" i="6"/>
  <c r="O221" i="6" s="1"/>
  <c r="N323" i="6"/>
  <c r="O323" i="6" s="1"/>
  <c r="N72" i="6"/>
  <c r="O72" i="6" s="1"/>
  <c r="N351" i="6"/>
  <c r="O351" i="6" s="1"/>
  <c r="N30" i="6"/>
  <c r="O30" i="6" s="1"/>
  <c r="N357" i="6"/>
  <c r="O357" i="6" s="1"/>
  <c r="N24" i="6"/>
  <c r="O24" i="6" s="1"/>
  <c r="N17" i="6"/>
  <c r="O17" i="6" s="1"/>
  <c r="N189" i="6"/>
  <c r="O189" i="6" s="1"/>
  <c r="N181" i="6"/>
  <c r="O181" i="6" s="1"/>
  <c r="N291" i="6"/>
  <c r="O291" i="6" s="1"/>
  <c r="N322" i="6"/>
  <c r="O322" i="6" s="1"/>
  <c r="N210" i="6"/>
  <c r="O210" i="6" s="1"/>
  <c r="N333" i="6"/>
  <c r="O333" i="6" s="1"/>
  <c r="N381" i="6"/>
  <c r="O381" i="6" s="1"/>
  <c r="N20" i="6"/>
  <c r="O20" i="6" s="1"/>
  <c r="N131" i="6"/>
  <c r="O131" i="6" s="1"/>
  <c r="N255" i="6"/>
  <c r="O255" i="6" s="1"/>
  <c r="N222" i="6"/>
  <c r="O222" i="6" s="1"/>
  <c r="N386" i="6"/>
  <c r="O386" i="6" s="1"/>
  <c r="N58" i="6"/>
  <c r="O58" i="6" s="1"/>
  <c r="N149" i="6"/>
  <c r="O149" i="6" s="1"/>
  <c r="N287" i="6"/>
  <c r="O287" i="6" s="1"/>
  <c r="N232" i="6"/>
  <c r="O232" i="6" s="1"/>
  <c r="N324" i="6"/>
  <c r="O324" i="6" s="1"/>
  <c r="N224" i="6"/>
  <c r="O224" i="6" s="1"/>
  <c r="N77" i="6"/>
  <c r="O77" i="6" s="1"/>
  <c r="N254" i="6"/>
  <c r="O254" i="6" s="1"/>
  <c r="N19" i="6"/>
  <c r="O19" i="6" s="1"/>
  <c r="N106" i="6"/>
  <c r="O106" i="6" s="1"/>
  <c r="N356" i="6"/>
  <c r="O356" i="6" s="1"/>
  <c r="N274" i="6"/>
  <c r="O274" i="6" s="1"/>
  <c r="N166" i="6"/>
  <c r="O166" i="6" s="1"/>
  <c r="N179" i="6"/>
  <c r="O179" i="6" s="1"/>
  <c r="N162" i="6"/>
  <c r="O162" i="6" s="1"/>
  <c r="N183" i="6"/>
  <c r="O183" i="6" s="1"/>
  <c r="N219" i="6"/>
  <c r="O219" i="6" s="1"/>
  <c r="N145" i="6"/>
  <c r="O145" i="6" s="1"/>
  <c r="N200" i="6"/>
  <c r="O200" i="6" s="1"/>
  <c r="N100" i="6"/>
  <c r="O100" i="6" s="1"/>
  <c r="N125" i="6"/>
  <c r="O125" i="6" s="1"/>
  <c r="N34" i="6"/>
  <c r="O34" i="6" s="1"/>
  <c r="N306" i="6"/>
  <c r="O306" i="6" s="1"/>
  <c r="N337" i="6"/>
  <c r="O337" i="6" s="1"/>
  <c r="N16" i="6"/>
  <c r="O16" i="6" s="1"/>
  <c r="N116" i="6"/>
  <c r="O116" i="6" s="1"/>
  <c r="N370" i="6"/>
  <c r="O370" i="6" s="1"/>
  <c r="N89" i="6"/>
  <c r="O89" i="6" s="1"/>
  <c r="N360" i="6"/>
  <c r="O360" i="6" s="1"/>
  <c r="N345" i="6"/>
  <c r="O345" i="6" s="1"/>
  <c r="N256" i="6"/>
  <c r="O256" i="6" s="1"/>
  <c r="N326" i="6"/>
  <c r="O326" i="6" s="1"/>
  <c r="N62" i="6"/>
  <c r="O62" i="6" s="1"/>
  <c r="N108" i="6"/>
  <c r="O108" i="6" s="1"/>
  <c r="N246" i="6"/>
  <c r="O246" i="6" s="1"/>
  <c r="N239" i="6"/>
  <c r="O239" i="6" s="1"/>
  <c r="N302" i="6"/>
  <c r="O302" i="6" s="1"/>
  <c r="N299" i="6"/>
  <c r="O299" i="6" s="1"/>
  <c r="N223" i="6"/>
  <c r="O223" i="6" s="1"/>
  <c r="N132" i="6"/>
  <c r="O132" i="6" s="1"/>
  <c r="N144" i="6"/>
  <c r="O144" i="6" s="1"/>
  <c r="N300" i="6"/>
  <c r="O300" i="6" s="1"/>
  <c r="N54" i="6"/>
  <c r="O54" i="6" s="1"/>
  <c r="N194" i="6"/>
  <c r="O194" i="6" s="1"/>
  <c r="N92" i="6"/>
  <c r="O92" i="6" s="1"/>
  <c r="N23" i="6"/>
  <c r="O23" i="6" s="1"/>
  <c r="N205" i="6"/>
  <c r="O205" i="6" s="1"/>
  <c r="N136" i="6"/>
  <c r="O136" i="6" s="1"/>
  <c r="N53" i="6"/>
  <c r="O53" i="6" s="1"/>
  <c r="N233" i="6"/>
  <c r="O233" i="6" s="1"/>
  <c r="N304" i="6"/>
  <c r="O304" i="6" s="1"/>
  <c r="N60" i="6"/>
  <c r="O60" i="6" s="1"/>
  <c r="N161" i="6"/>
  <c r="O161" i="6" s="1"/>
  <c r="N317" i="6"/>
  <c r="O317" i="6" s="1"/>
  <c r="N175" i="6"/>
  <c r="O175" i="6" s="1"/>
  <c r="N190" i="6"/>
  <c r="O190" i="6" s="1"/>
  <c r="N392" i="6"/>
  <c r="O392" i="6" s="1"/>
  <c r="N25" i="6"/>
  <c r="O25" i="6" s="1"/>
  <c r="N110" i="6"/>
  <c r="O110" i="6" s="1"/>
  <c r="N361" i="6"/>
  <c r="O361" i="6" s="1"/>
  <c r="N376" i="6"/>
  <c r="O376" i="6" s="1"/>
  <c r="N387" i="6"/>
  <c r="O387" i="6" s="1"/>
  <c r="N207" i="6"/>
  <c r="O207" i="6" s="1"/>
  <c r="N331" i="6"/>
  <c r="O331" i="6" s="1"/>
  <c r="N185" i="6"/>
  <c r="O185" i="6" s="1"/>
  <c r="N375" i="6"/>
  <c r="O375" i="6" s="1"/>
  <c r="N235" i="6"/>
  <c r="O235" i="6" s="1"/>
  <c r="N364" i="6"/>
  <c r="O364" i="6" s="1"/>
  <c r="N226" i="6"/>
  <c r="O226" i="6" s="1"/>
  <c r="N379" i="6"/>
  <c r="O379" i="6" s="1"/>
  <c r="N27" i="6"/>
  <c r="O27" i="6" s="1"/>
  <c r="N80" i="6"/>
  <c r="O80" i="6" s="1"/>
  <c r="N88" i="6"/>
  <c r="O88" i="6" s="1"/>
  <c r="N103" i="6"/>
  <c r="O103" i="6" s="1"/>
  <c r="N295" i="6"/>
  <c r="O295" i="6" s="1"/>
  <c r="N388" i="6"/>
  <c r="O388" i="6" s="1"/>
  <c r="N201" i="6"/>
  <c r="O201" i="6" s="1"/>
  <c r="N21" i="6"/>
  <c r="O21" i="6" s="1"/>
  <c r="N98" i="6"/>
  <c r="O98" i="6" s="1"/>
  <c r="N176" i="6"/>
  <c r="O176" i="6" s="1"/>
  <c r="N312" i="6"/>
  <c r="O312" i="6" s="1"/>
  <c r="N372" i="6"/>
  <c r="O372" i="6" s="1"/>
  <c r="N227" i="6"/>
  <c r="O227" i="6" s="1"/>
  <c r="N311" i="6"/>
  <c r="O311" i="6" s="1"/>
  <c r="N236" i="6"/>
  <c r="O236" i="6" s="1"/>
  <c r="N164" i="6"/>
  <c r="O164" i="6" s="1"/>
  <c r="N97" i="6"/>
  <c r="O97" i="6" s="1"/>
  <c r="N128" i="6"/>
  <c r="O128" i="6" s="1"/>
  <c r="N156" i="6"/>
  <c r="O156" i="6" s="1"/>
  <c r="N282" i="6"/>
  <c r="O282" i="6" s="1"/>
  <c r="N209" i="6"/>
  <c r="O209" i="6" s="1"/>
  <c r="N240" i="6"/>
  <c r="O240" i="6" s="1"/>
  <c r="N260" i="6"/>
  <c r="O260" i="6" s="1"/>
  <c r="N293" i="6"/>
  <c r="O293" i="6" s="1"/>
  <c r="N385" i="6"/>
  <c r="O385" i="6" s="1"/>
  <c r="N349" i="6"/>
  <c r="O349" i="6" s="1"/>
  <c r="N390" i="6"/>
  <c r="O390" i="6" s="1"/>
  <c r="N31" i="6"/>
  <c r="O31" i="6" s="1"/>
  <c r="N243" i="6"/>
  <c r="O243" i="6" s="1"/>
  <c r="N367" i="6"/>
  <c r="O367" i="6" s="1"/>
  <c r="N373" i="6"/>
  <c r="O373" i="6" s="1"/>
  <c r="N374" i="6"/>
  <c r="O374" i="6" s="1"/>
  <c r="N368" i="6"/>
  <c r="O368" i="6" s="1"/>
  <c r="N172" i="6"/>
  <c r="O172" i="6" s="1"/>
  <c r="N284" i="6"/>
  <c r="O284" i="6" s="1"/>
  <c r="N86" i="6"/>
  <c r="O86" i="6" s="1"/>
  <c r="N127" i="6"/>
  <c r="O127" i="6" s="1"/>
  <c r="N36" i="6"/>
  <c r="O36" i="6" s="1"/>
  <c r="N26" i="6"/>
  <c r="O26" i="6" s="1"/>
  <c r="N267" i="6"/>
  <c r="O267" i="6" s="1"/>
  <c r="N343" i="6"/>
  <c r="O343" i="6" s="1"/>
  <c r="N266" i="6"/>
  <c r="O266" i="6" s="1"/>
  <c r="N335" i="6"/>
  <c r="O335" i="6" s="1"/>
  <c r="N211" i="6"/>
  <c r="O211" i="6" s="1"/>
  <c r="N313" i="6"/>
  <c r="O313" i="6" s="1"/>
  <c r="N165" i="6"/>
  <c r="O165" i="6" s="1"/>
  <c r="N151" i="6"/>
  <c r="O151" i="6" s="1"/>
  <c r="N91" i="6"/>
  <c r="O91" i="6" s="1"/>
  <c r="N143" i="6"/>
  <c r="O143" i="6" s="1"/>
  <c r="N29" i="6"/>
  <c r="O29" i="6" s="1"/>
  <c r="N171" i="6"/>
  <c r="O171" i="6" s="1"/>
  <c r="N85" i="6"/>
  <c r="O85" i="6" s="1"/>
  <c r="N126" i="6"/>
  <c r="O126" i="6" s="1"/>
  <c r="N93" i="6"/>
  <c r="O93" i="6" s="1"/>
  <c r="N167" i="6"/>
  <c r="O167" i="6" s="1"/>
  <c r="N28" i="6"/>
  <c r="O28" i="6" s="1"/>
  <c r="N305" i="6"/>
  <c r="O305" i="6" s="1"/>
  <c r="N298" i="6"/>
  <c r="O298" i="6" s="1"/>
  <c r="N188" i="6"/>
  <c r="O188" i="6" s="1"/>
  <c r="N288" i="6"/>
  <c r="O288" i="6" s="1"/>
  <c r="N257" i="6"/>
  <c r="O257" i="6" s="1"/>
  <c r="N319" i="6"/>
  <c r="O319" i="6" s="1"/>
  <c r="N174" i="6"/>
  <c r="O174" i="6" s="1"/>
  <c r="N159" i="6"/>
  <c r="O159" i="6" s="1"/>
  <c r="N152" i="6"/>
  <c r="O152" i="6" s="1"/>
  <c r="N50" i="6"/>
  <c r="O50" i="6" s="1"/>
  <c r="N48" i="6"/>
  <c r="O48" i="6" s="1"/>
  <c r="N113" i="6"/>
  <c r="O113" i="6" s="1"/>
  <c r="N262" i="6"/>
  <c r="O262" i="6" s="1"/>
  <c r="N347" i="6"/>
  <c r="O347" i="6" s="1"/>
  <c r="N41" i="6"/>
  <c r="O41" i="6" s="1"/>
  <c r="N363" i="6"/>
  <c r="O363" i="6" s="1"/>
  <c r="N285" i="6"/>
  <c r="O285" i="6" s="1"/>
  <c r="N178" i="6"/>
  <c r="O178" i="6" s="1"/>
  <c r="N261" i="6"/>
  <c r="O261" i="6" s="1"/>
  <c r="N187" i="6"/>
  <c r="O187" i="6" s="1"/>
  <c r="N120" i="6"/>
  <c r="O120" i="6" s="1"/>
  <c r="N340" i="6"/>
  <c r="O340" i="6" s="1"/>
  <c r="N191" i="6"/>
  <c r="O191" i="6" s="1"/>
  <c r="N71" i="6"/>
  <c r="O71" i="6" s="1"/>
  <c r="N353" i="6"/>
  <c r="O353" i="6" s="1"/>
  <c r="N259" i="6"/>
  <c r="O259" i="6" s="1"/>
  <c r="N138" i="6"/>
  <c r="O138" i="6" s="1"/>
  <c r="N35" i="6"/>
  <c r="O35" i="6" s="1"/>
  <c r="N101" i="6"/>
  <c r="O101" i="6" s="1"/>
  <c r="N114" i="6"/>
  <c r="O114" i="6" s="1"/>
  <c r="N208" i="6"/>
  <c r="O208" i="6" s="1"/>
  <c r="N380" i="6"/>
  <c r="O380" i="6" s="1"/>
  <c r="N81" i="6"/>
  <c r="O81" i="6" s="1"/>
  <c r="N105" i="6"/>
  <c r="O105" i="6" s="1"/>
  <c r="N206" i="6"/>
  <c r="O206" i="6" s="1"/>
  <c r="N150" i="6"/>
  <c r="O150" i="6" s="1"/>
  <c r="N141" i="6"/>
  <c r="O141" i="6" s="1"/>
  <c r="N332" i="6"/>
  <c r="O332" i="6" s="1"/>
  <c r="N122" i="6"/>
  <c r="O122" i="6" s="1"/>
  <c r="N32" i="6"/>
  <c r="O32" i="6" s="1"/>
  <c r="N95" i="6"/>
  <c r="O95" i="6" s="1"/>
  <c r="N96" i="6"/>
  <c r="O96" i="6" s="1"/>
  <c r="N107" i="6"/>
  <c r="O107" i="6" s="1"/>
  <c r="N74" i="6"/>
  <c r="O74" i="6" s="1"/>
  <c r="N168" i="6"/>
  <c r="O168" i="6" s="1"/>
  <c r="N241" i="6"/>
  <c r="O241" i="6" s="1"/>
  <c r="N173" i="6"/>
  <c r="O173" i="6" s="1"/>
  <c r="N6" i="6" l="1"/>
  <c r="O8" i="6"/>
  <c r="N8" i="6"/>
  <c r="C4" i="6" s="1"/>
</calcChain>
</file>

<file path=xl/sharedStrings.xml><?xml version="1.0" encoding="utf-8"?>
<sst xmlns="http://schemas.openxmlformats.org/spreadsheetml/2006/main" count="144" uniqueCount="107">
  <si>
    <t>BEGIN_DATA_FORMAT</t>
  </si>
  <si>
    <t>SAMPLE_ID</t>
  </si>
  <si>
    <t>END_DATA_FORMAT</t>
  </si>
  <si>
    <t>BEGIN_DATA</t>
  </si>
  <si>
    <t>END_DATA</t>
  </si>
  <si>
    <t>C</t>
  </si>
  <si>
    <t>M</t>
  </si>
  <si>
    <t>Y</t>
  </si>
  <si>
    <t>K</t>
  </si>
  <si>
    <t>Vertex#</t>
  </si>
  <si>
    <t>SampleID</t>
  </si>
  <si>
    <t>ISO 18621-11 Gamut Volume Computation Tool: List of Vertices</t>
  </si>
  <si>
    <t xml:space="preserve">This sheet defines a list of 193 vertices that are used for the triangular faces at the gamut boundary. </t>
  </si>
  <si>
    <t>ISO 18621-11 Gamut Volume Computation Tool: List of Faces</t>
  </si>
  <si>
    <t>For each face the 3 vertices are indicated by their index as defined on the 'Vertices' sheet.</t>
  </si>
  <si>
    <t>Face#</t>
  </si>
  <si>
    <t>Vertex_p1</t>
  </si>
  <si>
    <t>Vertex_p2</t>
  </si>
  <si>
    <t>Vertex_p3</t>
  </si>
  <si>
    <t>L*</t>
  </si>
  <si>
    <t>a*</t>
  </si>
  <si>
    <t>b*</t>
  </si>
  <si>
    <t>Sample Name:</t>
  </si>
  <si>
    <t>Gamut Volume:</t>
  </si>
  <si>
    <t>NegativeValuesCount:</t>
  </si>
  <si>
    <t>Vertex_p4:</t>
  </si>
  <si>
    <t>Vertex_p1 - Vertex_p4</t>
  </si>
  <si>
    <t>Vertex_p2 - Vertex_p4</t>
  </si>
  <si>
    <t>Vertex_p3 - Vertex_p4</t>
  </si>
  <si>
    <t>dL*</t>
  </si>
  <si>
    <t>da*</t>
  </si>
  <si>
    <t>db*</t>
  </si>
  <si>
    <t>Volume (tetrahedrons)</t>
  </si>
  <si>
    <t>ISO 18621-11 Gamut Volume Computation Tool: Volume Computation</t>
  </si>
  <si>
    <t>signed</t>
  </si>
  <si>
    <t>This sheet defines a list of 382 triangular faces that constitute a complete gamut enclosure.</t>
  </si>
  <si>
    <t>The CMYK values for each of the vertices is copied from the 'Vertices' sheet</t>
  </si>
  <si>
    <t>The CMYK tables match those in the spreadsheet at http://www.color.org/resources/gamut/gamut-analysis.xalter</t>
  </si>
  <si>
    <t>absolute</t>
  </si>
  <si>
    <t>Volume</t>
  </si>
  <si>
    <t>These vertices correspond to a sub-set from CMYK-defined patches in common characterization data sets.</t>
  </si>
  <si>
    <t>Check for correct assignment CMYK values</t>
  </si>
  <si>
    <t>error-count:</t>
  </si>
  <si>
    <t>INPUTcolumn:</t>
  </si>
  <si>
    <t>The CMYK values and CIELAB values below are extracted from indicated columns from the 'INPUT_CharData' sheet based on 'SampleID'.</t>
  </si>
  <si>
    <t>NB: It is required that the INPUT sheet has a column with 'SampleID' that matches the definition in ISO 12642-2 (or ECI2002) for CMYK patches</t>
  </si>
  <si>
    <t>ISO 18621-11 Gamut Volume Computation Tool</t>
  </si>
  <si>
    <t>This Excel workbook is provided by ISO TC130/JWG14 working group on Print Quality Measurement Methods</t>
  </si>
  <si>
    <t>to facilitate users of the ISO Technical Specification ISO TS 18621-11:201 on Colour Gamut Analysis</t>
  </si>
  <si>
    <t>The various sheets and their function is as follows:</t>
  </si>
  <si>
    <t>INPUTdata</t>
  </si>
  <si>
    <t xml:space="preserve">This sheet has example input data that can be replaced by your measurement data </t>
  </si>
  <si>
    <t>The datafile shall have columns with 'SampleID', 'LAB_L', 'LAB_A' and 'LAB_B'</t>
  </si>
  <si>
    <t>that matches the definition in ISO 12642-2 (ECI2002 will work as well)</t>
  </si>
  <si>
    <t>The datafile should have columns with 'CMYK_C', 'CMYK_M', 'CMYK_Y', 'CMYK_K',</t>
  </si>
  <si>
    <t xml:space="preserve">or data from any existing CMYK characterization data set available at the ICC website </t>
  </si>
  <si>
    <t>The 'SampleID' shall correpond to colour patches with CMYK input values</t>
  </si>
  <si>
    <t>Vertices</t>
  </si>
  <si>
    <t>These vertices correspond to a selected sub-set of colour patches present in the INPUTdata sheet.</t>
  </si>
  <si>
    <t>Faces</t>
  </si>
  <si>
    <t>Volumes</t>
  </si>
  <si>
    <t xml:space="preserve">for each tetrahedron specified by the faces in the 'Faces' sheet and </t>
  </si>
  <si>
    <t>a common centre point 'p4' taken as the average of 2 samples, paper-white</t>
  </si>
  <si>
    <t>and a very dark color patch (100, 100, 0, 100).</t>
  </si>
  <si>
    <t>This sheet shows in a traceable manner the computation of the 'signed' volume</t>
  </si>
  <si>
    <t xml:space="preserve">In case a negative volume is determined for a tetrahedron </t>
  </si>
  <si>
    <t>this is due to unexpected relative positions of the vertices.</t>
  </si>
  <si>
    <t xml:space="preserve">For the total volume computation this negative contribution is </t>
  </si>
  <si>
    <t xml:space="preserve">corrected by extra positive contributions from other tetrahedrons. </t>
  </si>
  <si>
    <t>Cell C4 provides the total gamut volume</t>
  </si>
  <si>
    <t>Cell B4 provides the sample name which is copied from the value</t>
  </si>
  <si>
    <t>for the 'DESCRIPTOR' of 'FILE_DESCRIPTOR' keyword on the 'INPUTdata' sheet.</t>
  </si>
  <si>
    <t>version:</t>
  </si>
  <si>
    <t>Usage:</t>
  </si>
  <si>
    <t xml:space="preserve">1. Double click this Excel template to open a copy of the program </t>
  </si>
  <si>
    <t>2. Open by Excel your datafile of interest, with data appropriately separated into columns</t>
  </si>
  <si>
    <t>3. Copy the complete sheet with your data and paste it on top of the 'INPUTdata' sheet</t>
  </si>
  <si>
    <t>4. Find the total volume of the gamut associated with the data on the 'Volumes' sheet</t>
  </si>
  <si>
    <t>ISO28178</t>
  </si>
  <si>
    <t>ORIGINATOR "ISO TC130"</t>
  </si>
  <si>
    <t>#</t>
  </si>
  <si>
    <t xml:space="preserve"> Characterized Reference Printing Condition 6</t>
  </si>
  <si>
    <t xml:space="preserve"> Universal Premium Coated</t>
  </si>
  <si>
    <t>CREATED "December</t>
  </si>
  <si>
    <t xml:space="preserve"> 2012"</t>
  </si>
  <si>
    <t>MEASUREMENT_GEOMETRY "ISO 13655 - Reflection</t>
  </si>
  <si>
    <t xml:space="preserve"> M1</t>
  </si>
  <si>
    <t xml:space="preserve"> white backing"</t>
  </si>
  <si>
    <t>FILTER "D50"</t>
  </si>
  <si>
    <t xml:space="preserve"> Reference White Point (LAB) = 95.00  1.00  -4.00</t>
  </si>
  <si>
    <t xml:space="preserve"> Reference Black Point (LAB) = 9.05  0.20  0.39</t>
  </si>
  <si>
    <t>NUMBER_OF_FIELDS 8</t>
  </si>
  <si>
    <t xml:space="preserve"> CMYK_C</t>
  </si>
  <si>
    <t xml:space="preserve"> CMYK_M</t>
  </si>
  <si>
    <t xml:space="preserve"> CMYK_Y</t>
  </si>
  <si>
    <t xml:space="preserve"> CMYK_K</t>
  </si>
  <si>
    <t xml:space="preserve"> LAB_L</t>
  </si>
  <si>
    <t xml:space="preserve"> LAB_A</t>
  </si>
  <si>
    <t xml:space="preserve"> LAB_B</t>
  </si>
  <si>
    <t>NUMBER_OF_SETS 1617</t>
  </si>
  <si>
    <t>FILE_DESCRIPTOR</t>
  </si>
  <si>
    <t>ISO15339-2-CRPC6</t>
  </si>
  <si>
    <t>to compute the volume of a printer colour gamut based on CIELABdata</t>
  </si>
  <si>
    <t>from common CMYK color characterization targets like ISO 12642-2, IT8.7/4, ECI2002</t>
  </si>
  <si>
    <t>The data for 'SampleID' shall be in 1st column (column A). This may be in random order.</t>
  </si>
  <si>
    <t>The data for 'LAB_L', 'LAB_A' and 'LAB_B' must bein any of the columns B thru L.</t>
  </si>
  <si>
    <t>if not  then the computation still works but without checking correct use of SampleID's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</si>
</sst>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7">
    <xf numFmtId="0" fontId="0" fillId="0" borderId="0" xfId="0"/>
    <xf numFmtId="0" fontId="18" fillId="0" borderId="0" xfId="0" applyFont="1"/>
    <xf numFmtId="0" fontId="19" fillId="0" borderId="0" xfId="0" applyFont="1" applyFill="1" applyBorder="1"/>
    <xf numFmtId="0" fontId="20" fillId="0" borderId="0" xfId="0" applyFont="1" applyFill="1" applyBorder="1"/>
    <xf numFmtId="0" fontId="16" fillId="0" borderId="0" xfId="0" applyFont="1" applyAlignment="1">
      <alignment horizontal="right"/>
    </xf>
    <xf numFmtId="0" fontId="16" fillId="0" borderId="0" xfId="0" applyFont="1"/>
    <xf numFmtId="0" fontId="16" fillId="0" borderId="13" xfId="0" applyFont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horizontal="right"/>
    </xf>
    <xf numFmtId="2" fontId="0" fillId="0" borderId="0" xfId="0" applyNumberFormat="1"/>
    <xf numFmtId="1" fontId="0" fillId="0" borderId="0" xfId="0" applyNumberFormat="1"/>
    <xf numFmtId="0" fontId="16" fillId="0" borderId="21" xfId="0" applyFont="1" applyBorder="1" applyAlignment="1">
      <alignment horizontal="right"/>
    </xf>
    <xf numFmtId="0" fontId="16" fillId="0" borderId="22" xfId="0" applyFont="1" applyBorder="1" applyAlignment="1">
      <alignment horizontal="right"/>
    </xf>
    <xf numFmtId="0" fontId="16" fillId="0" borderId="0" xfId="0" applyFont="1" applyAlignment="1">
      <alignment horizontal="left"/>
    </xf>
    <xf numFmtId="0" fontId="0" fillId="0" borderId="21" xfId="0" applyBorder="1"/>
    <xf numFmtId="2" fontId="0" fillId="0" borderId="0" xfId="0" applyNumberFormat="1" applyBorder="1"/>
    <xf numFmtId="2" fontId="0" fillId="0" borderId="22" xfId="0" applyNumberFormat="1" applyBorder="1"/>
    <xf numFmtId="0" fontId="0" fillId="0" borderId="23" xfId="0" applyBorder="1"/>
    <xf numFmtId="2" fontId="0" fillId="0" borderId="24" xfId="0" applyNumberFormat="1" applyBorder="1"/>
    <xf numFmtId="2" fontId="0" fillId="0" borderId="25" xfId="0" applyNumberFormat="1" applyBorder="1"/>
    <xf numFmtId="0" fontId="0" fillId="0" borderId="27" xfId="0" applyBorder="1"/>
    <xf numFmtId="0" fontId="0" fillId="0" borderId="28" xfId="0" applyBorder="1"/>
    <xf numFmtId="0" fontId="0" fillId="0" borderId="24" xfId="0" applyBorder="1"/>
    <xf numFmtId="0" fontId="16" fillId="0" borderId="26" xfId="0" applyFont="1" applyBorder="1"/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/>
    <xf numFmtId="0" fontId="21" fillId="0" borderId="0" xfId="0" applyFont="1"/>
    <xf numFmtId="0" fontId="22" fillId="0" borderId="0" xfId="0" applyFont="1" applyAlignment="1">
      <alignment horizontal="right"/>
    </xf>
    <xf numFmtId="0" fontId="22" fillId="0" borderId="0" xfId="0" applyFont="1"/>
    <xf numFmtId="1" fontId="22" fillId="0" borderId="0" xfId="0" applyNumberFormat="1" applyFont="1"/>
    <xf numFmtId="0" fontId="23" fillId="0" borderId="0" xfId="0" applyFont="1" applyFill="1" applyBorder="1"/>
    <xf numFmtId="14" fontId="0" fillId="0" borderId="0" xfId="0" applyNumberFormat="1"/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3" fillId="33" borderId="18" xfId="0" applyFont="1" applyFill="1" applyBorder="1" applyAlignment="1">
      <alignment horizontal="center" vertical="center"/>
    </xf>
    <xf numFmtId="0" fontId="13" fillId="33" borderId="19" xfId="0" applyFont="1" applyFill="1" applyBorder="1" applyAlignment="1">
      <alignment horizontal="center" vertical="center"/>
    </xf>
    <xf numFmtId="0" fontId="13" fillId="33" borderId="2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5"/>
  <sheetViews>
    <sheetView tabSelected="1" workbookViewId="0">
      <selection activeCell="A3" sqref="A3"/>
    </sheetView>
  </sheetViews>
  <sheetFormatPr defaultRowHeight="15" x14ac:dyDescent="0.25"/>
  <cols>
    <col min="2" max="2" width="10.42578125" bestFit="1" customWidth="1"/>
  </cols>
  <sheetData>
    <row r="1" spans="1:3" ht="21" x14ac:dyDescent="0.35">
      <c r="A1" s="2" t="s">
        <v>46</v>
      </c>
    </row>
    <row r="2" spans="1:3" ht="15" customHeight="1" x14ac:dyDescent="0.25">
      <c r="A2" s="39" t="s">
        <v>72</v>
      </c>
      <c r="B2" s="40">
        <v>43986</v>
      </c>
    </row>
    <row r="4" spans="1:3" x14ac:dyDescent="0.25">
      <c r="A4" s="5" t="s">
        <v>47</v>
      </c>
    </row>
    <row r="5" spans="1:3" x14ac:dyDescent="0.25">
      <c r="B5" t="s">
        <v>48</v>
      </c>
    </row>
    <row r="6" spans="1:3" x14ac:dyDescent="0.25">
      <c r="B6" t="s">
        <v>102</v>
      </c>
    </row>
    <row r="7" spans="1:3" x14ac:dyDescent="0.25">
      <c r="B7" t="s">
        <v>103</v>
      </c>
    </row>
    <row r="9" spans="1:3" x14ac:dyDescent="0.25">
      <c r="A9" s="5" t="s">
        <v>73</v>
      </c>
      <c r="B9" t="s">
        <v>74</v>
      </c>
    </row>
    <row r="10" spans="1:3" x14ac:dyDescent="0.25">
      <c r="B10" t="s">
        <v>75</v>
      </c>
    </row>
    <row r="11" spans="1:3" x14ac:dyDescent="0.25">
      <c r="B11" t="s">
        <v>76</v>
      </c>
    </row>
    <row r="12" spans="1:3" x14ac:dyDescent="0.25">
      <c r="B12" t="s">
        <v>77</v>
      </c>
    </row>
    <row r="14" spans="1:3" x14ac:dyDescent="0.25">
      <c r="A14" s="5" t="s">
        <v>49</v>
      </c>
    </row>
    <row r="15" spans="1:3" x14ac:dyDescent="0.25">
      <c r="B15" s="5" t="s">
        <v>50</v>
      </c>
      <c r="C15" t="s">
        <v>51</v>
      </c>
    </row>
    <row r="16" spans="1:3" x14ac:dyDescent="0.25">
      <c r="C16" t="s">
        <v>55</v>
      </c>
    </row>
    <row r="18" spans="2:3" x14ac:dyDescent="0.25">
      <c r="C18" t="s">
        <v>52</v>
      </c>
    </row>
    <row r="19" spans="2:3" x14ac:dyDescent="0.25">
      <c r="C19" t="s">
        <v>56</v>
      </c>
    </row>
    <row r="20" spans="2:3" x14ac:dyDescent="0.25">
      <c r="C20" t="s">
        <v>53</v>
      </c>
    </row>
    <row r="21" spans="2:3" x14ac:dyDescent="0.25">
      <c r="C21" t="s">
        <v>104</v>
      </c>
    </row>
    <row r="22" spans="2:3" x14ac:dyDescent="0.25">
      <c r="C22" t="s">
        <v>105</v>
      </c>
    </row>
    <row r="24" spans="2:3" x14ac:dyDescent="0.25">
      <c r="C24" t="s">
        <v>54</v>
      </c>
    </row>
    <row r="25" spans="2:3" x14ac:dyDescent="0.25">
      <c r="C25" t="s">
        <v>106</v>
      </c>
    </row>
    <row r="27" spans="2:3" x14ac:dyDescent="0.25">
      <c r="B27" s="5" t="s">
        <v>57</v>
      </c>
      <c r="C27" s="3" t="s">
        <v>12</v>
      </c>
    </row>
    <row r="28" spans="2:3" x14ac:dyDescent="0.25">
      <c r="C28" t="s">
        <v>58</v>
      </c>
    </row>
    <row r="30" spans="2:3" x14ac:dyDescent="0.25">
      <c r="B30" s="5" t="s">
        <v>59</v>
      </c>
      <c r="C30" s="3" t="s">
        <v>35</v>
      </c>
    </row>
    <row r="31" spans="2:3" x14ac:dyDescent="0.25">
      <c r="C31" t="s">
        <v>14</v>
      </c>
    </row>
    <row r="33" spans="2:3" x14ac:dyDescent="0.25">
      <c r="B33" s="5" t="s">
        <v>60</v>
      </c>
      <c r="C33" t="s">
        <v>64</v>
      </c>
    </row>
    <row r="34" spans="2:3" x14ac:dyDescent="0.25">
      <c r="C34" t="s">
        <v>61</v>
      </c>
    </row>
    <row r="35" spans="2:3" x14ac:dyDescent="0.25">
      <c r="C35" t="s">
        <v>62</v>
      </c>
    </row>
    <row r="36" spans="2:3" x14ac:dyDescent="0.25">
      <c r="C36" t="s">
        <v>63</v>
      </c>
    </row>
    <row r="38" spans="2:3" x14ac:dyDescent="0.25">
      <c r="C38" t="s">
        <v>65</v>
      </c>
    </row>
    <row r="39" spans="2:3" x14ac:dyDescent="0.25">
      <c r="C39" t="s">
        <v>66</v>
      </c>
    </row>
    <row r="40" spans="2:3" x14ac:dyDescent="0.25">
      <c r="C40" t="s">
        <v>67</v>
      </c>
    </row>
    <row r="41" spans="2:3" x14ac:dyDescent="0.25">
      <c r="C41" t="s">
        <v>68</v>
      </c>
    </row>
    <row r="43" spans="2:3" x14ac:dyDescent="0.25">
      <c r="C43" t="s">
        <v>69</v>
      </c>
    </row>
    <row r="44" spans="2:3" x14ac:dyDescent="0.25">
      <c r="C44" t="s">
        <v>70</v>
      </c>
    </row>
    <row r="45" spans="2:3" x14ac:dyDescent="0.25">
      <c r="C45" t="s">
        <v>71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3"/>
  <sheetViews>
    <sheetView workbookViewId="0"/>
  </sheetViews>
  <sheetFormatPr defaultRowHeight="15" x14ac:dyDescent="0.25"/>
  <sheetData>
    <row r="1" spans="1:8" x14ac:dyDescent="0.25">
      <c r="A1" t="s">
        <v>78</v>
      </c>
    </row>
    <row r="2" spans="1:8" x14ac:dyDescent="0.25">
      <c r="A2" t="s">
        <v>79</v>
      </c>
    </row>
    <row r="3" spans="1:8" x14ac:dyDescent="0.25">
      <c r="A3" t="s">
        <v>100</v>
      </c>
      <c r="B3" t="s">
        <v>101</v>
      </c>
    </row>
    <row r="4" spans="1:8" x14ac:dyDescent="0.25">
      <c r="A4" t="s">
        <v>80</v>
      </c>
      <c r="B4" t="s">
        <v>81</v>
      </c>
      <c r="C4" t="s">
        <v>82</v>
      </c>
    </row>
    <row r="5" spans="1:8" x14ac:dyDescent="0.25">
      <c r="A5" t="s">
        <v>83</v>
      </c>
      <c r="B5" t="s">
        <v>84</v>
      </c>
    </row>
    <row r="6" spans="1:8" x14ac:dyDescent="0.25">
      <c r="A6" t="s">
        <v>85</v>
      </c>
      <c r="B6" t="s">
        <v>86</v>
      </c>
      <c r="C6" t="s">
        <v>87</v>
      </c>
    </row>
    <row r="7" spans="1:8" x14ac:dyDescent="0.25">
      <c r="A7" t="s">
        <v>88</v>
      </c>
    </row>
    <row r="8" spans="1:8" x14ac:dyDescent="0.25">
      <c r="A8" t="s">
        <v>80</v>
      </c>
      <c r="B8" t="s">
        <v>89</v>
      </c>
    </row>
    <row r="9" spans="1:8" x14ac:dyDescent="0.25">
      <c r="A9" t="s">
        <v>80</v>
      </c>
      <c r="B9" t="s">
        <v>90</v>
      </c>
    </row>
    <row r="10" spans="1:8" x14ac:dyDescent="0.25">
      <c r="A10" t="s">
        <v>91</v>
      </c>
    </row>
    <row r="11" spans="1:8" x14ac:dyDescent="0.25">
      <c r="A11" t="s">
        <v>0</v>
      </c>
    </row>
    <row r="12" spans="1:8" x14ac:dyDescent="0.25">
      <c r="A12" t="s">
        <v>1</v>
      </c>
      <c r="B12" t="s">
        <v>92</v>
      </c>
      <c r="C12" t="s">
        <v>93</v>
      </c>
      <c r="D12" t="s">
        <v>94</v>
      </c>
      <c r="E12" t="s">
        <v>95</v>
      </c>
      <c r="F12" t="s">
        <v>96</v>
      </c>
      <c r="G12" t="s">
        <v>97</v>
      </c>
      <c r="H12" t="s">
        <v>98</v>
      </c>
    </row>
    <row r="13" spans="1:8" x14ac:dyDescent="0.25">
      <c r="A13" t="s">
        <v>2</v>
      </c>
    </row>
    <row r="14" spans="1:8" x14ac:dyDescent="0.25">
      <c r="A14" t="s">
        <v>99</v>
      </c>
    </row>
    <row r="15" spans="1:8" x14ac:dyDescent="0.25">
      <c r="A15" t="s">
        <v>3</v>
      </c>
    </row>
    <row r="16" spans="1:8" x14ac:dyDescent="0.25">
      <c r="A16">
        <v>1</v>
      </c>
      <c r="B16">
        <v>0</v>
      </c>
      <c r="C16">
        <v>0</v>
      </c>
      <c r="D16">
        <v>0</v>
      </c>
      <c r="E16">
        <v>0</v>
      </c>
      <c r="F16">
        <v>95</v>
      </c>
      <c r="G16">
        <v>1</v>
      </c>
      <c r="H16">
        <v>-4</v>
      </c>
    </row>
    <row r="17" spans="1:8" x14ac:dyDescent="0.25">
      <c r="A17">
        <v>2</v>
      </c>
      <c r="B17">
        <v>0</v>
      </c>
      <c r="C17">
        <v>10</v>
      </c>
      <c r="D17">
        <v>0</v>
      </c>
      <c r="E17">
        <v>0</v>
      </c>
      <c r="F17">
        <v>89.89</v>
      </c>
      <c r="G17">
        <v>7.72</v>
      </c>
      <c r="H17">
        <v>-5.04</v>
      </c>
    </row>
    <row r="18" spans="1:8" x14ac:dyDescent="0.25">
      <c r="A18">
        <v>3</v>
      </c>
      <c r="B18">
        <v>0</v>
      </c>
      <c r="C18">
        <v>20</v>
      </c>
      <c r="D18">
        <v>0</v>
      </c>
      <c r="E18">
        <v>0</v>
      </c>
      <c r="F18">
        <v>85.05</v>
      </c>
      <c r="G18">
        <v>14.22</v>
      </c>
      <c r="H18">
        <v>-5.96</v>
      </c>
    </row>
    <row r="19" spans="1:8" x14ac:dyDescent="0.25">
      <c r="A19">
        <v>4</v>
      </c>
      <c r="B19">
        <v>0</v>
      </c>
      <c r="C19">
        <v>30</v>
      </c>
      <c r="D19">
        <v>0</v>
      </c>
      <c r="E19">
        <v>0</v>
      </c>
      <c r="F19">
        <v>80.06</v>
      </c>
      <c r="G19">
        <v>21.14</v>
      </c>
      <c r="H19">
        <v>-6.71</v>
      </c>
    </row>
    <row r="20" spans="1:8" x14ac:dyDescent="0.25">
      <c r="A20">
        <v>5</v>
      </c>
      <c r="B20">
        <v>0</v>
      </c>
      <c r="C20">
        <v>40</v>
      </c>
      <c r="D20">
        <v>0</v>
      </c>
      <c r="E20">
        <v>0</v>
      </c>
      <c r="F20">
        <v>75.09</v>
      </c>
      <c r="G20">
        <v>28.3</v>
      </c>
      <c r="H20">
        <v>-7.25</v>
      </c>
    </row>
    <row r="21" spans="1:8" x14ac:dyDescent="0.25">
      <c r="A21">
        <v>6</v>
      </c>
      <c r="B21">
        <v>0</v>
      </c>
      <c r="C21">
        <v>55</v>
      </c>
      <c r="D21">
        <v>0</v>
      </c>
      <c r="E21">
        <v>0</v>
      </c>
      <c r="F21">
        <v>67.5</v>
      </c>
      <c r="G21">
        <v>40.049999999999997</v>
      </c>
      <c r="H21">
        <v>-7.48</v>
      </c>
    </row>
    <row r="22" spans="1:8" x14ac:dyDescent="0.25">
      <c r="A22">
        <v>7</v>
      </c>
      <c r="B22">
        <v>0</v>
      </c>
      <c r="C22">
        <v>70</v>
      </c>
      <c r="D22">
        <v>0</v>
      </c>
      <c r="E22">
        <v>0</v>
      </c>
      <c r="F22">
        <v>59.97</v>
      </c>
      <c r="G22">
        <v>52.78</v>
      </c>
      <c r="H22">
        <v>-6.79</v>
      </c>
    </row>
    <row r="23" spans="1:8" x14ac:dyDescent="0.25">
      <c r="A23">
        <v>8</v>
      </c>
      <c r="B23">
        <v>0</v>
      </c>
      <c r="C23">
        <v>85</v>
      </c>
      <c r="D23">
        <v>0</v>
      </c>
      <c r="E23">
        <v>0</v>
      </c>
      <c r="F23">
        <v>52.96</v>
      </c>
      <c r="G23">
        <v>65.55</v>
      </c>
      <c r="H23">
        <v>-5.37</v>
      </c>
    </row>
    <row r="24" spans="1:8" x14ac:dyDescent="0.25">
      <c r="A24">
        <v>9</v>
      </c>
      <c r="B24">
        <v>0</v>
      </c>
      <c r="C24">
        <v>100</v>
      </c>
      <c r="D24">
        <v>0</v>
      </c>
      <c r="E24">
        <v>0</v>
      </c>
      <c r="F24">
        <v>48</v>
      </c>
      <c r="G24">
        <v>75</v>
      </c>
      <c r="H24">
        <v>-4</v>
      </c>
    </row>
    <row r="25" spans="1:8" x14ac:dyDescent="0.25">
      <c r="A25">
        <v>10</v>
      </c>
      <c r="B25">
        <v>10</v>
      </c>
      <c r="C25">
        <v>0</v>
      </c>
      <c r="D25">
        <v>0</v>
      </c>
      <c r="E25">
        <v>0</v>
      </c>
      <c r="F25">
        <v>90.99</v>
      </c>
      <c r="G25">
        <v>-2.33</v>
      </c>
      <c r="H25">
        <v>-8.84</v>
      </c>
    </row>
    <row r="26" spans="1:8" x14ac:dyDescent="0.25">
      <c r="A26">
        <v>11</v>
      </c>
      <c r="B26">
        <v>10</v>
      </c>
      <c r="C26">
        <v>10</v>
      </c>
      <c r="D26">
        <v>0</v>
      </c>
      <c r="E26">
        <v>0</v>
      </c>
      <c r="F26">
        <v>86.16</v>
      </c>
      <c r="G26">
        <v>4.1500000000000004</v>
      </c>
      <c r="H26">
        <v>-9.6999999999999993</v>
      </c>
    </row>
    <row r="27" spans="1:8" x14ac:dyDescent="0.25">
      <c r="A27">
        <v>12</v>
      </c>
      <c r="B27">
        <v>10</v>
      </c>
      <c r="C27">
        <v>20</v>
      </c>
      <c r="D27">
        <v>0</v>
      </c>
      <c r="E27">
        <v>0</v>
      </c>
      <c r="F27">
        <v>81.510000000000005</v>
      </c>
      <c r="G27">
        <v>10.45</v>
      </c>
      <c r="H27">
        <v>-10.46</v>
      </c>
    </row>
    <row r="28" spans="1:8" x14ac:dyDescent="0.25">
      <c r="A28">
        <v>13</v>
      </c>
      <c r="B28">
        <v>10</v>
      </c>
      <c r="C28">
        <v>30</v>
      </c>
      <c r="D28">
        <v>0</v>
      </c>
      <c r="E28">
        <v>0</v>
      </c>
      <c r="F28">
        <v>76.73</v>
      </c>
      <c r="G28">
        <v>17.16</v>
      </c>
      <c r="H28">
        <v>-11.11</v>
      </c>
    </row>
    <row r="29" spans="1:8" x14ac:dyDescent="0.25">
      <c r="A29">
        <v>14</v>
      </c>
      <c r="B29">
        <v>10</v>
      </c>
      <c r="C29">
        <v>40</v>
      </c>
      <c r="D29">
        <v>0</v>
      </c>
      <c r="E29">
        <v>0</v>
      </c>
      <c r="F29">
        <v>71.930000000000007</v>
      </c>
      <c r="G29">
        <v>24.14</v>
      </c>
      <c r="H29">
        <v>-11.59</v>
      </c>
    </row>
    <row r="30" spans="1:8" x14ac:dyDescent="0.25">
      <c r="A30">
        <v>15</v>
      </c>
      <c r="B30">
        <v>10</v>
      </c>
      <c r="C30">
        <v>55</v>
      </c>
      <c r="D30">
        <v>0</v>
      </c>
      <c r="E30">
        <v>0</v>
      </c>
      <c r="F30">
        <v>64.650000000000006</v>
      </c>
      <c r="G30">
        <v>35.5</v>
      </c>
      <c r="H30">
        <v>-11.71</v>
      </c>
    </row>
    <row r="31" spans="1:8" x14ac:dyDescent="0.25">
      <c r="A31">
        <v>16</v>
      </c>
      <c r="B31">
        <v>10</v>
      </c>
      <c r="C31">
        <v>70</v>
      </c>
      <c r="D31">
        <v>0</v>
      </c>
      <c r="E31">
        <v>0</v>
      </c>
      <c r="F31">
        <v>57.4</v>
      </c>
      <c r="G31">
        <v>47.81</v>
      </c>
      <c r="H31">
        <v>-11.05</v>
      </c>
    </row>
    <row r="32" spans="1:8" x14ac:dyDescent="0.25">
      <c r="A32">
        <v>17</v>
      </c>
      <c r="B32">
        <v>10</v>
      </c>
      <c r="C32">
        <v>85</v>
      </c>
      <c r="D32">
        <v>0</v>
      </c>
      <c r="E32">
        <v>0</v>
      </c>
      <c r="F32">
        <v>50.62</v>
      </c>
      <c r="G32">
        <v>60.22</v>
      </c>
      <c r="H32">
        <v>-9.77</v>
      </c>
    </row>
    <row r="33" spans="1:8" x14ac:dyDescent="0.25">
      <c r="A33">
        <v>18</v>
      </c>
      <c r="B33">
        <v>10</v>
      </c>
      <c r="C33">
        <v>100</v>
      </c>
      <c r="D33">
        <v>0</v>
      </c>
      <c r="E33">
        <v>0</v>
      </c>
      <c r="F33">
        <v>45.82</v>
      </c>
      <c r="G33">
        <v>69.39</v>
      </c>
      <c r="H33">
        <v>-8.6300000000000008</v>
      </c>
    </row>
    <row r="34" spans="1:8" x14ac:dyDescent="0.25">
      <c r="A34">
        <v>19</v>
      </c>
      <c r="B34">
        <v>20</v>
      </c>
      <c r="C34">
        <v>0</v>
      </c>
      <c r="D34">
        <v>0</v>
      </c>
      <c r="E34">
        <v>0</v>
      </c>
      <c r="F34">
        <v>87.09</v>
      </c>
      <c r="G34">
        <v>-5.66</v>
      </c>
      <c r="H34">
        <v>-13.59</v>
      </c>
    </row>
    <row r="35" spans="1:8" x14ac:dyDescent="0.25">
      <c r="A35">
        <v>20</v>
      </c>
      <c r="B35">
        <v>20</v>
      </c>
      <c r="C35">
        <v>10</v>
      </c>
      <c r="D35">
        <v>0</v>
      </c>
      <c r="E35">
        <v>0</v>
      </c>
      <c r="F35">
        <v>82.45</v>
      </c>
      <c r="G35">
        <v>0.61</v>
      </c>
      <c r="H35">
        <v>-14.26</v>
      </c>
    </row>
    <row r="36" spans="1:8" x14ac:dyDescent="0.25">
      <c r="A36">
        <v>21</v>
      </c>
      <c r="B36">
        <v>20</v>
      </c>
      <c r="C36">
        <v>20</v>
      </c>
      <c r="D36">
        <v>0</v>
      </c>
      <c r="E36">
        <v>0</v>
      </c>
      <c r="F36">
        <v>78.03</v>
      </c>
      <c r="G36">
        <v>6.71</v>
      </c>
      <c r="H36">
        <v>-14.88</v>
      </c>
    </row>
    <row r="37" spans="1:8" x14ac:dyDescent="0.25">
      <c r="A37">
        <v>22</v>
      </c>
      <c r="B37">
        <v>20</v>
      </c>
      <c r="C37">
        <v>30</v>
      </c>
      <c r="D37">
        <v>0</v>
      </c>
      <c r="E37">
        <v>0</v>
      </c>
      <c r="F37">
        <v>73.45</v>
      </c>
      <c r="G37">
        <v>13.21</v>
      </c>
      <c r="H37">
        <v>-15.39</v>
      </c>
    </row>
    <row r="38" spans="1:8" x14ac:dyDescent="0.25">
      <c r="A38">
        <v>23</v>
      </c>
      <c r="B38">
        <v>20</v>
      </c>
      <c r="C38">
        <v>40</v>
      </c>
      <c r="D38">
        <v>0</v>
      </c>
      <c r="E38">
        <v>0</v>
      </c>
      <c r="F38">
        <v>68.849999999999994</v>
      </c>
      <c r="G38">
        <v>20.07</v>
      </c>
      <c r="H38">
        <v>-15.71</v>
      </c>
    </row>
    <row r="39" spans="1:8" x14ac:dyDescent="0.25">
      <c r="A39">
        <v>24</v>
      </c>
      <c r="B39">
        <v>20</v>
      </c>
      <c r="C39">
        <v>55</v>
      </c>
      <c r="D39">
        <v>0</v>
      </c>
      <c r="E39">
        <v>0</v>
      </c>
      <c r="F39">
        <v>61.85</v>
      </c>
      <c r="G39">
        <v>31.01</v>
      </c>
      <c r="H39">
        <v>-15.82</v>
      </c>
    </row>
    <row r="40" spans="1:8" x14ac:dyDescent="0.25">
      <c r="A40">
        <v>25</v>
      </c>
      <c r="B40">
        <v>20</v>
      </c>
      <c r="C40">
        <v>70</v>
      </c>
      <c r="D40">
        <v>0</v>
      </c>
      <c r="E40">
        <v>0</v>
      </c>
      <c r="F40">
        <v>54.86</v>
      </c>
      <c r="G40">
        <v>42.94</v>
      </c>
      <c r="H40">
        <v>-15.19</v>
      </c>
    </row>
    <row r="41" spans="1:8" x14ac:dyDescent="0.25">
      <c r="A41">
        <v>26</v>
      </c>
      <c r="B41">
        <v>20</v>
      </c>
      <c r="C41">
        <v>85</v>
      </c>
      <c r="D41">
        <v>0</v>
      </c>
      <c r="E41">
        <v>0</v>
      </c>
      <c r="F41">
        <v>48.28</v>
      </c>
      <c r="G41">
        <v>55</v>
      </c>
      <c r="H41">
        <v>-14.07</v>
      </c>
    </row>
    <row r="42" spans="1:8" x14ac:dyDescent="0.25">
      <c r="A42">
        <v>27</v>
      </c>
      <c r="B42">
        <v>20</v>
      </c>
      <c r="C42">
        <v>100</v>
      </c>
      <c r="D42">
        <v>0</v>
      </c>
      <c r="E42">
        <v>0</v>
      </c>
      <c r="F42">
        <v>43.6</v>
      </c>
      <c r="G42">
        <v>63.95</v>
      </c>
      <c r="H42">
        <v>-13.07</v>
      </c>
    </row>
    <row r="43" spans="1:8" x14ac:dyDescent="0.25">
      <c r="A43">
        <v>28</v>
      </c>
      <c r="B43">
        <v>30</v>
      </c>
      <c r="C43">
        <v>0</v>
      </c>
      <c r="D43">
        <v>0</v>
      </c>
      <c r="E43">
        <v>0</v>
      </c>
      <c r="F43">
        <v>83.14</v>
      </c>
      <c r="G43">
        <v>-9.14</v>
      </c>
      <c r="H43">
        <v>-18.38</v>
      </c>
    </row>
    <row r="44" spans="1:8" x14ac:dyDescent="0.25">
      <c r="A44">
        <v>29</v>
      </c>
      <c r="B44">
        <v>30</v>
      </c>
      <c r="C44">
        <v>10</v>
      </c>
      <c r="D44">
        <v>0</v>
      </c>
      <c r="E44">
        <v>0</v>
      </c>
      <c r="F44">
        <v>78.72</v>
      </c>
      <c r="G44">
        <v>-3.09</v>
      </c>
      <c r="H44">
        <v>-18.84</v>
      </c>
    </row>
    <row r="45" spans="1:8" x14ac:dyDescent="0.25">
      <c r="A45">
        <v>30</v>
      </c>
      <c r="B45">
        <v>30</v>
      </c>
      <c r="C45">
        <v>20</v>
      </c>
      <c r="D45">
        <v>0</v>
      </c>
      <c r="E45">
        <v>0</v>
      </c>
      <c r="F45">
        <v>74.5</v>
      </c>
      <c r="G45">
        <v>2.83</v>
      </c>
      <c r="H45">
        <v>-19.329999999999998</v>
      </c>
    </row>
    <row r="46" spans="1:8" x14ac:dyDescent="0.25">
      <c r="A46">
        <v>31</v>
      </c>
      <c r="B46">
        <v>30</v>
      </c>
      <c r="C46">
        <v>30</v>
      </c>
      <c r="D46">
        <v>0</v>
      </c>
      <c r="E46">
        <v>0</v>
      </c>
      <c r="F46">
        <v>70.14</v>
      </c>
      <c r="G46">
        <v>9.1300000000000008</v>
      </c>
      <c r="H46">
        <v>-19.7</v>
      </c>
    </row>
    <row r="47" spans="1:8" x14ac:dyDescent="0.25">
      <c r="A47">
        <v>32</v>
      </c>
      <c r="B47">
        <v>30</v>
      </c>
      <c r="C47">
        <v>40</v>
      </c>
      <c r="D47">
        <v>0</v>
      </c>
      <c r="E47">
        <v>0</v>
      </c>
      <c r="F47">
        <v>65.739999999999995</v>
      </c>
      <c r="G47">
        <v>15.77</v>
      </c>
      <c r="H47">
        <v>-19.920000000000002</v>
      </c>
    </row>
    <row r="48" spans="1:8" x14ac:dyDescent="0.25">
      <c r="A48">
        <v>33</v>
      </c>
      <c r="B48">
        <v>30</v>
      </c>
      <c r="C48">
        <v>55</v>
      </c>
      <c r="D48">
        <v>0</v>
      </c>
      <c r="E48">
        <v>0</v>
      </c>
      <c r="F48">
        <v>59.01</v>
      </c>
      <c r="G48">
        <v>26.41</v>
      </c>
      <c r="H48">
        <v>-19.95</v>
      </c>
    </row>
    <row r="49" spans="1:8" x14ac:dyDescent="0.25">
      <c r="A49">
        <v>34</v>
      </c>
      <c r="B49">
        <v>30</v>
      </c>
      <c r="C49">
        <v>70</v>
      </c>
      <c r="D49">
        <v>0</v>
      </c>
      <c r="E49">
        <v>0</v>
      </c>
      <c r="F49">
        <v>52.28</v>
      </c>
      <c r="G49">
        <v>37.97</v>
      </c>
      <c r="H49">
        <v>-19.36</v>
      </c>
    </row>
    <row r="50" spans="1:8" x14ac:dyDescent="0.25">
      <c r="A50">
        <v>35</v>
      </c>
      <c r="B50">
        <v>30</v>
      </c>
      <c r="C50">
        <v>85</v>
      </c>
      <c r="D50">
        <v>0</v>
      </c>
      <c r="E50">
        <v>0</v>
      </c>
      <c r="F50">
        <v>45.9</v>
      </c>
      <c r="G50">
        <v>49.72</v>
      </c>
      <c r="H50">
        <v>-18.34</v>
      </c>
    </row>
    <row r="51" spans="1:8" x14ac:dyDescent="0.25">
      <c r="A51">
        <v>36</v>
      </c>
      <c r="B51">
        <v>30</v>
      </c>
      <c r="C51">
        <v>100</v>
      </c>
      <c r="D51">
        <v>0</v>
      </c>
      <c r="E51">
        <v>0</v>
      </c>
      <c r="F51">
        <v>41.34</v>
      </c>
      <c r="G51">
        <v>58.43</v>
      </c>
      <c r="H51">
        <v>-17.5</v>
      </c>
    </row>
    <row r="52" spans="1:8" x14ac:dyDescent="0.25">
      <c r="A52">
        <v>37</v>
      </c>
      <c r="B52">
        <v>40</v>
      </c>
      <c r="C52">
        <v>0</v>
      </c>
      <c r="D52">
        <v>0</v>
      </c>
      <c r="E52">
        <v>0</v>
      </c>
      <c r="F52">
        <v>79.150000000000006</v>
      </c>
      <c r="G52">
        <v>-12.76</v>
      </c>
      <c r="H52">
        <v>-23.17</v>
      </c>
    </row>
    <row r="53" spans="1:8" x14ac:dyDescent="0.25">
      <c r="A53">
        <v>38</v>
      </c>
      <c r="B53">
        <v>40</v>
      </c>
      <c r="C53">
        <v>10</v>
      </c>
      <c r="D53">
        <v>0</v>
      </c>
      <c r="E53">
        <v>0</v>
      </c>
      <c r="F53">
        <v>74.930000000000007</v>
      </c>
      <c r="G53">
        <v>-6.85</v>
      </c>
      <c r="H53">
        <v>-23.48</v>
      </c>
    </row>
    <row r="54" spans="1:8" x14ac:dyDescent="0.25">
      <c r="A54">
        <v>39</v>
      </c>
      <c r="B54">
        <v>40</v>
      </c>
      <c r="C54">
        <v>20</v>
      </c>
      <c r="D54">
        <v>0</v>
      </c>
      <c r="E54">
        <v>0</v>
      </c>
      <c r="F54">
        <v>70.91</v>
      </c>
      <c r="G54">
        <v>-1.1399999999999999</v>
      </c>
      <c r="H54">
        <v>-23.78</v>
      </c>
    </row>
    <row r="55" spans="1:8" x14ac:dyDescent="0.25">
      <c r="A55">
        <v>40</v>
      </c>
      <c r="B55">
        <v>40</v>
      </c>
      <c r="C55">
        <v>30</v>
      </c>
      <c r="D55">
        <v>0</v>
      </c>
      <c r="E55">
        <v>0</v>
      </c>
      <c r="F55">
        <v>66.760000000000005</v>
      </c>
      <c r="G55">
        <v>4.97</v>
      </c>
      <c r="H55">
        <v>-24</v>
      </c>
    </row>
    <row r="56" spans="1:8" x14ac:dyDescent="0.25">
      <c r="A56">
        <v>41</v>
      </c>
      <c r="B56">
        <v>40</v>
      </c>
      <c r="C56">
        <v>40</v>
      </c>
      <c r="D56">
        <v>0</v>
      </c>
      <c r="E56">
        <v>0</v>
      </c>
      <c r="F56">
        <v>62.61</v>
      </c>
      <c r="G56">
        <v>11.35</v>
      </c>
      <c r="H56">
        <v>-24.11</v>
      </c>
    </row>
    <row r="57" spans="1:8" x14ac:dyDescent="0.25">
      <c r="A57">
        <v>42</v>
      </c>
      <c r="B57">
        <v>40</v>
      </c>
      <c r="C57">
        <v>55</v>
      </c>
      <c r="D57">
        <v>0</v>
      </c>
      <c r="E57">
        <v>0</v>
      </c>
      <c r="F57">
        <v>56.14</v>
      </c>
      <c r="G57">
        <v>21.68</v>
      </c>
      <c r="H57">
        <v>-24.04</v>
      </c>
    </row>
    <row r="58" spans="1:8" x14ac:dyDescent="0.25">
      <c r="A58">
        <v>43</v>
      </c>
      <c r="B58">
        <v>40</v>
      </c>
      <c r="C58">
        <v>70</v>
      </c>
      <c r="D58">
        <v>0</v>
      </c>
      <c r="E58">
        <v>0</v>
      </c>
      <c r="F58">
        <v>49.66</v>
      </c>
      <c r="G58">
        <v>32.93</v>
      </c>
      <c r="H58">
        <v>-23.47</v>
      </c>
    </row>
    <row r="59" spans="1:8" x14ac:dyDescent="0.25">
      <c r="A59">
        <v>44</v>
      </c>
      <c r="B59">
        <v>40</v>
      </c>
      <c r="C59">
        <v>85</v>
      </c>
      <c r="D59">
        <v>0</v>
      </c>
      <c r="E59">
        <v>0</v>
      </c>
      <c r="F59">
        <v>43.48</v>
      </c>
      <c r="G59">
        <v>44.33</v>
      </c>
      <c r="H59">
        <v>-22.6</v>
      </c>
    </row>
    <row r="60" spans="1:8" x14ac:dyDescent="0.25">
      <c r="A60">
        <v>45</v>
      </c>
      <c r="B60">
        <v>40</v>
      </c>
      <c r="C60">
        <v>100</v>
      </c>
      <c r="D60">
        <v>0</v>
      </c>
      <c r="E60">
        <v>0</v>
      </c>
      <c r="F60">
        <v>39.03</v>
      </c>
      <c r="G60">
        <v>52.81</v>
      </c>
      <c r="H60">
        <v>-21.85</v>
      </c>
    </row>
    <row r="61" spans="1:8" x14ac:dyDescent="0.25">
      <c r="A61">
        <v>46</v>
      </c>
      <c r="B61">
        <v>55</v>
      </c>
      <c r="C61">
        <v>0</v>
      </c>
      <c r="D61">
        <v>0</v>
      </c>
      <c r="E61">
        <v>0</v>
      </c>
      <c r="F61">
        <v>73.06</v>
      </c>
      <c r="G61">
        <v>-18.68</v>
      </c>
      <c r="H61">
        <v>-30.35</v>
      </c>
    </row>
    <row r="62" spans="1:8" x14ac:dyDescent="0.25">
      <c r="A62">
        <v>47</v>
      </c>
      <c r="B62">
        <v>55</v>
      </c>
      <c r="C62">
        <v>10</v>
      </c>
      <c r="D62">
        <v>0</v>
      </c>
      <c r="E62">
        <v>0</v>
      </c>
      <c r="F62">
        <v>69.180000000000007</v>
      </c>
      <c r="G62">
        <v>-12.98</v>
      </c>
      <c r="H62">
        <v>-30.38</v>
      </c>
    </row>
    <row r="63" spans="1:8" x14ac:dyDescent="0.25">
      <c r="A63">
        <v>48</v>
      </c>
      <c r="B63">
        <v>55</v>
      </c>
      <c r="C63">
        <v>20</v>
      </c>
      <c r="D63">
        <v>0</v>
      </c>
      <c r="E63">
        <v>0</v>
      </c>
      <c r="F63">
        <v>65.47</v>
      </c>
      <c r="G63">
        <v>-7.49</v>
      </c>
      <c r="H63">
        <v>-30.47</v>
      </c>
    </row>
    <row r="64" spans="1:8" x14ac:dyDescent="0.25">
      <c r="A64">
        <v>49</v>
      </c>
      <c r="B64">
        <v>55</v>
      </c>
      <c r="C64">
        <v>30</v>
      </c>
      <c r="D64">
        <v>0</v>
      </c>
      <c r="E64">
        <v>0</v>
      </c>
      <c r="F64">
        <v>61.64</v>
      </c>
      <c r="G64">
        <v>-1.63</v>
      </c>
      <c r="H64">
        <v>-30.49</v>
      </c>
    </row>
    <row r="65" spans="1:8" x14ac:dyDescent="0.25">
      <c r="A65">
        <v>50</v>
      </c>
      <c r="B65">
        <v>55</v>
      </c>
      <c r="C65">
        <v>40</v>
      </c>
      <c r="D65">
        <v>0</v>
      </c>
      <c r="E65">
        <v>0</v>
      </c>
      <c r="F65">
        <v>57.76</v>
      </c>
      <c r="G65">
        <v>4.51</v>
      </c>
      <c r="H65">
        <v>-30.42</v>
      </c>
    </row>
    <row r="66" spans="1:8" x14ac:dyDescent="0.25">
      <c r="A66">
        <v>51</v>
      </c>
      <c r="B66">
        <v>55</v>
      </c>
      <c r="C66">
        <v>55</v>
      </c>
      <c r="D66">
        <v>0</v>
      </c>
      <c r="E66">
        <v>0</v>
      </c>
      <c r="F66">
        <v>51.76</v>
      </c>
      <c r="G66">
        <v>14.32</v>
      </c>
      <c r="H66">
        <v>-30.28</v>
      </c>
    </row>
    <row r="67" spans="1:8" x14ac:dyDescent="0.25">
      <c r="A67">
        <v>52</v>
      </c>
      <c r="B67">
        <v>55</v>
      </c>
      <c r="C67">
        <v>70</v>
      </c>
      <c r="D67">
        <v>0</v>
      </c>
      <c r="E67">
        <v>0</v>
      </c>
      <c r="F67">
        <v>45.64</v>
      </c>
      <c r="G67">
        <v>25.09</v>
      </c>
      <c r="H67">
        <v>-29.68</v>
      </c>
    </row>
    <row r="68" spans="1:8" x14ac:dyDescent="0.25">
      <c r="A68">
        <v>53</v>
      </c>
      <c r="B68">
        <v>55</v>
      </c>
      <c r="C68">
        <v>85</v>
      </c>
      <c r="D68">
        <v>0</v>
      </c>
      <c r="E68">
        <v>0</v>
      </c>
      <c r="F68">
        <v>39.78</v>
      </c>
      <c r="G68">
        <v>36.01</v>
      </c>
      <c r="H68">
        <v>-28.98</v>
      </c>
    </row>
    <row r="69" spans="1:8" x14ac:dyDescent="0.25">
      <c r="A69">
        <v>54</v>
      </c>
      <c r="B69">
        <v>55</v>
      </c>
      <c r="C69">
        <v>100</v>
      </c>
      <c r="D69">
        <v>0</v>
      </c>
      <c r="E69">
        <v>0</v>
      </c>
      <c r="F69">
        <v>35.51</v>
      </c>
      <c r="G69">
        <v>44.18</v>
      </c>
      <c r="H69">
        <v>-28.46</v>
      </c>
    </row>
    <row r="70" spans="1:8" x14ac:dyDescent="0.25">
      <c r="A70">
        <v>55</v>
      </c>
      <c r="B70">
        <v>70</v>
      </c>
      <c r="C70">
        <v>0</v>
      </c>
      <c r="D70">
        <v>0</v>
      </c>
      <c r="E70">
        <v>0</v>
      </c>
      <c r="F70">
        <v>66.790000000000006</v>
      </c>
      <c r="G70">
        <v>-25.16</v>
      </c>
      <c r="H70">
        <v>-37.630000000000003</v>
      </c>
    </row>
    <row r="71" spans="1:8" x14ac:dyDescent="0.25">
      <c r="A71">
        <v>56</v>
      </c>
      <c r="B71">
        <v>70</v>
      </c>
      <c r="C71">
        <v>10</v>
      </c>
      <c r="D71">
        <v>0</v>
      </c>
      <c r="E71">
        <v>0</v>
      </c>
      <c r="F71">
        <v>63.23</v>
      </c>
      <c r="G71">
        <v>-19.670000000000002</v>
      </c>
      <c r="H71">
        <v>-37.4</v>
      </c>
    </row>
    <row r="72" spans="1:8" x14ac:dyDescent="0.25">
      <c r="A72">
        <v>57</v>
      </c>
      <c r="B72">
        <v>70</v>
      </c>
      <c r="C72">
        <v>20</v>
      </c>
      <c r="D72">
        <v>0</v>
      </c>
      <c r="E72">
        <v>0</v>
      </c>
      <c r="F72">
        <v>59.85</v>
      </c>
      <c r="G72">
        <v>-14.41</v>
      </c>
      <c r="H72">
        <v>-37.22</v>
      </c>
    </row>
    <row r="73" spans="1:8" x14ac:dyDescent="0.25">
      <c r="A73">
        <v>58</v>
      </c>
      <c r="B73">
        <v>70</v>
      </c>
      <c r="C73">
        <v>30</v>
      </c>
      <c r="D73">
        <v>0</v>
      </c>
      <c r="E73">
        <v>0</v>
      </c>
      <c r="F73">
        <v>56.34</v>
      </c>
      <c r="G73">
        <v>-8.7899999999999991</v>
      </c>
      <c r="H73">
        <v>-37.01</v>
      </c>
    </row>
    <row r="74" spans="1:8" x14ac:dyDescent="0.25">
      <c r="A74">
        <v>59</v>
      </c>
      <c r="B74">
        <v>70</v>
      </c>
      <c r="C74">
        <v>40</v>
      </c>
      <c r="D74">
        <v>0</v>
      </c>
      <c r="E74">
        <v>0</v>
      </c>
      <c r="F74">
        <v>52.76</v>
      </c>
      <c r="G74">
        <v>-2.91</v>
      </c>
      <c r="H74">
        <v>-36.75</v>
      </c>
    </row>
    <row r="75" spans="1:8" x14ac:dyDescent="0.25">
      <c r="A75">
        <v>60</v>
      </c>
      <c r="B75">
        <v>70</v>
      </c>
      <c r="C75">
        <v>55</v>
      </c>
      <c r="D75">
        <v>0</v>
      </c>
      <c r="E75">
        <v>0</v>
      </c>
      <c r="F75">
        <v>47.19</v>
      </c>
      <c r="G75">
        <v>6.5</v>
      </c>
      <c r="H75">
        <v>-36.43</v>
      </c>
    </row>
    <row r="76" spans="1:8" x14ac:dyDescent="0.25">
      <c r="A76">
        <v>61</v>
      </c>
      <c r="B76">
        <v>70</v>
      </c>
      <c r="C76">
        <v>70</v>
      </c>
      <c r="D76">
        <v>0</v>
      </c>
      <c r="E76">
        <v>0</v>
      </c>
      <c r="F76">
        <v>41.46</v>
      </c>
      <c r="G76">
        <v>16.82</v>
      </c>
      <c r="H76">
        <v>-35.880000000000003</v>
      </c>
    </row>
    <row r="77" spans="1:8" x14ac:dyDescent="0.25">
      <c r="A77">
        <v>62</v>
      </c>
      <c r="B77">
        <v>70</v>
      </c>
      <c r="C77">
        <v>85</v>
      </c>
      <c r="D77">
        <v>0</v>
      </c>
      <c r="E77">
        <v>0</v>
      </c>
      <c r="F77">
        <v>35.909999999999997</v>
      </c>
      <c r="G77">
        <v>27.32</v>
      </c>
      <c r="H77">
        <v>-35.36</v>
      </c>
    </row>
    <row r="78" spans="1:8" x14ac:dyDescent="0.25">
      <c r="A78">
        <v>63</v>
      </c>
      <c r="B78">
        <v>70</v>
      </c>
      <c r="C78">
        <v>100</v>
      </c>
      <c r="D78">
        <v>0</v>
      </c>
      <c r="E78">
        <v>0</v>
      </c>
      <c r="F78">
        <v>31.84</v>
      </c>
      <c r="G78">
        <v>35.11</v>
      </c>
      <c r="H78">
        <v>-35.020000000000003</v>
      </c>
    </row>
    <row r="79" spans="1:8" x14ac:dyDescent="0.25">
      <c r="A79">
        <v>64</v>
      </c>
      <c r="B79">
        <v>85</v>
      </c>
      <c r="C79">
        <v>0</v>
      </c>
      <c r="D79">
        <v>0</v>
      </c>
      <c r="E79">
        <v>0</v>
      </c>
      <c r="F79">
        <v>60.64</v>
      </c>
      <c r="G79">
        <v>-31.84</v>
      </c>
      <c r="H79">
        <v>-44.65</v>
      </c>
    </row>
    <row r="80" spans="1:8" x14ac:dyDescent="0.25">
      <c r="A80">
        <v>65</v>
      </c>
      <c r="B80">
        <v>85</v>
      </c>
      <c r="C80">
        <v>10</v>
      </c>
      <c r="D80">
        <v>0</v>
      </c>
      <c r="E80">
        <v>0</v>
      </c>
      <c r="F80">
        <v>57.43</v>
      </c>
      <c r="G80">
        <v>-26.57</v>
      </c>
      <c r="H80">
        <v>-44.11</v>
      </c>
    </row>
    <row r="81" spans="1:8" x14ac:dyDescent="0.25">
      <c r="A81">
        <v>66</v>
      </c>
      <c r="B81">
        <v>85</v>
      </c>
      <c r="C81">
        <v>20</v>
      </c>
      <c r="D81">
        <v>0</v>
      </c>
      <c r="E81">
        <v>0</v>
      </c>
      <c r="F81">
        <v>54.38</v>
      </c>
      <c r="G81">
        <v>-21.5</v>
      </c>
      <c r="H81">
        <v>-43.65</v>
      </c>
    </row>
    <row r="82" spans="1:8" x14ac:dyDescent="0.25">
      <c r="A82">
        <v>67</v>
      </c>
      <c r="B82">
        <v>85</v>
      </c>
      <c r="C82">
        <v>30</v>
      </c>
      <c r="D82">
        <v>0</v>
      </c>
      <c r="E82">
        <v>0</v>
      </c>
      <c r="F82">
        <v>51.16</v>
      </c>
      <c r="G82">
        <v>-16.07</v>
      </c>
      <c r="H82">
        <v>-43.21</v>
      </c>
    </row>
    <row r="83" spans="1:8" x14ac:dyDescent="0.25">
      <c r="A83">
        <v>68</v>
      </c>
      <c r="B83">
        <v>85</v>
      </c>
      <c r="C83">
        <v>40</v>
      </c>
      <c r="D83">
        <v>0</v>
      </c>
      <c r="E83">
        <v>0</v>
      </c>
      <c r="F83">
        <v>47.87</v>
      </c>
      <c r="G83">
        <v>-10.39</v>
      </c>
      <c r="H83">
        <v>-42.79</v>
      </c>
    </row>
    <row r="84" spans="1:8" x14ac:dyDescent="0.25">
      <c r="A84">
        <v>69</v>
      </c>
      <c r="B84">
        <v>85</v>
      </c>
      <c r="C84">
        <v>55</v>
      </c>
      <c r="D84">
        <v>0</v>
      </c>
      <c r="E84">
        <v>0</v>
      </c>
      <c r="F84">
        <v>42.73</v>
      </c>
      <c r="G84">
        <v>-1.3</v>
      </c>
      <c r="H84">
        <v>-42.26</v>
      </c>
    </row>
    <row r="85" spans="1:8" x14ac:dyDescent="0.25">
      <c r="A85">
        <v>70</v>
      </c>
      <c r="B85">
        <v>85</v>
      </c>
      <c r="C85">
        <v>70</v>
      </c>
      <c r="D85">
        <v>0</v>
      </c>
      <c r="E85">
        <v>0</v>
      </c>
      <c r="F85">
        <v>37.380000000000003</v>
      </c>
      <c r="G85">
        <v>8.64</v>
      </c>
      <c r="H85">
        <v>-41.73</v>
      </c>
    </row>
    <row r="86" spans="1:8" x14ac:dyDescent="0.25">
      <c r="A86">
        <v>71</v>
      </c>
      <c r="B86">
        <v>85</v>
      </c>
      <c r="C86">
        <v>85</v>
      </c>
      <c r="D86">
        <v>0</v>
      </c>
      <c r="E86">
        <v>0</v>
      </c>
      <c r="F86">
        <v>32.11</v>
      </c>
      <c r="G86">
        <v>18.8</v>
      </c>
      <c r="H86">
        <v>-41.38</v>
      </c>
    </row>
    <row r="87" spans="1:8" x14ac:dyDescent="0.25">
      <c r="A87">
        <v>72</v>
      </c>
      <c r="B87">
        <v>85</v>
      </c>
      <c r="C87">
        <v>100</v>
      </c>
      <c r="D87">
        <v>0</v>
      </c>
      <c r="E87">
        <v>0</v>
      </c>
      <c r="F87">
        <v>28.19</v>
      </c>
      <c r="G87">
        <v>26.32</v>
      </c>
      <c r="H87">
        <v>-41.22</v>
      </c>
    </row>
    <row r="88" spans="1:8" x14ac:dyDescent="0.25">
      <c r="A88">
        <v>73</v>
      </c>
      <c r="B88">
        <v>100</v>
      </c>
      <c r="C88">
        <v>0</v>
      </c>
      <c r="D88">
        <v>0</v>
      </c>
      <c r="E88">
        <v>0</v>
      </c>
      <c r="F88">
        <v>56</v>
      </c>
      <c r="G88">
        <v>-37</v>
      </c>
      <c r="H88">
        <v>-50</v>
      </c>
    </row>
    <row r="89" spans="1:8" x14ac:dyDescent="0.25">
      <c r="A89">
        <v>74</v>
      </c>
      <c r="B89">
        <v>100</v>
      </c>
      <c r="C89">
        <v>10</v>
      </c>
      <c r="D89">
        <v>0</v>
      </c>
      <c r="E89">
        <v>0</v>
      </c>
      <c r="F89">
        <v>53.07</v>
      </c>
      <c r="G89">
        <v>-32.1</v>
      </c>
      <c r="H89">
        <v>-49.14</v>
      </c>
    </row>
    <row r="90" spans="1:8" x14ac:dyDescent="0.25">
      <c r="A90">
        <v>75</v>
      </c>
      <c r="B90">
        <v>100</v>
      </c>
      <c r="C90">
        <v>20</v>
      </c>
      <c r="D90">
        <v>0</v>
      </c>
      <c r="E90">
        <v>0</v>
      </c>
      <c r="F90">
        <v>50.23</v>
      </c>
      <c r="G90">
        <v>-27.18</v>
      </c>
      <c r="H90">
        <v>-48.51</v>
      </c>
    </row>
    <row r="91" spans="1:8" x14ac:dyDescent="0.25">
      <c r="A91">
        <v>76</v>
      </c>
      <c r="B91">
        <v>100</v>
      </c>
      <c r="C91">
        <v>30</v>
      </c>
      <c r="D91">
        <v>0</v>
      </c>
      <c r="E91">
        <v>0</v>
      </c>
      <c r="F91">
        <v>47.24</v>
      </c>
      <c r="G91">
        <v>-21.89</v>
      </c>
      <c r="H91">
        <v>-47.9</v>
      </c>
    </row>
    <row r="92" spans="1:8" x14ac:dyDescent="0.25">
      <c r="A92">
        <v>77</v>
      </c>
      <c r="B92">
        <v>100</v>
      </c>
      <c r="C92">
        <v>40</v>
      </c>
      <c r="D92">
        <v>0</v>
      </c>
      <c r="E92">
        <v>0</v>
      </c>
      <c r="F92">
        <v>44.12</v>
      </c>
      <c r="G92">
        <v>-16.25</v>
      </c>
      <c r="H92">
        <v>-47.39</v>
      </c>
    </row>
    <row r="93" spans="1:8" x14ac:dyDescent="0.25">
      <c r="A93">
        <v>78</v>
      </c>
      <c r="B93">
        <v>100</v>
      </c>
      <c r="C93">
        <v>55</v>
      </c>
      <c r="D93">
        <v>0</v>
      </c>
      <c r="E93">
        <v>0</v>
      </c>
      <c r="F93">
        <v>39.270000000000003</v>
      </c>
      <c r="G93">
        <v>-7.4</v>
      </c>
      <c r="H93">
        <v>-46.77</v>
      </c>
    </row>
    <row r="94" spans="1:8" x14ac:dyDescent="0.25">
      <c r="A94">
        <v>79</v>
      </c>
      <c r="B94">
        <v>100</v>
      </c>
      <c r="C94">
        <v>70</v>
      </c>
      <c r="D94">
        <v>0</v>
      </c>
      <c r="E94">
        <v>0</v>
      </c>
      <c r="F94">
        <v>34.229999999999997</v>
      </c>
      <c r="G94">
        <v>2.27</v>
      </c>
      <c r="H94">
        <v>-46.2</v>
      </c>
    </row>
    <row r="95" spans="1:8" x14ac:dyDescent="0.25">
      <c r="A95">
        <v>80</v>
      </c>
      <c r="B95">
        <v>100</v>
      </c>
      <c r="C95">
        <v>85</v>
      </c>
      <c r="D95">
        <v>0</v>
      </c>
      <c r="E95">
        <v>0</v>
      </c>
      <c r="F95">
        <v>29.09</v>
      </c>
      <c r="G95">
        <v>12.22</v>
      </c>
      <c r="H95">
        <v>-46</v>
      </c>
    </row>
    <row r="96" spans="1:8" x14ac:dyDescent="0.25">
      <c r="A96">
        <v>81</v>
      </c>
      <c r="B96">
        <v>100</v>
      </c>
      <c r="C96">
        <v>100</v>
      </c>
      <c r="D96">
        <v>0</v>
      </c>
      <c r="E96">
        <v>0</v>
      </c>
      <c r="F96">
        <v>25</v>
      </c>
      <c r="G96">
        <v>20</v>
      </c>
      <c r="H96">
        <v>-46</v>
      </c>
    </row>
    <row r="97" spans="1:8" x14ac:dyDescent="0.25">
      <c r="A97">
        <v>82</v>
      </c>
      <c r="B97">
        <v>0</v>
      </c>
      <c r="C97">
        <v>0</v>
      </c>
      <c r="D97">
        <v>10</v>
      </c>
      <c r="E97">
        <v>0</v>
      </c>
      <c r="F97">
        <v>94.22</v>
      </c>
      <c r="G97">
        <v>0.12</v>
      </c>
      <c r="H97">
        <v>4.76</v>
      </c>
    </row>
    <row r="98" spans="1:8" x14ac:dyDescent="0.25">
      <c r="A98">
        <v>83</v>
      </c>
      <c r="B98">
        <v>0</v>
      </c>
      <c r="C98">
        <v>10</v>
      </c>
      <c r="D98">
        <v>10</v>
      </c>
      <c r="E98">
        <v>0</v>
      </c>
      <c r="F98">
        <v>89.26</v>
      </c>
      <c r="G98">
        <v>6.85</v>
      </c>
      <c r="H98">
        <v>3.27</v>
      </c>
    </row>
    <row r="99" spans="1:8" x14ac:dyDescent="0.25">
      <c r="A99">
        <v>84</v>
      </c>
      <c r="B99">
        <v>0</v>
      </c>
      <c r="C99">
        <v>20</v>
      </c>
      <c r="D99">
        <v>10</v>
      </c>
      <c r="E99">
        <v>0</v>
      </c>
      <c r="F99">
        <v>84.5</v>
      </c>
      <c r="G99">
        <v>13.39</v>
      </c>
      <c r="H99">
        <v>1.97</v>
      </c>
    </row>
    <row r="100" spans="1:8" x14ac:dyDescent="0.25">
      <c r="A100">
        <v>85</v>
      </c>
      <c r="B100">
        <v>0</v>
      </c>
      <c r="C100">
        <v>30</v>
      </c>
      <c r="D100">
        <v>10</v>
      </c>
      <c r="E100">
        <v>0</v>
      </c>
      <c r="F100">
        <v>79.62</v>
      </c>
      <c r="G100">
        <v>20.32</v>
      </c>
      <c r="H100">
        <v>0.85</v>
      </c>
    </row>
    <row r="101" spans="1:8" x14ac:dyDescent="0.25">
      <c r="A101">
        <v>86</v>
      </c>
      <c r="B101">
        <v>0</v>
      </c>
      <c r="C101">
        <v>40</v>
      </c>
      <c r="D101">
        <v>10</v>
      </c>
      <c r="E101">
        <v>0</v>
      </c>
      <c r="F101">
        <v>74.73</v>
      </c>
      <c r="G101">
        <v>27.53</v>
      </c>
      <c r="H101">
        <v>0.06</v>
      </c>
    </row>
    <row r="102" spans="1:8" x14ac:dyDescent="0.25">
      <c r="A102">
        <v>87</v>
      </c>
      <c r="B102">
        <v>0</v>
      </c>
      <c r="C102">
        <v>55</v>
      </c>
      <c r="D102">
        <v>10</v>
      </c>
      <c r="E102">
        <v>0</v>
      </c>
      <c r="F102">
        <v>67.31</v>
      </c>
      <c r="G102">
        <v>39.29</v>
      </c>
      <c r="H102">
        <v>-0.86</v>
      </c>
    </row>
    <row r="103" spans="1:8" x14ac:dyDescent="0.25">
      <c r="A103">
        <v>88</v>
      </c>
      <c r="B103">
        <v>0</v>
      </c>
      <c r="C103">
        <v>70</v>
      </c>
      <c r="D103">
        <v>10</v>
      </c>
      <c r="E103">
        <v>0</v>
      </c>
      <c r="F103">
        <v>59.97</v>
      </c>
      <c r="G103">
        <v>51.94</v>
      </c>
      <c r="H103">
        <v>-0.71</v>
      </c>
    </row>
    <row r="104" spans="1:8" x14ac:dyDescent="0.25">
      <c r="A104">
        <v>89</v>
      </c>
      <c r="B104">
        <v>0</v>
      </c>
      <c r="C104">
        <v>85</v>
      </c>
      <c r="D104">
        <v>10</v>
      </c>
      <c r="E104">
        <v>0</v>
      </c>
      <c r="F104">
        <v>53.14</v>
      </c>
      <c r="G104">
        <v>64.66</v>
      </c>
      <c r="H104">
        <v>0.04</v>
      </c>
    </row>
    <row r="105" spans="1:8" x14ac:dyDescent="0.25">
      <c r="A105">
        <v>90</v>
      </c>
      <c r="B105">
        <v>0</v>
      </c>
      <c r="C105">
        <v>100</v>
      </c>
      <c r="D105">
        <v>10</v>
      </c>
      <c r="E105">
        <v>0</v>
      </c>
      <c r="F105">
        <v>48.29</v>
      </c>
      <c r="G105">
        <v>74.099999999999994</v>
      </c>
      <c r="H105">
        <v>0.87</v>
      </c>
    </row>
    <row r="106" spans="1:8" x14ac:dyDescent="0.25">
      <c r="A106">
        <v>91</v>
      </c>
      <c r="B106">
        <v>10</v>
      </c>
      <c r="C106">
        <v>0</v>
      </c>
      <c r="D106">
        <v>10</v>
      </c>
      <c r="E106">
        <v>0</v>
      </c>
      <c r="F106">
        <v>90.27</v>
      </c>
      <c r="G106">
        <v>-3.53</v>
      </c>
      <c r="H106">
        <v>-0.18</v>
      </c>
    </row>
    <row r="107" spans="1:8" x14ac:dyDescent="0.25">
      <c r="A107">
        <v>92</v>
      </c>
      <c r="B107">
        <v>10</v>
      </c>
      <c r="C107">
        <v>10</v>
      </c>
      <c r="D107">
        <v>10</v>
      </c>
      <c r="E107">
        <v>0</v>
      </c>
      <c r="F107">
        <v>85.54</v>
      </c>
      <c r="G107">
        <v>2.36</v>
      </c>
      <c r="H107">
        <v>-1.59</v>
      </c>
    </row>
    <row r="108" spans="1:8" x14ac:dyDescent="0.25">
      <c r="A108">
        <v>93</v>
      </c>
      <c r="B108">
        <v>10</v>
      </c>
      <c r="C108">
        <v>20</v>
      </c>
      <c r="D108">
        <v>10</v>
      </c>
      <c r="E108">
        <v>0</v>
      </c>
      <c r="F108">
        <v>80.81</v>
      </c>
      <c r="G108">
        <v>8.92</v>
      </c>
      <c r="H108">
        <v>-2.76</v>
      </c>
    </row>
    <row r="109" spans="1:8" x14ac:dyDescent="0.25">
      <c r="A109">
        <v>94</v>
      </c>
      <c r="B109">
        <v>10</v>
      </c>
      <c r="C109">
        <v>30</v>
      </c>
      <c r="D109">
        <v>10</v>
      </c>
      <c r="E109">
        <v>0</v>
      </c>
      <c r="F109">
        <v>76.02</v>
      </c>
      <c r="G109">
        <v>15.88</v>
      </c>
      <c r="H109">
        <v>-3.82</v>
      </c>
    </row>
    <row r="110" spans="1:8" x14ac:dyDescent="0.25">
      <c r="A110">
        <v>95</v>
      </c>
      <c r="B110">
        <v>10</v>
      </c>
      <c r="C110">
        <v>40</v>
      </c>
      <c r="D110">
        <v>10</v>
      </c>
      <c r="E110">
        <v>0</v>
      </c>
      <c r="F110">
        <v>71.209999999999994</v>
      </c>
      <c r="G110">
        <v>23.19</v>
      </c>
      <c r="H110">
        <v>-4.59</v>
      </c>
    </row>
    <row r="111" spans="1:8" x14ac:dyDescent="0.25">
      <c r="A111">
        <v>96</v>
      </c>
      <c r="B111">
        <v>10</v>
      </c>
      <c r="C111">
        <v>55</v>
      </c>
      <c r="D111">
        <v>10</v>
      </c>
      <c r="E111">
        <v>0</v>
      </c>
      <c r="F111">
        <v>64.08</v>
      </c>
      <c r="G111">
        <v>34.67</v>
      </c>
      <c r="H111">
        <v>-5.3</v>
      </c>
    </row>
    <row r="112" spans="1:8" x14ac:dyDescent="0.25">
      <c r="A112">
        <v>97</v>
      </c>
      <c r="B112">
        <v>10</v>
      </c>
      <c r="C112">
        <v>70</v>
      </c>
      <c r="D112">
        <v>10</v>
      </c>
      <c r="E112">
        <v>0</v>
      </c>
      <c r="F112">
        <v>56.95</v>
      </c>
      <c r="G112">
        <v>47.16</v>
      </c>
      <c r="H112">
        <v>-5.2</v>
      </c>
    </row>
    <row r="113" spans="1:8" x14ac:dyDescent="0.25">
      <c r="A113">
        <v>98</v>
      </c>
      <c r="B113">
        <v>10</v>
      </c>
      <c r="C113">
        <v>85</v>
      </c>
      <c r="D113">
        <v>10</v>
      </c>
      <c r="E113">
        <v>0</v>
      </c>
      <c r="F113">
        <v>50.47</v>
      </c>
      <c r="G113">
        <v>59.33</v>
      </c>
      <c r="H113">
        <v>-4.5199999999999996</v>
      </c>
    </row>
    <row r="114" spans="1:8" x14ac:dyDescent="0.25">
      <c r="A114">
        <v>99</v>
      </c>
      <c r="B114">
        <v>10</v>
      </c>
      <c r="C114">
        <v>100</v>
      </c>
      <c r="D114">
        <v>10</v>
      </c>
      <c r="E114">
        <v>0</v>
      </c>
      <c r="F114">
        <v>45.91</v>
      </c>
      <c r="G114">
        <v>68.290000000000006</v>
      </c>
      <c r="H114">
        <v>-3.79</v>
      </c>
    </row>
    <row r="115" spans="1:8" x14ac:dyDescent="0.25">
      <c r="A115">
        <v>100</v>
      </c>
      <c r="B115">
        <v>20</v>
      </c>
      <c r="C115">
        <v>0</v>
      </c>
      <c r="D115">
        <v>10</v>
      </c>
      <c r="E115">
        <v>0</v>
      </c>
      <c r="F115">
        <v>86.38</v>
      </c>
      <c r="G115">
        <v>-7.13</v>
      </c>
      <c r="H115">
        <v>-5</v>
      </c>
    </row>
    <row r="116" spans="1:8" x14ac:dyDescent="0.25">
      <c r="A116">
        <v>101</v>
      </c>
      <c r="B116">
        <v>20</v>
      </c>
      <c r="C116">
        <v>10</v>
      </c>
      <c r="D116">
        <v>10</v>
      </c>
      <c r="E116">
        <v>0</v>
      </c>
      <c r="F116">
        <v>81.709999999999994</v>
      </c>
      <c r="G116">
        <v>-1.6</v>
      </c>
      <c r="H116">
        <v>-6.49</v>
      </c>
    </row>
    <row r="117" spans="1:8" x14ac:dyDescent="0.25">
      <c r="A117">
        <v>102</v>
      </c>
      <c r="B117">
        <v>20</v>
      </c>
      <c r="C117">
        <v>20</v>
      </c>
      <c r="D117">
        <v>10</v>
      </c>
      <c r="E117">
        <v>0</v>
      </c>
      <c r="F117">
        <v>77.180000000000007</v>
      </c>
      <c r="G117">
        <v>4.82</v>
      </c>
      <c r="H117">
        <v>-7.53</v>
      </c>
    </row>
    <row r="118" spans="1:8" x14ac:dyDescent="0.25">
      <c r="A118">
        <v>103</v>
      </c>
      <c r="B118">
        <v>20</v>
      </c>
      <c r="C118">
        <v>30</v>
      </c>
      <c r="D118">
        <v>10</v>
      </c>
      <c r="E118">
        <v>0</v>
      </c>
      <c r="F118">
        <v>72.61</v>
      </c>
      <c r="G118">
        <v>11.58</v>
      </c>
      <c r="H118">
        <v>-8.44</v>
      </c>
    </row>
    <row r="119" spans="1:8" x14ac:dyDescent="0.25">
      <c r="A119">
        <v>104</v>
      </c>
      <c r="B119">
        <v>20</v>
      </c>
      <c r="C119">
        <v>40</v>
      </c>
      <c r="D119">
        <v>10</v>
      </c>
      <c r="E119">
        <v>0</v>
      </c>
      <c r="F119">
        <v>68.02</v>
      </c>
      <c r="G119">
        <v>18.75</v>
      </c>
      <c r="H119">
        <v>-9.09</v>
      </c>
    </row>
    <row r="120" spans="1:8" x14ac:dyDescent="0.25">
      <c r="A120">
        <v>105</v>
      </c>
      <c r="B120">
        <v>20</v>
      </c>
      <c r="C120">
        <v>55</v>
      </c>
      <c r="D120">
        <v>10</v>
      </c>
      <c r="E120">
        <v>0</v>
      </c>
      <c r="F120">
        <v>61.17</v>
      </c>
      <c r="G120">
        <v>29.91</v>
      </c>
      <c r="H120">
        <v>-9.6999999999999993</v>
      </c>
    </row>
    <row r="121" spans="1:8" x14ac:dyDescent="0.25">
      <c r="A121">
        <v>106</v>
      </c>
      <c r="B121">
        <v>20</v>
      </c>
      <c r="C121">
        <v>70</v>
      </c>
      <c r="D121">
        <v>10</v>
      </c>
      <c r="E121">
        <v>0</v>
      </c>
      <c r="F121">
        <v>54.29</v>
      </c>
      <c r="G121">
        <v>42.07</v>
      </c>
      <c r="H121">
        <v>-9.6199999999999992</v>
      </c>
    </row>
    <row r="122" spans="1:8" x14ac:dyDescent="0.25">
      <c r="A122">
        <v>107</v>
      </c>
      <c r="B122">
        <v>20</v>
      </c>
      <c r="C122">
        <v>85</v>
      </c>
      <c r="D122">
        <v>10</v>
      </c>
      <c r="E122">
        <v>0</v>
      </c>
      <c r="F122">
        <v>48.01</v>
      </c>
      <c r="G122">
        <v>53.94</v>
      </c>
      <c r="H122">
        <v>-9.0399999999999991</v>
      </c>
    </row>
    <row r="123" spans="1:8" x14ac:dyDescent="0.25">
      <c r="A123">
        <v>108</v>
      </c>
      <c r="B123">
        <v>20</v>
      </c>
      <c r="C123">
        <v>100</v>
      </c>
      <c r="D123">
        <v>10</v>
      </c>
      <c r="E123">
        <v>0</v>
      </c>
      <c r="F123">
        <v>43.57</v>
      </c>
      <c r="G123">
        <v>62.68</v>
      </c>
      <c r="H123">
        <v>-8.4</v>
      </c>
    </row>
    <row r="124" spans="1:8" x14ac:dyDescent="0.25">
      <c r="A124">
        <v>109</v>
      </c>
      <c r="B124">
        <v>30</v>
      </c>
      <c r="C124">
        <v>0</v>
      </c>
      <c r="D124">
        <v>10</v>
      </c>
      <c r="E124">
        <v>0</v>
      </c>
      <c r="F124">
        <v>82.47</v>
      </c>
      <c r="G124">
        <v>-10.88</v>
      </c>
      <c r="H124">
        <v>-9.8800000000000008</v>
      </c>
    </row>
    <row r="125" spans="1:8" x14ac:dyDescent="0.25">
      <c r="A125">
        <v>110</v>
      </c>
      <c r="B125">
        <v>30</v>
      </c>
      <c r="C125">
        <v>10</v>
      </c>
      <c r="D125">
        <v>10</v>
      </c>
      <c r="E125">
        <v>0</v>
      </c>
      <c r="F125">
        <v>78.05</v>
      </c>
      <c r="G125">
        <v>-5.4</v>
      </c>
      <c r="H125">
        <v>-11.11</v>
      </c>
    </row>
    <row r="126" spans="1:8" x14ac:dyDescent="0.25">
      <c r="A126">
        <v>111</v>
      </c>
      <c r="B126">
        <v>30</v>
      </c>
      <c r="C126">
        <v>20</v>
      </c>
      <c r="D126">
        <v>10</v>
      </c>
      <c r="E126">
        <v>0</v>
      </c>
      <c r="F126">
        <v>73.739999999999995</v>
      </c>
      <c r="G126">
        <v>0.78</v>
      </c>
      <c r="H126">
        <v>-12.02</v>
      </c>
    </row>
    <row r="127" spans="1:8" x14ac:dyDescent="0.25">
      <c r="A127">
        <v>112</v>
      </c>
      <c r="B127">
        <v>30</v>
      </c>
      <c r="C127">
        <v>30</v>
      </c>
      <c r="D127">
        <v>10</v>
      </c>
      <c r="E127">
        <v>0</v>
      </c>
      <c r="F127">
        <v>69.319999999999993</v>
      </c>
      <c r="G127">
        <v>7.32</v>
      </c>
      <c r="H127">
        <v>-12.84</v>
      </c>
    </row>
    <row r="128" spans="1:8" x14ac:dyDescent="0.25">
      <c r="A128">
        <v>113</v>
      </c>
      <c r="B128">
        <v>30</v>
      </c>
      <c r="C128">
        <v>40</v>
      </c>
      <c r="D128">
        <v>10</v>
      </c>
      <c r="E128">
        <v>0</v>
      </c>
      <c r="F128">
        <v>64.92</v>
      </c>
      <c r="G128">
        <v>14.29</v>
      </c>
      <c r="H128">
        <v>-13.4</v>
      </c>
    </row>
    <row r="129" spans="1:8" x14ac:dyDescent="0.25">
      <c r="A129">
        <v>114</v>
      </c>
      <c r="B129">
        <v>30</v>
      </c>
      <c r="C129">
        <v>55</v>
      </c>
      <c r="D129">
        <v>10</v>
      </c>
      <c r="E129">
        <v>0</v>
      </c>
      <c r="F129">
        <v>58.32</v>
      </c>
      <c r="G129">
        <v>25.15</v>
      </c>
      <c r="H129">
        <v>-13.95</v>
      </c>
    </row>
    <row r="130" spans="1:8" x14ac:dyDescent="0.25">
      <c r="A130">
        <v>115</v>
      </c>
      <c r="B130">
        <v>30</v>
      </c>
      <c r="C130">
        <v>70</v>
      </c>
      <c r="D130">
        <v>10</v>
      </c>
      <c r="E130">
        <v>0</v>
      </c>
      <c r="F130">
        <v>51.67</v>
      </c>
      <c r="G130">
        <v>36.979999999999997</v>
      </c>
      <c r="H130">
        <v>-13.9</v>
      </c>
    </row>
    <row r="131" spans="1:8" x14ac:dyDescent="0.25">
      <c r="A131">
        <v>116</v>
      </c>
      <c r="B131">
        <v>30</v>
      </c>
      <c r="C131">
        <v>85</v>
      </c>
      <c r="D131">
        <v>10</v>
      </c>
      <c r="E131">
        <v>0</v>
      </c>
      <c r="F131">
        <v>45.58</v>
      </c>
      <c r="G131">
        <v>48.56</v>
      </c>
      <c r="H131">
        <v>-13.43</v>
      </c>
    </row>
    <row r="132" spans="1:8" x14ac:dyDescent="0.25">
      <c r="A132">
        <v>117</v>
      </c>
      <c r="B132">
        <v>30</v>
      </c>
      <c r="C132">
        <v>100</v>
      </c>
      <c r="D132">
        <v>10</v>
      </c>
      <c r="E132">
        <v>0</v>
      </c>
      <c r="F132">
        <v>41.26</v>
      </c>
      <c r="G132">
        <v>57.07</v>
      </c>
      <c r="H132">
        <v>-12.9</v>
      </c>
    </row>
    <row r="133" spans="1:8" x14ac:dyDescent="0.25">
      <c r="A133">
        <v>118</v>
      </c>
      <c r="B133">
        <v>40</v>
      </c>
      <c r="C133">
        <v>0</v>
      </c>
      <c r="D133">
        <v>10</v>
      </c>
      <c r="E133">
        <v>0</v>
      </c>
      <c r="F133">
        <v>78.55</v>
      </c>
      <c r="G133">
        <v>-14.75</v>
      </c>
      <c r="H133">
        <v>-14.77</v>
      </c>
    </row>
    <row r="134" spans="1:8" x14ac:dyDescent="0.25">
      <c r="A134">
        <v>119</v>
      </c>
      <c r="B134">
        <v>40</v>
      </c>
      <c r="C134">
        <v>10</v>
      </c>
      <c r="D134">
        <v>10</v>
      </c>
      <c r="E134">
        <v>0</v>
      </c>
      <c r="F134">
        <v>74.44</v>
      </c>
      <c r="G134">
        <v>-9.18</v>
      </c>
      <c r="H134">
        <v>-15.62</v>
      </c>
    </row>
    <row r="135" spans="1:8" x14ac:dyDescent="0.25">
      <c r="A135">
        <v>120</v>
      </c>
      <c r="B135">
        <v>40</v>
      </c>
      <c r="C135">
        <v>20</v>
      </c>
      <c r="D135">
        <v>10</v>
      </c>
      <c r="E135">
        <v>0</v>
      </c>
      <c r="F135">
        <v>70.319999999999993</v>
      </c>
      <c r="G135">
        <v>-3.21</v>
      </c>
      <c r="H135">
        <v>-16.32</v>
      </c>
    </row>
    <row r="136" spans="1:8" x14ac:dyDescent="0.25">
      <c r="A136">
        <v>121</v>
      </c>
      <c r="B136">
        <v>40</v>
      </c>
      <c r="C136">
        <v>30</v>
      </c>
      <c r="D136">
        <v>10</v>
      </c>
      <c r="E136">
        <v>0</v>
      </c>
      <c r="F136">
        <v>66.12</v>
      </c>
      <c r="G136">
        <v>3.14</v>
      </c>
      <c r="H136">
        <v>-17</v>
      </c>
    </row>
    <row r="137" spans="1:8" x14ac:dyDescent="0.25">
      <c r="A137">
        <v>122</v>
      </c>
      <c r="B137">
        <v>40</v>
      </c>
      <c r="C137">
        <v>40</v>
      </c>
      <c r="D137">
        <v>10</v>
      </c>
      <c r="E137">
        <v>0</v>
      </c>
      <c r="F137">
        <v>61.88</v>
      </c>
      <c r="G137">
        <v>9.83</v>
      </c>
      <c r="H137">
        <v>-17.57</v>
      </c>
    </row>
    <row r="138" spans="1:8" x14ac:dyDescent="0.25">
      <c r="A138">
        <v>123</v>
      </c>
      <c r="B138">
        <v>40</v>
      </c>
      <c r="C138">
        <v>55</v>
      </c>
      <c r="D138">
        <v>10</v>
      </c>
      <c r="E138">
        <v>0</v>
      </c>
      <c r="F138">
        <v>55.52</v>
      </c>
      <c r="G138">
        <v>20.38</v>
      </c>
      <c r="H138">
        <v>-18.07</v>
      </c>
    </row>
    <row r="139" spans="1:8" x14ac:dyDescent="0.25">
      <c r="A139">
        <v>124</v>
      </c>
      <c r="B139">
        <v>40</v>
      </c>
      <c r="C139">
        <v>70</v>
      </c>
      <c r="D139">
        <v>10</v>
      </c>
      <c r="E139">
        <v>0</v>
      </c>
      <c r="F139">
        <v>49.09</v>
      </c>
      <c r="G139">
        <v>31.89</v>
      </c>
      <c r="H139">
        <v>-18.05</v>
      </c>
    </row>
    <row r="140" spans="1:8" x14ac:dyDescent="0.25">
      <c r="A140">
        <v>125</v>
      </c>
      <c r="B140">
        <v>40</v>
      </c>
      <c r="C140">
        <v>85</v>
      </c>
      <c r="D140">
        <v>10</v>
      </c>
      <c r="E140">
        <v>0</v>
      </c>
      <c r="F140">
        <v>43.16</v>
      </c>
      <c r="G140">
        <v>43.15</v>
      </c>
      <c r="H140">
        <v>-17.68</v>
      </c>
    </row>
    <row r="141" spans="1:8" x14ac:dyDescent="0.25">
      <c r="A141">
        <v>126</v>
      </c>
      <c r="B141">
        <v>40</v>
      </c>
      <c r="C141">
        <v>100</v>
      </c>
      <c r="D141">
        <v>10</v>
      </c>
      <c r="E141">
        <v>0</v>
      </c>
      <c r="F141">
        <v>38.94</v>
      </c>
      <c r="G141">
        <v>51.44</v>
      </c>
      <c r="H141">
        <v>-17.23</v>
      </c>
    </row>
    <row r="142" spans="1:8" x14ac:dyDescent="0.25">
      <c r="A142">
        <v>127</v>
      </c>
      <c r="B142">
        <v>55</v>
      </c>
      <c r="C142">
        <v>0</v>
      </c>
      <c r="D142">
        <v>10</v>
      </c>
      <c r="E142">
        <v>0</v>
      </c>
      <c r="F142">
        <v>72.510000000000005</v>
      </c>
      <c r="G142">
        <v>-21.21</v>
      </c>
      <c r="H142">
        <v>-22.05</v>
      </c>
    </row>
    <row r="143" spans="1:8" x14ac:dyDescent="0.25">
      <c r="A143">
        <v>128</v>
      </c>
      <c r="B143">
        <v>55</v>
      </c>
      <c r="C143">
        <v>10</v>
      </c>
      <c r="D143">
        <v>10</v>
      </c>
      <c r="E143">
        <v>0</v>
      </c>
      <c r="F143">
        <v>68.84</v>
      </c>
      <c r="G143">
        <v>-15.5</v>
      </c>
      <c r="H143">
        <v>-22.44</v>
      </c>
    </row>
    <row r="144" spans="1:8" x14ac:dyDescent="0.25">
      <c r="A144">
        <v>129</v>
      </c>
      <c r="B144">
        <v>55</v>
      </c>
      <c r="C144">
        <v>20</v>
      </c>
      <c r="D144">
        <v>10</v>
      </c>
      <c r="E144">
        <v>0</v>
      </c>
      <c r="F144">
        <v>65.06</v>
      </c>
      <c r="G144">
        <v>-9.73</v>
      </c>
      <c r="H144">
        <v>-22.97</v>
      </c>
    </row>
    <row r="145" spans="1:8" x14ac:dyDescent="0.25">
      <c r="A145">
        <v>130</v>
      </c>
      <c r="B145">
        <v>55</v>
      </c>
      <c r="C145">
        <v>30</v>
      </c>
      <c r="D145">
        <v>10</v>
      </c>
      <c r="E145">
        <v>0</v>
      </c>
      <c r="F145">
        <v>61.17</v>
      </c>
      <c r="G145">
        <v>-3.65</v>
      </c>
      <c r="H145">
        <v>-23.44</v>
      </c>
    </row>
    <row r="146" spans="1:8" x14ac:dyDescent="0.25">
      <c r="A146">
        <v>131</v>
      </c>
      <c r="B146">
        <v>55</v>
      </c>
      <c r="C146">
        <v>40</v>
      </c>
      <c r="D146">
        <v>10</v>
      </c>
      <c r="E146">
        <v>0</v>
      </c>
      <c r="F146">
        <v>57.23</v>
      </c>
      <c r="G146">
        <v>2.77</v>
      </c>
      <c r="H146">
        <v>-23.85</v>
      </c>
    </row>
    <row r="147" spans="1:8" x14ac:dyDescent="0.25">
      <c r="A147">
        <v>132</v>
      </c>
      <c r="B147">
        <v>55</v>
      </c>
      <c r="C147">
        <v>55</v>
      </c>
      <c r="D147">
        <v>10</v>
      </c>
      <c r="E147">
        <v>0</v>
      </c>
      <c r="F147">
        <v>51.22</v>
      </c>
      <c r="G147">
        <v>12.89</v>
      </c>
      <c r="H147">
        <v>-24.27</v>
      </c>
    </row>
    <row r="148" spans="1:8" x14ac:dyDescent="0.25">
      <c r="A148">
        <v>133</v>
      </c>
      <c r="B148">
        <v>55</v>
      </c>
      <c r="C148">
        <v>70</v>
      </c>
      <c r="D148">
        <v>10</v>
      </c>
      <c r="E148">
        <v>0</v>
      </c>
      <c r="F148">
        <v>45.13</v>
      </c>
      <c r="G148">
        <v>23.93</v>
      </c>
      <c r="H148">
        <v>-24.27</v>
      </c>
    </row>
    <row r="149" spans="1:8" x14ac:dyDescent="0.25">
      <c r="A149">
        <v>134</v>
      </c>
      <c r="B149">
        <v>55</v>
      </c>
      <c r="C149">
        <v>85</v>
      </c>
      <c r="D149">
        <v>10</v>
      </c>
      <c r="E149">
        <v>0</v>
      </c>
      <c r="F149">
        <v>39.479999999999997</v>
      </c>
      <c r="G149">
        <v>34.74</v>
      </c>
      <c r="H149">
        <v>-24.05</v>
      </c>
    </row>
    <row r="150" spans="1:8" x14ac:dyDescent="0.25">
      <c r="A150">
        <v>135</v>
      </c>
      <c r="B150">
        <v>55</v>
      </c>
      <c r="C150">
        <v>100</v>
      </c>
      <c r="D150">
        <v>10</v>
      </c>
      <c r="E150">
        <v>0</v>
      </c>
      <c r="F150">
        <v>35.43</v>
      </c>
      <c r="G150">
        <v>42.71</v>
      </c>
      <c r="H150">
        <v>-23.79</v>
      </c>
    </row>
    <row r="151" spans="1:8" x14ac:dyDescent="0.25">
      <c r="A151">
        <v>136</v>
      </c>
      <c r="B151">
        <v>70</v>
      </c>
      <c r="C151">
        <v>0</v>
      </c>
      <c r="D151">
        <v>10</v>
      </c>
      <c r="E151">
        <v>0</v>
      </c>
      <c r="F151">
        <v>66.290000000000006</v>
      </c>
      <c r="G151">
        <v>-28.26</v>
      </c>
      <c r="H151">
        <v>-29.48</v>
      </c>
    </row>
    <row r="152" spans="1:8" x14ac:dyDescent="0.25">
      <c r="A152">
        <v>137</v>
      </c>
      <c r="B152">
        <v>70</v>
      </c>
      <c r="C152">
        <v>10</v>
      </c>
      <c r="D152">
        <v>10</v>
      </c>
      <c r="E152">
        <v>0</v>
      </c>
      <c r="F152">
        <v>63.01</v>
      </c>
      <c r="G152">
        <v>-22.54</v>
      </c>
      <c r="H152">
        <v>-29.51</v>
      </c>
    </row>
    <row r="153" spans="1:8" x14ac:dyDescent="0.25">
      <c r="A153">
        <v>138</v>
      </c>
      <c r="B153">
        <v>70</v>
      </c>
      <c r="C153">
        <v>20</v>
      </c>
      <c r="D153">
        <v>10</v>
      </c>
      <c r="E153">
        <v>0</v>
      </c>
      <c r="F153">
        <v>59.56</v>
      </c>
      <c r="G153">
        <v>-16.989999999999998</v>
      </c>
      <c r="H153">
        <v>-29.76</v>
      </c>
    </row>
    <row r="154" spans="1:8" x14ac:dyDescent="0.25">
      <c r="A154">
        <v>139</v>
      </c>
      <c r="B154">
        <v>70</v>
      </c>
      <c r="C154">
        <v>30</v>
      </c>
      <c r="D154">
        <v>10</v>
      </c>
      <c r="E154">
        <v>0</v>
      </c>
      <c r="F154">
        <v>55.99</v>
      </c>
      <c r="G154">
        <v>-11.12</v>
      </c>
      <c r="H154">
        <v>-30.02</v>
      </c>
    </row>
    <row r="155" spans="1:8" x14ac:dyDescent="0.25">
      <c r="A155">
        <v>140</v>
      </c>
      <c r="B155">
        <v>70</v>
      </c>
      <c r="C155">
        <v>40</v>
      </c>
      <c r="D155">
        <v>10</v>
      </c>
      <c r="E155">
        <v>0</v>
      </c>
      <c r="F155">
        <v>52.36</v>
      </c>
      <c r="G155">
        <v>-4.95</v>
      </c>
      <c r="H155">
        <v>-30.23</v>
      </c>
    </row>
    <row r="156" spans="1:8" x14ac:dyDescent="0.25">
      <c r="A156">
        <v>141</v>
      </c>
      <c r="B156">
        <v>70</v>
      </c>
      <c r="C156">
        <v>55</v>
      </c>
      <c r="D156">
        <v>10</v>
      </c>
      <c r="E156">
        <v>0</v>
      </c>
      <c r="F156">
        <v>46.78</v>
      </c>
      <c r="G156">
        <v>4.8</v>
      </c>
      <c r="H156">
        <v>-30.45</v>
      </c>
    </row>
    <row r="157" spans="1:8" x14ac:dyDescent="0.25">
      <c r="A157">
        <v>142</v>
      </c>
      <c r="B157">
        <v>70</v>
      </c>
      <c r="C157">
        <v>70</v>
      </c>
      <c r="D157">
        <v>10</v>
      </c>
      <c r="E157">
        <v>0</v>
      </c>
      <c r="F157">
        <v>41.04</v>
      </c>
      <c r="G157">
        <v>15.47</v>
      </c>
      <c r="H157">
        <v>-30.45</v>
      </c>
    </row>
    <row r="158" spans="1:8" x14ac:dyDescent="0.25">
      <c r="A158">
        <v>143</v>
      </c>
      <c r="B158">
        <v>70</v>
      </c>
      <c r="C158">
        <v>85</v>
      </c>
      <c r="D158">
        <v>10</v>
      </c>
      <c r="E158">
        <v>0</v>
      </c>
      <c r="F158">
        <v>35.69</v>
      </c>
      <c r="G158">
        <v>25.84</v>
      </c>
      <c r="H158">
        <v>-30.38</v>
      </c>
    </row>
    <row r="159" spans="1:8" x14ac:dyDescent="0.25">
      <c r="A159">
        <v>144</v>
      </c>
      <c r="B159">
        <v>70</v>
      </c>
      <c r="C159">
        <v>100</v>
      </c>
      <c r="D159">
        <v>10</v>
      </c>
      <c r="E159">
        <v>0</v>
      </c>
      <c r="F159">
        <v>31.82</v>
      </c>
      <c r="G159">
        <v>33.450000000000003</v>
      </c>
      <c r="H159">
        <v>-30.27</v>
      </c>
    </row>
    <row r="160" spans="1:8" x14ac:dyDescent="0.25">
      <c r="A160">
        <v>145</v>
      </c>
      <c r="B160">
        <v>85</v>
      </c>
      <c r="C160">
        <v>0</v>
      </c>
      <c r="D160">
        <v>10</v>
      </c>
      <c r="E160">
        <v>0</v>
      </c>
      <c r="F160">
        <v>60.2</v>
      </c>
      <c r="G160">
        <v>-35.5</v>
      </c>
      <c r="H160">
        <v>-36.590000000000003</v>
      </c>
    </row>
    <row r="161" spans="1:8" x14ac:dyDescent="0.25">
      <c r="A161">
        <v>146</v>
      </c>
      <c r="B161">
        <v>85</v>
      </c>
      <c r="C161">
        <v>10</v>
      </c>
      <c r="D161">
        <v>10</v>
      </c>
      <c r="E161">
        <v>0</v>
      </c>
      <c r="F161">
        <v>57.17</v>
      </c>
      <c r="G161">
        <v>-30.05</v>
      </c>
      <c r="H161">
        <v>-36.479999999999997</v>
      </c>
    </row>
    <row r="162" spans="1:8" x14ac:dyDescent="0.25">
      <c r="A162">
        <v>147</v>
      </c>
      <c r="B162">
        <v>85</v>
      </c>
      <c r="C162">
        <v>20</v>
      </c>
      <c r="D162">
        <v>10</v>
      </c>
      <c r="E162">
        <v>0</v>
      </c>
      <c r="F162">
        <v>54.04</v>
      </c>
      <c r="G162">
        <v>-24.66</v>
      </c>
      <c r="H162">
        <v>-36.5</v>
      </c>
    </row>
    <row r="163" spans="1:8" x14ac:dyDescent="0.25">
      <c r="A163">
        <v>148</v>
      </c>
      <c r="B163">
        <v>85</v>
      </c>
      <c r="C163">
        <v>30</v>
      </c>
      <c r="D163">
        <v>10</v>
      </c>
      <c r="E163">
        <v>0</v>
      </c>
      <c r="F163">
        <v>50.79</v>
      </c>
      <c r="G163">
        <v>-18.97</v>
      </c>
      <c r="H163">
        <v>-36.5</v>
      </c>
    </row>
    <row r="164" spans="1:8" x14ac:dyDescent="0.25">
      <c r="A164">
        <v>149</v>
      </c>
      <c r="B164">
        <v>85</v>
      </c>
      <c r="C164">
        <v>40</v>
      </c>
      <c r="D164">
        <v>10</v>
      </c>
      <c r="E164">
        <v>0</v>
      </c>
      <c r="F164">
        <v>47.46</v>
      </c>
      <c r="G164">
        <v>-13.02</v>
      </c>
      <c r="H164">
        <v>-36.46</v>
      </c>
    </row>
    <row r="165" spans="1:8" x14ac:dyDescent="0.25">
      <c r="A165">
        <v>150</v>
      </c>
      <c r="B165">
        <v>85</v>
      </c>
      <c r="C165">
        <v>55</v>
      </c>
      <c r="D165">
        <v>10</v>
      </c>
      <c r="E165">
        <v>0</v>
      </c>
      <c r="F165">
        <v>42.31</v>
      </c>
      <c r="G165">
        <v>-3.57</v>
      </c>
      <c r="H165">
        <v>-36.479999999999997</v>
      </c>
    </row>
    <row r="166" spans="1:8" x14ac:dyDescent="0.25">
      <c r="A166">
        <v>151</v>
      </c>
      <c r="B166">
        <v>85</v>
      </c>
      <c r="C166">
        <v>70</v>
      </c>
      <c r="D166">
        <v>10</v>
      </c>
      <c r="E166">
        <v>0</v>
      </c>
      <c r="F166">
        <v>36.96</v>
      </c>
      <c r="G166">
        <v>6.69</v>
      </c>
      <c r="H166">
        <v>-36.47</v>
      </c>
    </row>
    <row r="167" spans="1:8" x14ac:dyDescent="0.25">
      <c r="A167">
        <v>152</v>
      </c>
      <c r="B167">
        <v>85</v>
      </c>
      <c r="C167">
        <v>85</v>
      </c>
      <c r="D167">
        <v>10</v>
      </c>
      <c r="E167">
        <v>0</v>
      </c>
      <c r="F167">
        <v>31.9</v>
      </c>
      <c r="G167">
        <v>16.78</v>
      </c>
      <c r="H167">
        <v>-36.49</v>
      </c>
    </row>
    <row r="168" spans="1:8" x14ac:dyDescent="0.25">
      <c r="A168">
        <v>153</v>
      </c>
      <c r="B168">
        <v>85</v>
      </c>
      <c r="C168">
        <v>100</v>
      </c>
      <c r="D168">
        <v>10</v>
      </c>
      <c r="E168">
        <v>0</v>
      </c>
      <c r="F168">
        <v>28.23</v>
      </c>
      <c r="G168">
        <v>24.12</v>
      </c>
      <c r="H168">
        <v>-36.53</v>
      </c>
    </row>
    <row r="169" spans="1:8" x14ac:dyDescent="0.25">
      <c r="A169">
        <v>154</v>
      </c>
      <c r="B169">
        <v>100</v>
      </c>
      <c r="C169">
        <v>0</v>
      </c>
      <c r="D169">
        <v>10</v>
      </c>
      <c r="E169">
        <v>0</v>
      </c>
      <c r="F169">
        <v>55.58</v>
      </c>
      <c r="G169">
        <v>-41.34</v>
      </c>
      <c r="H169">
        <v>-42.01</v>
      </c>
    </row>
    <row r="170" spans="1:8" x14ac:dyDescent="0.25">
      <c r="A170">
        <v>155</v>
      </c>
      <c r="B170">
        <v>100</v>
      </c>
      <c r="C170">
        <v>10</v>
      </c>
      <c r="D170">
        <v>10</v>
      </c>
      <c r="E170">
        <v>0</v>
      </c>
      <c r="F170">
        <v>52.72</v>
      </c>
      <c r="G170">
        <v>-36.090000000000003</v>
      </c>
      <c r="H170">
        <v>-41.75</v>
      </c>
    </row>
    <row r="171" spans="1:8" x14ac:dyDescent="0.25">
      <c r="A171">
        <v>156</v>
      </c>
      <c r="B171">
        <v>100</v>
      </c>
      <c r="C171">
        <v>20</v>
      </c>
      <c r="D171">
        <v>10</v>
      </c>
      <c r="E171">
        <v>0</v>
      </c>
      <c r="F171">
        <v>49.84</v>
      </c>
      <c r="G171">
        <v>-30.84</v>
      </c>
      <c r="H171">
        <v>-41.54</v>
      </c>
    </row>
    <row r="172" spans="1:8" x14ac:dyDescent="0.25">
      <c r="A172">
        <v>157</v>
      </c>
      <c r="B172">
        <v>100</v>
      </c>
      <c r="C172">
        <v>30</v>
      </c>
      <c r="D172">
        <v>10</v>
      </c>
      <c r="E172">
        <v>0</v>
      </c>
      <c r="F172">
        <v>46.82</v>
      </c>
      <c r="G172">
        <v>-25.27</v>
      </c>
      <c r="H172">
        <v>-41.35</v>
      </c>
    </row>
    <row r="173" spans="1:8" x14ac:dyDescent="0.25">
      <c r="A173">
        <v>158</v>
      </c>
      <c r="B173">
        <v>100</v>
      </c>
      <c r="C173">
        <v>40</v>
      </c>
      <c r="D173">
        <v>10</v>
      </c>
      <c r="E173">
        <v>0</v>
      </c>
      <c r="F173">
        <v>43.69</v>
      </c>
      <c r="G173">
        <v>-19.36</v>
      </c>
      <c r="H173">
        <v>-41.18</v>
      </c>
    </row>
    <row r="174" spans="1:8" x14ac:dyDescent="0.25">
      <c r="A174">
        <v>159</v>
      </c>
      <c r="B174">
        <v>100</v>
      </c>
      <c r="C174">
        <v>55</v>
      </c>
      <c r="D174">
        <v>10</v>
      </c>
      <c r="E174">
        <v>0</v>
      </c>
      <c r="F174">
        <v>38.86</v>
      </c>
      <c r="G174">
        <v>-10.09</v>
      </c>
      <c r="H174">
        <v>-41.05</v>
      </c>
    </row>
    <row r="175" spans="1:8" x14ac:dyDescent="0.25">
      <c r="A175">
        <v>160</v>
      </c>
      <c r="B175">
        <v>100</v>
      </c>
      <c r="C175">
        <v>70</v>
      </c>
      <c r="D175">
        <v>10</v>
      </c>
      <c r="E175">
        <v>0</v>
      </c>
      <c r="F175">
        <v>33.81</v>
      </c>
      <c r="G175">
        <v>-0.11</v>
      </c>
      <c r="H175">
        <v>-41.03</v>
      </c>
    </row>
    <row r="176" spans="1:8" x14ac:dyDescent="0.25">
      <c r="A176">
        <v>161</v>
      </c>
      <c r="B176">
        <v>100</v>
      </c>
      <c r="C176">
        <v>85</v>
      </c>
      <c r="D176">
        <v>10</v>
      </c>
      <c r="E176">
        <v>0</v>
      </c>
      <c r="F176">
        <v>28.96</v>
      </c>
      <c r="G176">
        <v>9.6999999999999993</v>
      </c>
      <c r="H176">
        <v>-41.16</v>
      </c>
    </row>
    <row r="177" spans="1:8" x14ac:dyDescent="0.25">
      <c r="A177">
        <v>162</v>
      </c>
      <c r="B177">
        <v>100</v>
      </c>
      <c r="C177">
        <v>100</v>
      </c>
      <c r="D177">
        <v>10</v>
      </c>
      <c r="E177">
        <v>0</v>
      </c>
      <c r="F177">
        <v>25.29</v>
      </c>
      <c r="G177">
        <v>17</v>
      </c>
      <c r="H177">
        <v>-41.33</v>
      </c>
    </row>
    <row r="178" spans="1:8" x14ac:dyDescent="0.25">
      <c r="A178">
        <v>163</v>
      </c>
      <c r="B178">
        <v>0</v>
      </c>
      <c r="C178">
        <v>0</v>
      </c>
      <c r="D178">
        <v>20</v>
      </c>
      <c r="E178">
        <v>0</v>
      </c>
      <c r="F178">
        <v>93.49</v>
      </c>
      <c r="G178">
        <v>-0.71</v>
      </c>
      <c r="H178">
        <v>13.36</v>
      </c>
    </row>
    <row r="179" spans="1:8" x14ac:dyDescent="0.25">
      <c r="A179">
        <v>164</v>
      </c>
      <c r="B179">
        <v>0</v>
      </c>
      <c r="C179">
        <v>10</v>
      </c>
      <c r="D179">
        <v>20</v>
      </c>
      <c r="E179">
        <v>0</v>
      </c>
      <c r="F179">
        <v>88.6</v>
      </c>
      <c r="G179">
        <v>6.01</v>
      </c>
      <c r="H179">
        <v>11.51</v>
      </c>
    </row>
    <row r="180" spans="1:8" x14ac:dyDescent="0.25">
      <c r="A180">
        <v>165</v>
      </c>
      <c r="B180">
        <v>0</v>
      </c>
      <c r="C180">
        <v>20</v>
      </c>
      <c r="D180">
        <v>20</v>
      </c>
      <c r="E180">
        <v>0</v>
      </c>
      <c r="F180">
        <v>83.95</v>
      </c>
      <c r="G180">
        <v>12.54</v>
      </c>
      <c r="H180">
        <v>9.9</v>
      </c>
    </row>
    <row r="181" spans="1:8" x14ac:dyDescent="0.25">
      <c r="A181">
        <v>166</v>
      </c>
      <c r="B181">
        <v>0</v>
      </c>
      <c r="C181">
        <v>30</v>
      </c>
      <c r="D181">
        <v>20</v>
      </c>
      <c r="E181">
        <v>0</v>
      </c>
      <c r="F181">
        <v>79.17</v>
      </c>
      <c r="G181">
        <v>19.48</v>
      </c>
      <c r="H181">
        <v>8.43</v>
      </c>
    </row>
    <row r="182" spans="1:8" x14ac:dyDescent="0.25">
      <c r="A182">
        <v>167</v>
      </c>
      <c r="B182">
        <v>0</v>
      </c>
      <c r="C182">
        <v>40</v>
      </c>
      <c r="D182">
        <v>20</v>
      </c>
      <c r="E182">
        <v>0</v>
      </c>
      <c r="F182">
        <v>74.38</v>
      </c>
      <c r="G182">
        <v>26.78</v>
      </c>
      <c r="H182">
        <v>7.27</v>
      </c>
    </row>
    <row r="183" spans="1:8" x14ac:dyDescent="0.25">
      <c r="A183">
        <v>168</v>
      </c>
      <c r="B183">
        <v>0</v>
      </c>
      <c r="C183">
        <v>55</v>
      </c>
      <c r="D183">
        <v>20</v>
      </c>
      <c r="E183">
        <v>0</v>
      </c>
      <c r="F183">
        <v>67.09</v>
      </c>
      <c r="G183">
        <v>38.450000000000003</v>
      </c>
      <c r="H183">
        <v>5.8</v>
      </c>
    </row>
    <row r="184" spans="1:8" x14ac:dyDescent="0.25">
      <c r="A184">
        <v>169</v>
      </c>
      <c r="B184">
        <v>0</v>
      </c>
      <c r="C184">
        <v>70</v>
      </c>
      <c r="D184">
        <v>20</v>
      </c>
      <c r="E184">
        <v>0</v>
      </c>
      <c r="F184">
        <v>59.91</v>
      </c>
      <c r="G184">
        <v>51.04</v>
      </c>
      <c r="H184">
        <v>5.29</v>
      </c>
    </row>
    <row r="185" spans="1:8" x14ac:dyDescent="0.25">
      <c r="A185">
        <v>170</v>
      </c>
      <c r="B185">
        <v>0</v>
      </c>
      <c r="C185">
        <v>85</v>
      </c>
      <c r="D185">
        <v>20</v>
      </c>
      <c r="E185">
        <v>0</v>
      </c>
      <c r="F185">
        <v>53.21</v>
      </c>
      <c r="G185">
        <v>63.72</v>
      </c>
      <c r="H185">
        <v>5.47</v>
      </c>
    </row>
    <row r="186" spans="1:8" x14ac:dyDescent="0.25">
      <c r="A186">
        <v>171</v>
      </c>
      <c r="B186">
        <v>0</v>
      </c>
      <c r="C186">
        <v>100</v>
      </c>
      <c r="D186">
        <v>20</v>
      </c>
      <c r="E186">
        <v>0</v>
      </c>
      <c r="F186">
        <v>48.47</v>
      </c>
      <c r="G186">
        <v>73.14</v>
      </c>
      <c r="H186">
        <v>5.87</v>
      </c>
    </row>
    <row r="187" spans="1:8" x14ac:dyDescent="0.25">
      <c r="A187">
        <v>172</v>
      </c>
      <c r="B187">
        <v>10</v>
      </c>
      <c r="C187">
        <v>0</v>
      </c>
      <c r="D187">
        <v>20</v>
      </c>
      <c r="E187">
        <v>0</v>
      </c>
      <c r="F187">
        <v>89.58</v>
      </c>
      <c r="G187">
        <v>-4.5599999999999996</v>
      </c>
      <c r="H187">
        <v>8.31</v>
      </c>
    </row>
    <row r="188" spans="1:8" x14ac:dyDescent="0.25">
      <c r="A188">
        <v>173</v>
      </c>
      <c r="B188">
        <v>10</v>
      </c>
      <c r="C188">
        <v>10</v>
      </c>
      <c r="D188">
        <v>20</v>
      </c>
      <c r="E188">
        <v>0</v>
      </c>
      <c r="F188">
        <v>84.92</v>
      </c>
      <c r="G188">
        <v>1.26</v>
      </c>
      <c r="H188">
        <v>6.76</v>
      </c>
    </row>
    <row r="189" spans="1:8" x14ac:dyDescent="0.25">
      <c r="A189">
        <v>174</v>
      </c>
      <c r="B189">
        <v>10</v>
      </c>
      <c r="C189">
        <v>20</v>
      </c>
      <c r="D189">
        <v>20</v>
      </c>
      <c r="E189">
        <v>0</v>
      </c>
      <c r="F189">
        <v>80.27</v>
      </c>
      <c r="G189">
        <v>7.86</v>
      </c>
      <c r="H189">
        <v>5.16</v>
      </c>
    </row>
    <row r="190" spans="1:8" x14ac:dyDescent="0.25">
      <c r="A190">
        <v>175</v>
      </c>
      <c r="B190">
        <v>10</v>
      </c>
      <c r="C190">
        <v>30</v>
      </c>
      <c r="D190">
        <v>20</v>
      </c>
      <c r="E190">
        <v>0</v>
      </c>
      <c r="F190">
        <v>75.55</v>
      </c>
      <c r="G190">
        <v>14.84</v>
      </c>
      <c r="H190">
        <v>3.71</v>
      </c>
    </row>
    <row r="191" spans="1:8" x14ac:dyDescent="0.25">
      <c r="A191">
        <v>176</v>
      </c>
      <c r="B191">
        <v>10</v>
      </c>
      <c r="C191">
        <v>40</v>
      </c>
      <c r="D191">
        <v>20</v>
      </c>
      <c r="E191">
        <v>0</v>
      </c>
      <c r="F191">
        <v>70.83</v>
      </c>
      <c r="G191">
        <v>22.2</v>
      </c>
      <c r="H191">
        <v>2.5499999999999998</v>
      </c>
    </row>
    <row r="192" spans="1:8" x14ac:dyDescent="0.25">
      <c r="A192">
        <v>177</v>
      </c>
      <c r="B192">
        <v>10</v>
      </c>
      <c r="C192">
        <v>55</v>
      </c>
      <c r="D192">
        <v>20</v>
      </c>
      <c r="E192">
        <v>0</v>
      </c>
      <c r="F192">
        <v>63.81</v>
      </c>
      <c r="G192">
        <v>33.69</v>
      </c>
      <c r="H192">
        <v>1.21</v>
      </c>
    </row>
    <row r="193" spans="1:8" x14ac:dyDescent="0.25">
      <c r="A193">
        <v>178</v>
      </c>
      <c r="B193">
        <v>10</v>
      </c>
      <c r="C193">
        <v>70</v>
      </c>
      <c r="D193">
        <v>20</v>
      </c>
      <c r="E193">
        <v>0</v>
      </c>
      <c r="F193">
        <v>56.83</v>
      </c>
      <c r="G193">
        <v>46.16</v>
      </c>
      <c r="H193">
        <v>0.64</v>
      </c>
    </row>
    <row r="194" spans="1:8" x14ac:dyDescent="0.25">
      <c r="A194">
        <v>179</v>
      </c>
      <c r="B194">
        <v>10</v>
      </c>
      <c r="C194">
        <v>85</v>
      </c>
      <c r="D194">
        <v>20</v>
      </c>
      <c r="E194">
        <v>0</v>
      </c>
      <c r="F194">
        <v>50.47</v>
      </c>
      <c r="G194">
        <v>58.34</v>
      </c>
      <c r="H194">
        <v>0.77</v>
      </c>
    </row>
    <row r="195" spans="1:8" x14ac:dyDescent="0.25">
      <c r="A195">
        <v>180</v>
      </c>
      <c r="B195">
        <v>10</v>
      </c>
      <c r="C195">
        <v>100</v>
      </c>
      <c r="D195">
        <v>20</v>
      </c>
      <c r="E195">
        <v>0</v>
      </c>
      <c r="F195">
        <v>46</v>
      </c>
      <c r="G195">
        <v>67.290000000000006</v>
      </c>
      <c r="H195">
        <v>1.1100000000000001</v>
      </c>
    </row>
    <row r="196" spans="1:8" x14ac:dyDescent="0.25">
      <c r="A196">
        <v>181</v>
      </c>
      <c r="B196">
        <v>20</v>
      </c>
      <c r="C196">
        <v>0</v>
      </c>
      <c r="D196">
        <v>20</v>
      </c>
      <c r="E196">
        <v>0</v>
      </c>
      <c r="F196">
        <v>85.76</v>
      </c>
      <c r="G196">
        <v>-8.3800000000000008</v>
      </c>
      <c r="H196">
        <v>3.36</v>
      </c>
    </row>
    <row r="197" spans="1:8" x14ac:dyDescent="0.25">
      <c r="A197">
        <v>182</v>
      </c>
      <c r="B197">
        <v>20</v>
      </c>
      <c r="C197">
        <v>10</v>
      </c>
      <c r="D197">
        <v>20</v>
      </c>
      <c r="E197">
        <v>0</v>
      </c>
      <c r="F197">
        <v>81.12</v>
      </c>
      <c r="G197">
        <v>-2.89</v>
      </c>
      <c r="H197">
        <v>1.72</v>
      </c>
    </row>
    <row r="198" spans="1:8" x14ac:dyDescent="0.25">
      <c r="A198">
        <v>183</v>
      </c>
      <c r="B198">
        <v>20</v>
      </c>
      <c r="C198">
        <v>20</v>
      </c>
      <c r="D198">
        <v>20</v>
      </c>
      <c r="E198">
        <v>0</v>
      </c>
      <c r="F198">
        <v>76.650000000000006</v>
      </c>
      <c r="G198">
        <v>3.52</v>
      </c>
      <c r="H198">
        <v>0.21</v>
      </c>
    </row>
    <row r="199" spans="1:8" x14ac:dyDescent="0.25">
      <c r="A199">
        <v>184</v>
      </c>
      <c r="B199">
        <v>20</v>
      </c>
      <c r="C199">
        <v>30</v>
      </c>
      <c r="D199">
        <v>20</v>
      </c>
      <c r="E199">
        <v>0</v>
      </c>
      <c r="F199">
        <v>72.09</v>
      </c>
      <c r="G199">
        <v>10.3</v>
      </c>
      <c r="H199">
        <v>-1.1100000000000001</v>
      </c>
    </row>
    <row r="200" spans="1:8" x14ac:dyDescent="0.25">
      <c r="A200">
        <v>185</v>
      </c>
      <c r="B200">
        <v>20</v>
      </c>
      <c r="C200">
        <v>40</v>
      </c>
      <c r="D200">
        <v>20</v>
      </c>
      <c r="E200">
        <v>0</v>
      </c>
      <c r="F200">
        <v>67.459999999999994</v>
      </c>
      <c r="G200">
        <v>17.52</v>
      </c>
      <c r="H200">
        <v>-2.21</v>
      </c>
    </row>
    <row r="201" spans="1:8" x14ac:dyDescent="0.25">
      <c r="A201">
        <v>186</v>
      </c>
      <c r="B201">
        <v>20</v>
      </c>
      <c r="C201">
        <v>55</v>
      </c>
      <c r="D201">
        <v>20</v>
      </c>
      <c r="E201">
        <v>0</v>
      </c>
      <c r="F201">
        <v>60.64</v>
      </c>
      <c r="G201">
        <v>28.77</v>
      </c>
      <c r="H201">
        <v>-3.46</v>
      </c>
    </row>
    <row r="202" spans="1:8" x14ac:dyDescent="0.25">
      <c r="A202">
        <v>187</v>
      </c>
      <c r="B202">
        <v>20</v>
      </c>
      <c r="C202">
        <v>70</v>
      </c>
      <c r="D202">
        <v>20</v>
      </c>
      <c r="E202">
        <v>0</v>
      </c>
      <c r="F202">
        <v>53.84</v>
      </c>
      <c r="G202">
        <v>41.11</v>
      </c>
      <c r="H202">
        <v>-4.0199999999999996</v>
      </c>
    </row>
    <row r="203" spans="1:8" x14ac:dyDescent="0.25">
      <c r="A203">
        <v>188</v>
      </c>
      <c r="B203">
        <v>20</v>
      </c>
      <c r="C203">
        <v>85</v>
      </c>
      <c r="D203">
        <v>20</v>
      </c>
      <c r="E203">
        <v>0</v>
      </c>
      <c r="F203">
        <v>47.77</v>
      </c>
      <c r="G203">
        <v>52.88</v>
      </c>
      <c r="H203">
        <v>-3.96</v>
      </c>
    </row>
    <row r="204" spans="1:8" x14ac:dyDescent="0.25">
      <c r="A204">
        <v>189</v>
      </c>
      <c r="B204">
        <v>20</v>
      </c>
      <c r="C204">
        <v>100</v>
      </c>
      <c r="D204">
        <v>20</v>
      </c>
      <c r="E204">
        <v>0</v>
      </c>
      <c r="F204">
        <v>43.53</v>
      </c>
      <c r="G204">
        <v>61.43</v>
      </c>
      <c r="H204">
        <v>-3.71</v>
      </c>
    </row>
    <row r="205" spans="1:8" x14ac:dyDescent="0.25">
      <c r="A205">
        <v>190</v>
      </c>
      <c r="B205">
        <v>30</v>
      </c>
      <c r="C205">
        <v>0</v>
      </c>
      <c r="D205">
        <v>20</v>
      </c>
      <c r="E205">
        <v>0</v>
      </c>
      <c r="F205">
        <v>81.88</v>
      </c>
      <c r="G205">
        <v>-12.4</v>
      </c>
      <c r="H205">
        <v>-1.63</v>
      </c>
    </row>
    <row r="206" spans="1:8" x14ac:dyDescent="0.25">
      <c r="A206">
        <v>191</v>
      </c>
      <c r="B206">
        <v>30</v>
      </c>
      <c r="C206">
        <v>10</v>
      </c>
      <c r="D206">
        <v>20</v>
      </c>
      <c r="E206">
        <v>0</v>
      </c>
      <c r="F206">
        <v>77.489999999999995</v>
      </c>
      <c r="G206">
        <v>-6.95</v>
      </c>
      <c r="H206">
        <v>-3.06</v>
      </c>
    </row>
    <row r="207" spans="1:8" x14ac:dyDescent="0.25">
      <c r="A207">
        <v>192</v>
      </c>
      <c r="B207">
        <v>30</v>
      </c>
      <c r="C207">
        <v>20</v>
      </c>
      <c r="D207">
        <v>20</v>
      </c>
      <c r="E207">
        <v>0</v>
      </c>
      <c r="F207">
        <v>73.180000000000007</v>
      </c>
      <c r="G207">
        <v>-0.77</v>
      </c>
      <c r="H207">
        <v>-4.45</v>
      </c>
    </row>
    <row r="208" spans="1:8" x14ac:dyDescent="0.25">
      <c r="A208">
        <v>193</v>
      </c>
      <c r="B208">
        <v>30</v>
      </c>
      <c r="C208">
        <v>30</v>
      </c>
      <c r="D208">
        <v>20</v>
      </c>
      <c r="E208">
        <v>0</v>
      </c>
      <c r="F208">
        <v>68.8</v>
      </c>
      <c r="G208">
        <v>5.86</v>
      </c>
      <c r="H208">
        <v>-5.68</v>
      </c>
    </row>
    <row r="209" spans="1:8" x14ac:dyDescent="0.25">
      <c r="A209">
        <v>194</v>
      </c>
      <c r="B209">
        <v>30</v>
      </c>
      <c r="C209">
        <v>40</v>
      </c>
      <c r="D209">
        <v>20</v>
      </c>
      <c r="E209">
        <v>0</v>
      </c>
      <c r="F209">
        <v>64.34</v>
      </c>
      <c r="G209">
        <v>12.9</v>
      </c>
      <c r="H209">
        <v>-6.7</v>
      </c>
    </row>
    <row r="210" spans="1:8" x14ac:dyDescent="0.25">
      <c r="A210">
        <v>195</v>
      </c>
      <c r="B210">
        <v>30</v>
      </c>
      <c r="C210">
        <v>55</v>
      </c>
      <c r="D210">
        <v>20</v>
      </c>
      <c r="E210">
        <v>0</v>
      </c>
      <c r="F210">
        <v>57.77</v>
      </c>
      <c r="G210">
        <v>23.88</v>
      </c>
      <c r="H210">
        <v>-7.87</v>
      </c>
    </row>
    <row r="211" spans="1:8" x14ac:dyDescent="0.25">
      <c r="A211">
        <v>196</v>
      </c>
      <c r="B211">
        <v>30</v>
      </c>
      <c r="C211">
        <v>70</v>
      </c>
      <c r="D211">
        <v>20</v>
      </c>
      <c r="E211">
        <v>0</v>
      </c>
      <c r="F211">
        <v>51.19</v>
      </c>
      <c r="G211">
        <v>35.9</v>
      </c>
      <c r="H211">
        <v>-8.4600000000000009</v>
      </c>
    </row>
    <row r="212" spans="1:8" x14ac:dyDescent="0.25">
      <c r="A212">
        <v>197</v>
      </c>
      <c r="B212">
        <v>30</v>
      </c>
      <c r="C212">
        <v>85</v>
      </c>
      <c r="D212">
        <v>20</v>
      </c>
      <c r="E212">
        <v>0</v>
      </c>
      <c r="F212">
        <v>45.29</v>
      </c>
      <c r="G212">
        <v>47.4</v>
      </c>
      <c r="H212">
        <v>-8.4600000000000009</v>
      </c>
    </row>
    <row r="213" spans="1:8" x14ac:dyDescent="0.25">
      <c r="A213">
        <v>198</v>
      </c>
      <c r="B213">
        <v>30</v>
      </c>
      <c r="C213">
        <v>100</v>
      </c>
      <c r="D213">
        <v>20</v>
      </c>
      <c r="E213">
        <v>0</v>
      </c>
      <c r="F213">
        <v>41.17</v>
      </c>
      <c r="G213">
        <v>55.75</v>
      </c>
      <c r="H213">
        <v>-8.3000000000000007</v>
      </c>
    </row>
    <row r="214" spans="1:8" x14ac:dyDescent="0.25">
      <c r="A214">
        <v>199</v>
      </c>
      <c r="B214">
        <v>40</v>
      </c>
      <c r="C214">
        <v>0</v>
      </c>
      <c r="D214">
        <v>20</v>
      </c>
      <c r="E214">
        <v>0</v>
      </c>
      <c r="F214">
        <v>77.98</v>
      </c>
      <c r="G214">
        <v>-16.63</v>
      </c>
      <c r="H214">
        <v>-6.56</v>
      </c>
    </row>
    <row r="215" spans="1:8" x14ac:dyDescent="0.25">
      <c r="A215">
        <v>200</v>
      </c>
      <c r="B215">
        <v>40</v>
      </c>
      <c r="C215">
        <v>10</v>
      </c>
      <c r="D215">
        <v>20</v>
      </c>
      <c r="E215">
        <v>0</v>
      </c>
      <c r="F215">
        <v>73.89</v>
      </c>
      <c r="G215">
        <v>-10.98</v>
      </c>
      <c r="H215">
        <v>-7.69</v>
      </c>
    </row>
    <row r="216" spans="1:8" x14ac:dyDescent="0.25">
      <c r="A216">
        <v>201</v>
      </c>
      <c r="B216">
        <v>40</v>
      </c>
      <c r="C216">
        <v>20</v>
      </c>
      <c r="D216">
        <v>20</v>
      </c>
      <c r="E216">
        <v>0</v>
      </c>
      <c r="F216">
        <v>69.790000000000006</v>
      </c>
      <c r="G216">
        <v>-5.01</v>
      </c>
      <c r="H216">
        <v>-8.86</v>
      </c>
    </row>
    <row r="217" spans="1:8" x14ac:dyDescent="0.25">
      <c r="A217">
        <v>202</v>
      </c>
      <c r="B217">
        <v>40</v>
      </c>
      <c r="C217">
        <v>30</v>
      </c>
      <c r="D217">
        <v>20</v>
      </c>
      <c r="E217">
        <v>0</v>
      </c>
      <c r="F217">
        <v>65.59</v>
      </c>
      <c r="G217">
        <v>1.46</v>
      </c>
      <c r="H217">
        <v>-9.9499999999999993</v>
      </c>
    </row>
    <row r="218" spans="1:8" x14ac:dyDescent="0.25">
      <c r="A218">
        <v>203</v>
      </c>
      <c r="B218">
        <v>40</v>
      </c>
      <c r="C218">
        <v>40</v>
      </c>
      <c r="D218">
        <v>20</v>
      </c>
      <c r="E218">
        <v>0</v>
      </c>
      <c r="F218">
        <v>61.33</v>
      </c>
      <c r="G218">
        <v>8.2899999999999991</v>
      </c>
      <c r="H218">
        <v>-10.95</v>
      </c>
    </row>
    <row r="219" spans="1:8" x14ac:dyDescent="0.25">
      <c r="A219">
        <v>204</v>
      </c>
      <c r="B219">
        <v>40</v>
      </c>
      <c r="C219">
        <v>55</v>
      </c>
      <c r="D219">
        <v>20</v>
      </c>
      <c r="E219">
        <v>0</v>
      </c>
      <c r="F219">
        <v>54.99</v>
      </c>
      <c r="G219">
        <v>19</v>
      </c>
      <c r="H219">
        <v>-12.08</v>
      </c>
    </row>
    <row r="220" spans="1:8" x14ac:dyDescent="0.25">
      <c r="A220">
        <v>205</v>
      </c>
      <c r="B220">
        <v>40</v>
      </c>
      <c r="C220">
        <v>70</v>
      </c>
      <c r="D220">
        <v>20</v>
      </c>
      <c r="E220">
        <v>0</v>
      </c>
      <c r="F220">
        <v>48.62</v>
      </c>
      <c r="G220">
        <v>30.73</v>
      </c>
      <c r="H220">
        <v>-12.66</v>
      </c>
    </row>
    <row r="221" spans="1:8" x14ac:dyDescent="0.25">
      <c r="A221">
        <v>206</v>
      </c>
      <c r="B221">
        <v>40</v>
      </c>
      <c r="C221">
        <v>85</v>
      </c>
      <c r="D221">
        <v>20</v>
      </c>
      <c r="E221">
        <v>0</v>
      </c>
      <c r="F221">
        <v>42.88</v>
      </c>
      <c r="G221">
        <v>41.95</v>
      </c>
      <c r="H221">
        <v>-12.77</v>
      </c>
    </row>
    <row r="222" spans="1:8" x14ac:dyDescent="0.25">
      <c r="A222">
        <v>207</v>
      </c>
      <c r="B222">
        <v>40</v>
      </c>
      <c r="C222">
        <v>100</v>
      </c>
      <c r="D222">
        <v>20</v>
      </c>
      <c r="E222">
        <v>0</v>
      </c>
      <c r="F222">
        <v>38.840000000000003</v>
      </c>
      <c r="G222">
        <v>50.09</v>
      </c>
      <c r="H222">
        <v>-12.65</v>
      </c>
    </row>
    <row r="223" spans="1:8" x14ac:dyDescent="0.25">
      <c r="A223">
        <v>208</v>
      </c>
      <c r="B223">
        <v>55</v>
      </c>
      <c r="C223">
        <v>0</v>
      </c>
      <c r="D223">
        <v>20</v>
      </c>
      <c r="E223">
        <v>0</v>
      </c>
      <c r="F223">
        <v>72.02</v>
      </c>
      <c r="G223">
        <v>-23.44</v>
      </c>
      <c r="H223">
        <v>-14.07</v>
      </c>
    </row>
    <row r="224" spans="1:8" x14ac:dyDescent="0.25">
      <c r="A224">
        <v>209</v>
      </c>
      <c r="B224">
        <v>55</v>
      </c>
      <c r="C224">
        <v>10</v>
      </c>
      <c r="D224">
        <v>20</v>
      </c>
      <c r="E224">
        <v>0</v>
      </c>
      <c r="F224">
        <v>68.34</v>
      </c>
      <c r="G224">
        <v>-17.670000000000002</v>
      </c>
      <c r="H224">
        <v>-14.76</v>
      </c>
    </row>
    <row r="225" spans="1:8" x14ac:dyDescent="0.25">
      <c r="A225">
        <v>210</v>
      </c>
      <c r="B225">
        <v>55</v>
      </c>
      <c r="C225">
        <v>20</v>
      </c>
      <c r="D225">
        <v>20</v>
      </c>
      <c r="E225">
        <v>0</v>
      </c>
      <c r="F225">
        <v>64.62</v>
      </c>
      <c r="G225">
        <v>-11.84</v>
      </c>
      <c r="H225">
        <v>-15.57</v>
      </c>
    </row>
    <row r="226" spans="1:8" x14ac:dyDescent="0.25">
      <c r="A226">
        <v>211</v>
      </c>
      <c r="B226">
        <v>55</v>
      </c>
      <c r="C226">
        <v>30</v>
      </c>
      <c r="D226">
        <v>20</v>
      </c>
      <c r="E226">
        <v>0</v>
      </c>
      <c r="F226">
        <v>60.7</v>
      </c>
      <c r="G226">
        <v>-5.58</v>
      </c>
      <c r="H226">
        <v>-16.48</v>
      </c>
    </row>
    <row r="227" spans="1:8" x14ac:dyDescent="0.25">
      <c r="A227">
        <v>212</v>
      </c>
      <c r="B227">
        <v>55</v>
      </c>
      <c r="C227">
        <v>40</v>
      </c>
      <c r="D227">
        <v>20</v>
      </c>
      <c r="E227">
        <v>0</v>
      </c>
      <c r="F227">
        <v>56.72</v>
      </c>
      <c r="G227">
        <v>1.03</v>
      </c>
      <c r="H227">
        <v>-17.32</v>
      </c>
    </row>
    <row r="228" spans="1:8" x14ac:dyDescent="0.25">
      <c r="A228">
        <v>213</v>
      </c>
      <c r="B228">
        <v>55</v>
      </c>
      <c r="C228">
        <v>55</v>
      </c>
      <c r="D228">
        <v>20</v>
      </c>
      <c r="E228">
        <v>0</v>
      </c>
      <c r="F228">
        <v>50.75</v>
      </c>
      <c r="G228">
        <v>11.36</v>
      </c>
      <c r="H228">
        <v>-18.34</v>
      </c>
    </row>
    <row r="229" spans="1:8" x14ac:dyDescent="0.25">
      <c r="A229">
        <v>214</v>
      </c>
      <c r="B229">
        <v>55</v>
      </c>
      <c r="C229">
        <v>70</v>
      </c>
      <c r="D229">
        <v>20</v>
      </c>
      <c r="E229">
        <v>0</v>
      </c>
      <c r="F229">
        <v>44.68</v>
      </c>
      <c r="G229">
        <v>22.66</v>
      </c>
      <c r="H229">
        <v>-18.96</v>
      </c>
    </row>
    <row r="230" spans="1:8" x14ac:dyDescent="0.25">
      <c r="A230">
        <v>215</v>
      </c>
      <c r="B230">
        <v>55</v>
      </c>
      <c r="C230">
        <v>85</v>
      </c>
      <c r="D230">
        <v>20</v>
      </c>
      <c r="E230">
        <v>0</v>
      </c>
      <c r="F230">
        <v>39.21</v>
      </c>
      <c r="G230">
        <v>33.42</v>
      </c>
      <c r="H230">
        <v>-19.170000000000002</v>
      </c>
    </row>
    <row r="231" spans="1:8" x14ac:dyDescent="0.25">
      <c r="A231">
        <v>216</v>
      </c>
      <c r="B231">
        <v>55</v>
      </c>
      <c r="C231">
        <v>100</v>
      </c>
      <c r="D231">
        <v>20</v>
      </c>
      <c r="E231">
        <v>0</v>
      </c>
      <c r="F231">
        <v>35.33</v>
      </c>
      <c r="G231">
        <v>41.26</v>
      </c>
      <c r="H231">
        <v>-19.2</v>
      </c>
    </row>
    <row r="232" spans="1:8" x14ac:dyDescent="0.25">
      <c r="A232">
        <v>217</v>
      </c>
      <c r="B232">
        <v>70</v>
      </c>
      <c r="C232">
        <v>0</v>
      </c>
      <c r="D232">
        <v>20</v>
      </c>
      <c r="E232">
        <v>0</v>
      </c>
      <c r="F232">
        <v>65.84</v>
      </c>
      <c r="G232">
        <v>-31.02</v>
      </c>
      <c r="H232">
        <v>-21.67</v>
      </c>
    </row>
    <row r="233" spans="1:8" x14ac:dyDescent="0.25">
      <c r="A233">
        <v>218</v>
      </c>
      <c r="B233">
        <v>70</v>
      </c>
      <c r="C233">
        <v>10</v>
      </c>
      <c r="D233">
        <v>20</v>
      </c>
      <c r="E233">
        <v>0</v>
      </c>
      <c r="F233">
        <v>62.55</v>
      </c>
      <c r="G233">
        <v>-25.2</v>
      </c>
      <c r="H233">
        <v>-21.99</v>
      </c>
    </row>
    <row r="234" spans="1:8" x14ac:dyDescent="0.25">
      <c r="A234">
        <v>219</v>
      </c>
      <c r="B234">
        <v>70</v>
      </c>
      <c r="C234">
        <v>20</v>
      </c>
      <c r="D234">
        <v>20</v>
      </c>
      <c r="E234">
        <v>0</v>
      </c>
      <c r="F234">
        <v>59.22</v>
      </c>
      <c r="G234">
        <v>-19.440000000000001</v>
      </c>
      <c r="H234">
        <v>-22.46</v>
      </c>
    </row>
    <row r="235" spans="1:8" x14ac:dyDescent="0.25">
      <c r="A235">
        <v>220</v>
      </c>
      <c r="B235">
        <v>70</v>
      </c>
      <c r="C235">
        <v>30</v>
      </c>
      <c r="D235">
        <v>20</v>
      </c>
      <c r="E235">
        <v>0</v>
      </c>
      <c r="F235">
        <v>55.62</v>
      </c>
      <c r="G235">
        <v>-13.39</v>
      </c>
      <c r="H235">
        <v>-23.13</v>
      </c>
    </row>
    <row r="236" spans="1:8" x14ac:dyDescent="0.25">
      <c r="A236">
        <v>221</v>
      </c>
      <c r="B236">
        <v>70</v>
      </c>
      <c r="C236">
        <v>40</v>
      </c>
      <c r="D236">
        <v>20</v>
      </c>
      <c r="E236">
        <v>0</v>
      </c>
      <c r="F236">
        <v>51.94</v>
      </c>
      <c r="G236">
        <v>-7</v>
      </c>
      <c r="H236">
        <v>-23.78</v>
      </c>
    </row>
    <row r="237" spans="1:8" x14ac:dyDescent="0.25">
      <c r="A237">
        <v>222</v>
      </c>
      <c r="B237">
        <v>70</v>
      </c>
      <c r="C237">
        <v>55</v>
      </c>
      <c r="D237">
        <v>20</v>
      </c>
      <c r="E237">
        <v>0</v>
      </c>
      <c r="F237">
        <v>46.38</v>
      </c>
      <c r="G237">
        <v>3</v>
      </c>
      <c r="H237">
        <v>-24.59</v>
      </c>
    </row>
    <row r="238" spans="1:8" x14ac:dyDescent="0.25">
      <c r="A238">
        <v>223</v>
      </c>
      <c r="B238">
        <v>70</v>
      </c>
      <c r="C238">
        <v>70</v>
      </c>
      <c r="D238">
        <v>20</v>
      </c>
      <c r="E238">
        <v>0</v>
      </c>
      <c r="F238">
        <v>40.67</v>
      </c>
      <c r="G238">
        <v>13.95</v>
      </c>
      <c r="H238">
        <v>-25.15</v>
      </c>
    </row>
    <row r="239" spans="1:8" x14ac:dyDescent="0.25">
      <c r="A239">
        <v>224</v>
      </c>
      <c r="B239">
        <v>70</v>
      </c>
      <c r="C239">
        <v>85</v>
      </c>
      <c r="D239">
        <v>20</v>
      </c>
      <c r="E239">
        <v>0</v>
      </c>
      <c r="F239">
        <v>35.47</v>
      </c>
      <c r="G239">
        <v>24.29</v>
      </c>
      <c r="H239">
        <v>-25.5</v>
      </c>
    </row>
    <row r="240" spans="1:8" x14ac:dyDescent="0.25">
      <c r="A240">
        <v>225</v>
      </c>
      <c r="B240">
        <v>70</v>
      </c>
      <c r="C240">
        <v>100</v>
      </c>
      <c r="D240">
        <v>20</v>
      </c>
      <c r="E240">
        <v>0</v>
      </c>
      <c r="F240">
        <v>31.76</v>
      </c>
      <c r="G240">
        <v>31.78</v>
      </c>
      <c r="H240">
        <v>-25.66</v>
      </c>
    </row>
    <row r="241" spans="1:8" x14ac:dyDescent="0.25">
      <c r="A241">
        <v>226</v>
      </c>
      <c r="B241">
        <v>85</v>
      </c>
      <c r="C241">
        <v>0</v>
      </c>
      <c r="D241">
        <v>20</v>
      </c>
      <c r="E241">
        <v>0</v>
      </c>
      <c r="F241">
        <v>59.8</v>
      </c>
      <c r="G241">
        <v>-38.83</v>
      </c>
      <c r="H241">
        <v>-28.91</v>
      </c>
    </row>
    <row r="242" spans="1:8" x14ac:dyDescent="0.25">
      <c r="A242">
        <v>227</v>
      </c>
      <c r="B242">
        <v>85</v>
      </c>
      <c r="C242">
        <v>10</v>
      </c>
      <c r="D242">
        <v>20</v>
      </c>
      <c r="E242">
        <v>0</v>
      </c>
      <c r="F242">
        <v>56.76</v>
      </c>
      <c r="G242">
        <v>-33.24</v>
      </c>
      <c r="H242">
        <v>-29.12</v>
      </c>
    </row>
    <row r="243" spans="1:8" x14ac:dyDescent="0.25">
      <c r="A243">
        <v>228</v>
      </c>
      <c r="B243">
        <v>85</v>
      </c>
      <c r="C243">
        <v>20</v>
      </c>
      <c r="D243">
        <v>20</v>
      </c>
      <c r="E243">
        <v>0</v>
      </c>
      <c r="F243">
        <v>53.69</v>
      </c>
      <c r="G243">
        <v>-27.69</v>
      </c>
      <c r="H243">
        <v>-29.43</v>
      </c>
    </row>
    <row r="244" spans="1:8" x14ac:dyDescent="0.25">
      <c r="A244">
        <v>229</v>
      </c>
      <c r="B244">
        <v>85</v>
      </c>
      <c r="C244">
        <v>30</v>
      </c>
      <c r="D244">
        <v>20</v>
      </c>
      <c r="E244">
        <v>0</v>
      </c>
      <c r="F244">
        <v>50.41</v>
      </c>
      <c r="G244">
        <v>-21.79</v>
      </c>
      <c r="H244">
        <v>-29.84</v>
      </c>
    </row>
    <row r="245" spans="1:8" x14ac:dyDescent="0.25">
      <c r="A245">
        <v>230</v>
      </c>
      <c r="B245">
        <v>85</v>
      </c>
      <c r="C245">
        <v>40</v>
      </c>
      <c r="D245">
        <v>20</v>
      </c>
      <c r="E245">
        <v>0</v>
      </c>
      <c r="F245">
        <v>47.04</v>
      </c>
      <c r="G245">
        <v>-15.57</v>
      </c>
      <c r="H245">
        <v>-30.2</v>
      </c>
    </row>
    <row r="246" spans="1:8" x14ac:dyDescent="0.25">
      <c r="A246">
        <v>231</v>
      </c>
      <c r="B246">
        <v>85</v>
      </c>
      <c r="C246">
        <v>55</v>
      </c>
      <c r="D246">
        <v>20</v>
      </c>
      <c r="E246">
        <v>0</v>
      </c>
      <c r="F246">
        <v>41.92</v>
      </c>
      <c r="G246">
        <v>-5.86</v>
      </c>
      <c r="H246">
        <v>-30.77</v>
      </c>
    </row>
    <row r="247" spans="1:8" x14ac:dyDescent="0.25">
      <c r="A247">
        <v>232</v>
      </c>
      <c r="B247">
        <v>85</v>
      </c>
      <c r="C247">
        <v>70</v>
      </c>
      <c r="D247">
        <v>20</v>
      </c>
      <c r="E247">
        <v>0</v>
      </c>
      <c r="F247">
        <v>36.6</v>
      </c>
      <c r="G247">
        <v>4.68</v>
      </c>
      <c r="H247">
        <v>-31.29</v>
      </c>
    </row>
    <row r="248" spans="1:8" x14ac:dyDescent="0.25">
      <c r="A248">
        <v>233</v>
      </c>
      <c r="B248">
        <v>85</v>
      </c>
      <c r="C248">
        <v>85</v>
      </c>
      <c r="D248">
        <v>20</v>
      </c>
      <c r="E248">
        <v>0</v>
      </c>
      <c r="F248">
        <v>31.7</v>
      </c>
      <c r="G248">
        <v>14.79</v>
      </c>
      <c r="H248">
        <v>-31.68</v>
      </c>
    </row>
    <row r="249" spans="1:8" x14ac:dyDescent="0.25">
      <c r="A249">
        <v>234</v>
      </c>
      <c r="B249">
        <v>85</v>
      </c>
      <c r="C249">
        <v>100</v>
      </c>
      <c r="D249">
        <v>20</v>
      </c>
      <c r="E249">
        <v>0</v>
      </c>
      <c r="F249">
        <v>28.21</v>
      </c>
      <c r="G249">
        <v>22.01</v>
      </c>
      <c r="H249">
        <v>-31.95</v>
      </c>
    </row>
    <row r="250" spans="1:8" x14ac:dyDescent="0.25">
      <c r="A250">
        <v>235</v>
      </c>
      <c r="B250">
        <v>100</v>
      </c>
      <c r="C250">
        <v>0</v>
      </c>
      <c r="D250">
        <v>20</v>
      </c>
      <c r="E250">
        <v>0</v>
      </c>
      <c r="F250">
        <v>55.21</v>
      </c>
      <c r="G250">
        <v>-45.11</v>
      </c>
      <c r="H250">
        <v>-34.450000000000003</v>
      </c>
    </row>
    <row r="251" spans="1:8" x14ac:dyDescent="0.25">
      <c r="A251">
        <v>236</v>
      </c>
      <c r="B251">
        <v>100</v>
      </c>
      <c r="C251">
        <v>10</v>
      </c>
      <c r="D251">
        <v>20</v>
      </c>
      <c r="E251">
        <v>0</v>
      </c>
      <c r="F251">
        <v>52.34</v>
      </c>
      <c r="G251">
        <v>-39.729999999999997</v>
      </c>
      <c r="H251">
        <v>-34.5</v>
      </c>
    </row>
    <row r="252" spans="1:8" x14ac:dyDescent="0.25">
      <c r="A252">
        <v>237</v>
      </c>
      <c r="B252">
        <v>100</v>
      </c>
      <c r="C252">
        <v>20</v>
      </c>
      <c r="D252">
        <v>20</v>
      </c>
      <c r="E252">
        <v>0</v>
      </c>
      <c r="F252">
        <v>49.46</v>
      </c>
      <c r="G252">
        <v>-34.35</v>
      </c>
      <c r="H252">
        <v>-34.65</v>
      </c>
    </row>
    <row r="253" spans="1:8" x14ac:dyDescent="0.25">
      <c r="A253">
        <v>238</v>
      </c>
      <c r="B253">
        <v>100</v>
      </c>
      <c r="C253">
        <v>30</v>
      </c>
      <c r="D253">
        <v>20</v>
      </c>
      <c r="E253">
        <v>0</v>
      </c>
      <c r="F253">
        <v>46.43</v>
      </c>
      <c r="G253">
        <v>-28.55</v>
      </c>
      <c r="H253">
        <v>-34.840000000000003</v>
      </c>
    </row>
    <row r="254" spans="1:8" x14ac:dyDescent="0.25">
      <c r="A254">
        <v>239</v>
      </c>
      <c r="B254">
        <v>100</v>
      </c>
      <c r="C254">
        <v>40</v>
      </c>
      <c r="D254">
        <v>20</v>
      </c>
      <c r="E254">
        <v>0</v>
      </c>
      <c r="F254">
        <v>43.26</v>
      </c>
      <c r="G254">
        <v>-22.34</v>
      </c>
      <c r="H254">
        <v>-35.049999999999997</v>
      </c>
    </row>
    <row r="255" spans="1:8" x14ac:dyDescent="0.25">
      <c r="A255">
        <v>240</v>
      </c>
      <c r="B255">
        <v>100</v>
      </c>
      <c r="C255">
        <v>55</v>
      </c>
      <c r="D255">
        <v>20</v>
      </c>
      <c r="E255">
        <v>0</v>
      </c>
      <c r="F255">
        <v>38.47</v>
      </c>
      <c r="G255">
        <v>-12.81</v>
      </c>
      <c r="H255">
        <v>-35.44</v>
      </c>
    </row>
    <row r="256" spans="1:8" x14ac:dyDescent="0.25">
      <c r="A256">
        <v>241</v>
      </c>
      <c r="B256">
        <v>100</v>
      </c>
      <c r="C256">
        <v>70</v>
      </c>
      <c r="D256">
        <v>20</v>
      </c>
      <c r="E256">
        <v>0</v>
      </c>
      <c r="F256">
        <v>33.47</v>
      </c>
      <c r="G256">
        <v>-2.56</v>
      </c>
      <c r="H256">
        <v>-35.93</v>
      </c>
    </row>
    <row r="257" spans="1:8" x14ac:dyDescent="0.25">
      <c r="A257">
        <v>242</v>
      </c>
      <c r="B257">
        <v>100</v>
      </c>
      <c r="C257">
        <v>85</v>
      </c>
      <c r="D257">
        <v>20</v>
      </c>
      <c r="E257">
        <v>0</v>
      </c>
      <c r="F257">
        <v>28.8</v>
      </c>
      <c r="G257">
        <v>7.22</v>
      </c>
      <c r="H257">
        <v>-36.380000000000003</v>
      </c>
    </row>
    <row r="258" spans="1:8" x14ac:dyDescent="0.25">
      <c r="A258">
        <v>243</v>
      </c>
      <c r="B258">
        <v>100</v>
      </c>
      <c r="C258">
        <v>100</v>
      </c>
      <c r="D258">
        <v>20</v>
      </c>
      <c r="E258">
        <v>0</v>
      </c>
      <c r="F258">
        <v>25.42</v>
      </c>
      <c r="G258">
        <v>14.33</v>
      </c>
      <c r="H258">
        <v>-36.74</v>
      </c>
    </row>
    <row r="259" spans="1:8" x14ac:dyDescent="0.25">
      <c r="A259">
        <v>244</v>
      </c>
      <c r="B259">
        <v>0</v>
      </c>
      <c r="C259">
        <v>0</v>
      </c>
      <c r="D259">
        <v>30</v>
      </c>
      <c r="E259">
        <v>0</v>
      </c>
      <c r="F259">
        <v>92.8</v>
      </c>
      <c r="G259">
        <v>-1.48</v>
      </c>
      <c r="H259">
        <v>22.4</v>
      </c>
    </row>
    <row r="260" spans="1:8" x14ac:dyDescent="0.25">
      <c r="A260">
        <v>245</v>
      </c>
      <c r="B260">
        <v>0</v>
      </c>
      <c r="C260">
        <v>10</v>
      </c>
      <c r="D260">
        <v>30</v>
      </c>
      <c r="E260">
        <v>0</v>
      </c>
      <c r="F260">
        <v>87.97</v>
      </c>
      <c r="G260">
        <v>5.25</v>
      </c>
      <c r="H260">
        <v>20.11</v>
      </c>
    </row>
    <row r="261" spans="1:8" x14ac:dyDescent="0.25">
      <c r="A261">
        <v>246</v>
      </c>
      <c r="B261">
        <v>0</v>
      </c>
      <c r="C261">
        <v>20</v>
      </c>
      <c r="D261">
        <v>30</v>
      </c>
      <c r="E261">
        <v>0</v>
      </c>
      <c r="F261">
        <v>83.42</v>
      </c>
      <c r="G261">
        <v>11.78</v>
      </c>
      <c r="H261">
        <v>18.16</v>
      </c>
    </row>
    <row r="262" spans="1:8" x14ac:dyDescent="0.25">
      <c r="A262">
        <v>247</v>
      </c>
      <c r="B262">
        <v>0</v>
      </c>
      <c r="C262">
        <v>30</v>
      </c>
      <c r="D262">
        <v>30</v>
      </c>
      <c r="E262">
        <v>0</v>
      </c>
      <c r="F262">
        <v>78.72</v>
      </c>
      <c r="G262">
        <v>18.73</v>
      </c>
      <c r="H262">
        <v>16.260000000000002</v>
      </c>
    </row>
    <row r="263" spans="1:8" x14ac:dyDescent="0.25">
      <c r="A263">
        <v>248</v>
      </c>
      <c r="B263">
        <v>0</v>
      </c>
      <c r="C263">
        <v>40</v>
      </c>
      <c r="D263">
        <v>30</v>
      </c>
      <c r="E263">
        <v>0</v>
      </c>
      <c r="F263">
        <v>74.03</v>
      </c>
      <c r="G263">
        <v>26.03</v>
      </c>
      <c r="H263">
        <v>14.71</v>
      </c>
    </row>
    <row r="264" spans="1:8" x14ac:dyDescent="0.25">
      <c r="A264">
        <v>249</v>
      </c>
      <c r="B264">
        <v>0</v>
      </c>
      <c r="C264">
        <v>55</v>
      </c>
      <c r="D264">
        <v>30</v>
      </c>
      <c r="E264">
        <v>0</v>
      </c>
      <c r="F264">
        <v>66.88</v>
      </c>
      <c r="G264">
        <v>37.68</v>
      </c>
      <c r="H264">
        <v>12.63</v>
      </c>
    </row>
    <row r="265" spans="1:8" x14ac:dyDescent="0.25">
      <c r="A265">
        <v>250</v>
      </c>
      <c r="B265">
        <v>0</v>
      </c>
      <c r="C265">
        <v>70</v>
      </c>
      <c r="D265">
        <v>30</v>
      </c>
      <c r="E265">
        <v>0</v>
      </c>
      <c r="F265">
        <v>59.83</v>
      </c>
      <c r="G265">
        <v>50.25</v>
      </c>
      <c r="H265">
        <v>11.46</v>
      </c>
    </row>
    <row r="266" spans="1:8" x14ac:dyDescent="0.25">
      <c r="A266">
        <v>251</v>
      </c>
      <c r="B266">
        <v>0</v>
      </c>
      <c r="C266">
        <v>85</v>
      </c>
      <c r="D266">
        <v>30</v>
      </c>
      <c r="E266">
        <v>0</v>
      </c>
      <c r="F266">
        <v>53.26</v>
      </c>
      <c r="G266">
        <v>62.89</v>
      </c>
      <c r="H266">
        <v>11.01</v>
      </c>
    </row>
    <row r="267" spans="1:8" x14ac:dyDescent="0.25">
      <c r="A267">
        <v>252</v>
      </c>
      <c r="B267">
        <v>0</v>
      </c>
      <c r="C267">
        <v>100</v>
      </c>
      <c r="D267">
        <v>30</v>
      </c>
      <c r="E267">
        <v>0</v>
      </c>
      <c r="F267">
        <v>48.59</v>
      </c>
      <c r="G267">
        <v>72.290000000000006</v>
      </c>
      <c r="H267">
        <v>10.96</v>
      </c>
    </row>
    <row r="268" spans="1:8" x14ac:dyDescent="0.25">
      <c r="A268">
        <v>253</v>
      </c>
      <c r="B268">
        <v>10</v>
      </c>
      <c r="C268">
        <v>0</v>
      </c>
      <c r="D268">
        <v>30</v>
      </c>
      <c r="E268">
        <v>0</v>
      </c>
      <c r="F268">
        <v>88.92</v>
      </c>
      <c r="G268">
        <v>-5.55</v>
      </c>
      <c r="H268">
        <v>17.190000000000001</v>
      </c>
    </row>
    <row r="269" spans="1:8" x14ac:dyDescent="0.25">
      <c r="A269">
        <v>254</v>
      </c>
      <c r="B269">
        <v>10</v>
      </c>
      <c r="C269">
        <v>10</v>
      </c>
      <c r="D269">
        <v>30</v>
      </c>
      <c r="E269">
        <v>0</v>
      </c>
      <c r="F269">
        <v>84.33</v>
      </c>
      <c r="G269">
        <v>0.38</v>
      </c>
      <c r="H269">
        <v>15.06</v>
      </c>
    </row>
    <row r="270" spans="1:8" x14ac:dyDescent="0.25">
      <c r="A270">
        <v>255</v>
      </c>
      <c r="B270">
        <v>10</v>
      </c>
      <c r="C270">
        <v>20</v>
      </c>
      <c r="D270">
        <v>30</v>
      </c>
      <c r="E270">
        <v>0</v>
      </c>
      <c r="F270">
        <v>79.760000000000005</v>
      </c>
      <c r="G270">
        <v>6.97</v>
      </c>
      <c r="H270">
        <v>13.09</v>
      </c>
    </row>
    <row r="271" spans="1:8" x14ac:dyDescent="0.25">
      <c r="A271">
        <v>256</v>
      </c>
      <c r="B271">
        <v>10</v>
      </c>
      <c r="C271">
        <v>30</v>
      </c>
      <c r="D271">
        <v>30</v>
      </c>
      <c r="E271">
        <v>0</v>
      </c>
      <c r="F271">
        <v>75.099999999999994</v>
      </c>
      <c r="G271">
        <v>13.93</v>
      </c>
      <c r="H271">
        <v>11.2</v>
      </c>
    </row>
    <row r="272" spans="1:8" x14ac:dyDescent="0.25">
      <c r="A272">
        <v>257</v>
      </c>
      <c r="B272">
        <v>10</v>
      </c>
      <c r="C272">
        <v>40</v>
      </c>
      <c r="D272">
        <v>30</v>
      </c>
      <c r="E272">
        <v>0</v>
      </c>
      <c r="F272">
        <v>70.459999999999994</v>
      </c>
      <c r="G272">
        <v>21.31</v>
      </c>
      <c r="H272">
        <v>9.67</v>
      </c>
    </row>
    <row r="273" spans="1:8" x14ac:dyDescent="0.25">
      <c r="A273">
        <v>258</v>
      </c>
      <c r="B273">
        <v>10</v>
      </c>
      <c r="C273">
        <v>55</v>
      </c>
      <c r="D273">
        <v>30</v>
      </c>
      <c r="E273">
        <v>0</v>
      </c>
      <c r="F273">
        <v>63.56</v>
      </c>
      <c r="G273">
        <v>32.799999999999997</v>
      </c>
      <c r="H273">
        <v>7.73</v>
      </c>
    </row>
    <row r="274" spans="1:8" x14ac:dyDescent="0.25">
      <c r="A274">
        <v>259</v>
      </c>
      <c r="B274">
        <v>10</v>
      </c>
      <c r="C274">
        <v>70</v>
      </c>
      <c r="D274">
        <v>30</v>
      </c>
      <c r="E274">
        <v>0</v>
      </c>
      <c r="F274">
        <v>56.7</v>
      </c>
      <c r="G274">
        <v>45.28</v>
      </c>
      <c r="H274">
        <v>6.57</v>
      </c>
    </row>
    <row r="275" spans="1:8" x14ac:dyDescent="0.25">
      <c r="A275">
        <v>260</v>
      </c>
      <c r="B275">
        <v>10</v>
      </c>
      <c r="C275">
        <v>85</v>
      </c>
      <c r="D275">
        <v>30</v>
      </c>
      <c r="E275">
        <v>0</v>
      </c>
      <c r="F275">
        <v>50.46</v>
      </c>
      <c r="G275">
        <v>57.42</v>
      </c>
      <c r="H275">
        <v>6.1</v>
      </c>
    </row>
    <row r="276" spans="1:8" x14ac:dyDescent="0.25">
      <c r="A276">
        <v>261</v>
      </c>
      <c r="B276">
        <v>10</v>
      </c>
      <c r="C276">
        <v>100</v>
      </c>
      <c r="D276">
        <v>30</v>
      </c>
      <c r="E276">
        <v>0</v>
      </c>
      <c r="F276">
        <v>46.06</v>
      </c>
      <c r="G276">
        <v>66.38</v>
      </c>
      <c r="H276">
        <v>6.04</v>
      </c>
    </row>
    <row r="277" spans="1:8" x14ac:dyDescent="0.25">
      <c r="A277">
        <v>262</v>
      </c>
      <c r="B277">
        <v>20</v>
      </c>
      <c r="C277">
        <v>0</v>
      </c>
      <c r="D277">
        <v>30</v>
      </c>
      <c r="E277">
        <v>0</v>
      </c>
      <c r="F277">
        <v>85.13</v>
      </c>
      <c r="G277">
        <v>-9.59</v>
      </c>
      <c r="H277">
        <v>12.11</v>
      </c>
    </row>
    <row r="278" spans="1:8" x14ac:dyDescent="0.25">
      <c r="A278">
        <v>263</v>
      </c>
      <c r="B278">
        <v>20</v>
      </c>
      <c r="C278">
        <v>10</v>
      </c>
      <c r="D278">
        <v>30</v>
      </c>
      <c r="E278">
        <v>0</v>
      </c>
      <c r="F278">
        <v>80.569999999999993</v>
      </c>
      <c r="G278">
        <v>-3.97</v>
      </c>
      <c r="H278">
        <v>9.9</v>
      </c>
    </row>
    <row r="279" spans="1:8" x14ac:dyDescent="0.25">
      <c r="A279">
        <v>264</v>
      </c>
      <c r="B279">
        <v>20</v>
      </c>
      <c r="C279">
        <v>20</v>
      </c>
      <c r="D279">
        <v>30</v>
      </c>
      <c r="E279">
        <v>0</v>
      </c>
      <c r="F279">
        <v>76.13</v>
      </c>
      <c r="G279">
        <v>2.39</v>
      </c>
      <c r="H279">
        <v>7.97</v>
      </c>
    </row>
    <row r="280" spans="1:8" x14ac:dyDescent="0.25">
      <c r="A280">
        <v>265</v>
      </c>
      <c r="B280">
        <v>20</v>
      </c>
      <c r="C280">
        <v>30</v>
      </c>
      <c r="D280">
        <v>30</v>
      </c>
      <c r="E280">
        <v>0</v>
      </c>
      <c r="F280">
        <v>71.63</v>
      </c>
      <c r="G280">
        <v>9.2200000000000006</v>
      </c>
      <c r="H280">
        <v>6.18</v>
      </c>
    </row>
    <row r="281" spans="1:8" x14ac:dyDescent="0.25">
      <c r="A281">
        <v>266</v>
      </c>
      <c r="B281">
        <v>20</v>
      </c>
      <c r="C281">
        <v>40</v>
      </c>
      <c r="D281">
        <v>30</v>
      </c>
      <c r="E281">
        <v>0</v>
      </c>
      <c r="F281">
        <v>67.06</v>
      </c>
      <c r="G281">
        <v>16.46</v>
      </c>
      <c r="H281">
        <v>4.68</v>
      </c>
    </row>
    <row r="282" spans="1:8" x14ac:dyDescent="0.25">
      <c r="A282">
        <v>267</v>
      </c>
      <c r="B282">
        <v>20</v>
      </c>
      <c r="C282">
        <v>55</v>
      </c>
      <c r="D282">
        <v>30</v>
      </c>
      <c r="E282">
        <v>0</v>
      </c>
      <c r="F282">
        <v>60.34</v>
      </c>
      <c r="G282">
        <v>27.75</v>
      </c>
      <c r="H282">
        <v>2.8</v>
      </c>
    </row>
    <row r="283" spans="1:8" x14ac:dyDescent="0.25">
      <c r="A283">
        <v>268</v>
      </c>
      <c r="B283">
        <v>20</v>
      </c>
      <c r="C283">
        <v>70</v>
      </c>
      <c r="D283">
        <v>30</v>
      </c>
      <c r="E283">
        <v>0</v>
      </c>
      <c r="F283">
        <v>53.65</v>
      </c>
      <c r="G283">
        <v>40.119999999999997</v>
      </c>
      <c r="H283">
        <v>1.67</v>
      </c>
    </row>
    <row r="284" spans="1:8" x14ac:dyDescent="0.25">
      <c r="A284">
        <v>269</v>
      </c>
      <c r="B284">
        <v>20</v>
      </c>
      <c r="C284">
        <v>85</v>
      </c>
      <c r="D284">
        <v>30</v>
      </c>
      <c r="E284">
        <v>0</v>
      </c>
      <c r="F284">
        <v>47.69</v>
      </c>
      <c r="G284">
        <v>51.89</v>
      </c>
      <c r="H284">
        <v>1.18</v>
      </c>
    </row>
    <row r="285" spans="1:8" x14ac:dyDescent="0.25">
      <c r="A285">
        <v>270</v>
      </c>
      <c r="B285">
        <v>20</v>
      </c>
      <c r="C285">
        <v>100</v>
      </c>
      <c r="D285">
        <v>30</v>
      </c>
      <c r="E285">
        <v>0</v>
      </c>
      <c r="F285">
        <v>43.52</v>
      </c>
      <c r="G285">
        <v>60.48</v>
      </c>
      <c r="H285">
        <v>1.07</v>
      </c>
    </row>
    <row r="286" spans="1:8" x14ac:dyDescent="0.25">
      <c r="A286">
        <v>271</v>
      </c>
      <c r="B286">
        <v>30</v>
      </c>
      <c r="C286">
        <v>0</v>
      </c>
      <c r="D286">
        <v>30</v>
      </c>
      <c r="E286">
        <v>0</v>
      </c>
      <c r="F286">
        <v>81.290000000000006</v>
      </c>
      <c r="G286">
        <v>-13.85</v>
      </c>
      <c r="H286">
        <v>6.99</v>
      </c>
    </row>
    <row r="287" spans="1:8" x14ac:dyDescent="0.25">
      <c r="A287">
        <v>272</v>
      </c>
      <c r="B287">
        <v>30</v>
      </c>
      <c r="C287">
        <v>10</v>
      </c>
      <c r="D287">
        <v>30</v>
      </c>
      <c r="E287">
        <v>0</v>
      </c>
      <c r="F287">
        <v>76.930000000000007</v>
      </c>
      <c r="G287">
        <v>-8.33</v>
      </c>
      <c r="H287">
        <v>4.96</v>
      </c>
    </row>
    <row r="288" spans="1:8" x14ac:dyDescent="0.25">
      <c r="A288">
        <v>273</v>
      </c>
      <c r="B288">
        <v>30</v>
      </c>
      <c r="C288">
        <v>20</v>
      </c>
      <c r="D288">
        <v>30</v>
      </c>
      <c r="E288">
        <v>0</v>
      </c>
      <c r="F288">
        <v>72.67</v>
      </c>
      <c r="G288">
        <v>-2.1</v>
      </c>
      <c r="H288">
        <v>3.16</v>
      </c>
    </row>
    <row r="289" spans="1:8" x14ac:dyDescent="0.25">
      <c r="A289">
        <v>274</v>
      </c>
      <c r="B289">
        <v>30</v>
      </c>
      <c r="C289">
        <v>30</v>
      </c>
      <c r="D289">
        <v>30</v>
      </c>
      <c r="E289">
        <v>0</v>
      </c>
      <c r="F289">
        <v>68.33</v>
      </c>
      <c r="G289">
        <v>4.58</v>
      </c>
      <c r="H289">
        <v>1.46</v>
      </c>
    </row>
    <row r="290" spans="1:8" x14ac:dyDescent="0.25">
      <c r="A290">
        <v>275</v>
      </c>
      <c r="B290">
        <v>30</v>
      </c>
      <c r="C290">
        <v>40</v>
      </c>
      <c r="D290">
        <v>30</v>
      </c>
      <c r="E290">
        <v>0</v>
      </c>
      <c r="F290">
        <v>63.93</v>
      </c>
      <c r="G290">
        <v>11.68</v>
      </c>
      <c r="H290">
        <v>0.05</v>
      </c>
    </row>
    <row r="291" spans="1:8" x14ac:dyDescent="0.25">
      <c r="A291">
        <v>276</v>
      </c>
      <c r="B291">
        <v>30</v>
      </c>
      <c r="C291">
        <v>55</v>
      </c>
      <c r="D291">
        <v>30</v>
      </c>
      <c r="E291">
        <v>0</v>
      </c>
      <c r="F291">
        <v>57.4</v>
      </c>
      <c r="G291">
        <v>22.73</v>
      </c>
      <c r="H291">
        <v>-1.78</v>
      </c>
    </row>
    <row r="292" spans="1:8" x14ac:dyDescent="0.25">
      <c r="A292">
        <v>277</v>
      </c>
      <c r="B292">
        <v>30</v>
      </c>
      <c r="C292">
        <v>70</v>
      </c>
      <c r="D292">
        <v>30</v>
      </c>
      <c r="E292">
        <v>0</v>
      </c>
      <c r="F292">
        <v>50.84</v>
      </c>
      <c r="G292">
        <v>34.869999999999997</v>
      </c>
      <c r="H292">
        <v>-2.95</v>
      </c>
    </row>
    <row r="293" spans="1:8" x14ac:dyDescent="0.25">
      <c r="A293">
        <v>278</v>
      </c>
      <c r="B293">
        <v>30</v>
      </c>
      <c r="C293">
        <v>85</v>
      </c>
      <c r="D293">
        <v>30</v>
      </c>
      <c r="E293">
        <v>0</v>
      </c>
      <c r="F293">
        <v>45.06</v>
      </c>
      <c r="G293">
        <v>46.33</v>
      </c>
      <c r="H293">
        <v>-3.51</v>
      </c>
    </row>
    <row r="294" spans="1:8" x14ac:dyDescent="0.25">
      <c r="A294">
        <v>279</v>
      </c>
      <c r="B294">
        <v>30</v>
      </c>
      <c r="C294">
        <v>100</v>
      </c>
      <c r="D294">
        <v>30</v>
      </c>
      <c r="E294">
        <v>0</v>
      </c>
      <c r="F294">
        <v>41.06</v>
      </c>
      <c r="G294">
        <v>54.59</v>
      </c>
      <c r="H294">
        <v>-3.68</v>
      </c>
    </row>
    <row r="295" spans="1:8" x14ac:dyDescent="0.25">
      <c r="A295">
        <v>280</v>
      </c>
      <c r="B295">
        <v>40</v>
      </c>
      <c r="C295">
        <v>0</v>
      </c>
      <c r="D295">
        <v>30</v>
      </c>
      <c r="E295">
        <v>0</v>
      </c>
      <c r="F295">
        <v>77.42</v>
      </c>
      <c r="G295">
        <v>-18.39</v>
      </c>
      <c r="H295">
        <v>1.93</v>
      </c>
    </row>
    <row r="296" spans="1:8" x14ac:dyDescent="0.25">
      <c r="A296">
        <v>281</v>
      </c>
      <c r="B296">
        <v>40</v>
      </c>
      <c r="C296">
        <v>10</v>
      </c>
      <c r="D296">
        <v>30</v>
      </c>
      <c r="E296">
        <v>0</v>
      </c>
      <c r="F296">
        <v>73.349999999999994</v>
      </c>
      <c r="G296">
        <v>-12.61</v>
      </c>
      <c r="H296">
        <v>0.25</v>
      </c>
    </row>
    <row r="297" spans="1:8" x14ac:dyDescent="0.25">
      <c r="A297">
        <v>282</v>
      </c>
      <c r="B297">
        <v>40</v>
      </c>
      <c r="C297">
        <v>20</v>
      </c>
      <c r="D297">
        <v>30</v>
      </c>
      <c r="E297">
        <v>0</v>
      </c>
      <c r="F297">
        <v>69.290000000000006</v>
      </c>
      <c r="G297">
        <v>-6.57</v>
      </c>
      <c r="H297">
        <v>-1.37</v>
      </c>
    </row>
    <row r="298" spans="1:8" x14ac:dyDescent="0.25">
      <c r="A298">
        <v>283</v>
      </c>
      <c r="B298">
        <v>40</v>
      </c>
      <c r="C298">
        <v>30</v>
      </c>
      <c r="D298">
        <v>30</v>
      </c>
      <c r="E298">
        <v>0</v>
      </c>
      <c r="F298">
        <v>65.13</v>
      </c>
      <c r="G298">
        <v>-0.02</v>
      </c>
      <c r="H298">
        <v>-2.96</v>
      </c>
    </row>
    <row r="299" spans="1:8" x14ac:dyDescent="0.25">
      <c r="A299">
        <v>284</v>
      </c>
      <c r="B299">
        <v>40</v>
      </c>
      <c r="C299">
        <v>40</v>
      </c>
      <c r="D299">
        <v>30</v>
      </c>
      <c r="E299">
        <v>0</v>
      </c>
      <c r="F299">
        <v>60.9</v>
      </c>
      <c r="G299">
        <v>6.89</v>
      </c>
      <c r="H299">
        <v>-4.37</v>
      </c>
    </row>
    <row r="300" spans="1:8" x14ac:dyDescent="0.25">
      <c r="A300">
        <v>285</v>
      </c>
      <c r="B300">
        <v>40</v>
      </c>
      <c r="C300">
        <v>55</v>
      </c>
      <c r="D300">
        <v>30</v>
      </c>
      <c r="E300">
        <v>0</v>
      </c>
      <c r="F300">
        <v>54.6</v>
      </c>
      <c r="G300">
        <v>17.7</v>
      </c>
      <c r="H300">
        <v>-6.12</v>
      </c>
    </row>
    <row r="301" spans="1:8" x14ac:dyDescent="0.25">
      <c r="A301">
        <v>286</v>
      </c>
      <c r="B301">
        <v>40</v>
      </c>
      <c r="C301">
        <v>70</v>
      </c>
      <c r="D301">
        <v>30</v>
      </c>
      <c r="E301">
        <v>0</v>
      </c>
      <c r="F301">
        <v>48.25</v>
      </c>
      <c r="G301">
        <v>29.6</v>
      </c>
      <c r="H301">
        <v>-7.26</v>
      </c>
    </row>
    <row r="302" spans="1:8" x14ac:dyDescent="0.25">
      <c r="A302">
        <v>287</v>
      </c>
      <c r="B302">
        <v>40</v>
      </c>
      <c r="C302">
        <v>85</v>
      </c>
      <c r="D302">
        <v>30</v>
      </c>
      <c r="E302">
        <v>0</v>
      </c>
      <c r="F302">
        <v>42.64</v>
      </c>
      <c r="G302">
        <v>40.799999999999997</v>
      </c>
      <c r="H302">
        <v>-7.87</v>
      </c>
    </row>
    <row r="303" spans="1:8" x14ac:dyDescent="0.25">
      <c r="A303">
        <v>288</v>
      </c>
      <c r="B303">
        <v>40</v>
      </c>
      <c r="C303">
        <v>100</v>
      </c>
      <c r="D303">
        <v>30</v>
      </c>
      <c r="E303">
        <v>0</v>
      </c>
      <c r="F303">
        <v>38.729999999999997</v>
      </c>
      <c r="G303">
        <v>48.86</v>
      </c>
      <c r="H303">
        <v>-8.06</v>
      </c>
    </row>
    <row r="304" spans="1:8" x14ac:dyDescent="0.25">
      <c r="A304">
        <v>289</v>
      </c>
      <c r="B304">
        <v>55</v>
      </c>
      <c r="C304">
        <v>0</v>
      </c>
      <c r="D304">
        <v>30</v>
      </c>
      <c r="E304">
        <v>0</v>
      </c>
      <c r="F304">
        <v>71.5</v>
      </c>
      <c r="G304">
        <v>-25.59</v>
      </c>
      <c r="H304">
        <v>-5.76</v>
      </c>
    </row>
    <row r="305" spans="1:8" x14ac:dyDescent="0.25">
      <c r="A305">
        <v>290</v>
      </c>
      <c r="B305">
        <v>55</v>
      </c>
      <c r="C305">
        <v>10</v>
      </c>
      <c r="D305">
        <v>30</v>
      </c>
      <c r="E305">
        <v>0</v>
      </c>
      <c r="F305">
        <v>67.84</v>
      </c>
      <c r="G305">
        <v>-19.68</v>
      </c>
      <c r="H305">
        <v>-7.02</v>
      </c>
    </row>
    <row r="306" spans="1:8" x14ac:dyDescent="0.25">
      <c r="A306">
        <v>291</v>
      </c>
      <c r="B306">
        <v>55</v>
      </c>
      <c r="C306">
        <v>20</v>
      </c>
      <c r="D306">
        <v>30</v>
      </c>
      <c r="E306">
        <v>0</v>
      </c>
      <c r="F306">
        <v>64.13</v>
      </c>
      <c r="G306">
        <v>-13.74</v>
      </c>
      <c r="H306">
        <v>-8.27</v>
      </c>
    </row>
    <row r="307" spans="1:8" x14ac:dyDescent="0.25">
      <c r="A307">
        <v>292</v>
      </c>
      <c r="B307">
        <v>55</v>
      </c>
      <c r="C307">
        <v>30</v>
      </c>
      <c r="D307">
        <v>30</v>
      </c>
      <c r="E307">
        <v>0</v>
      </c>
      <c r="F307">
        <v>60.25</v>
      </c>
      <c r="G307">
        <v>-7.37</v>
      </c>
      <c r="H307">
        <v>-9.65</v>
      </c>
    </row>
    <row r="308" spans="1:8" x14ac:dyDescent="0.25">
      <c r="A308">
        <v>293</v>
      </c>
      <c r="B308">
        <v>55</v>
      </c>
      <c r="C308">
        <v>40</v>
      </c>
      <c r="D308">
        <v>30</v>
      </c>
      <c r="E308">
        <v>0</v>
      </c>
      <c r="F308">
        <v>56.29</v>
      </c>
      <c r="G308">
        <v>-0.68</v>
      </c>
      <c r="H308">
        <v>-10.92</v>
      </c>
    </row>
    <row r="309" spans="1:8" x14ac:dyDescent="0.25">
      <c r="A309">
        <v>294</v>
      </c>
      <c r="B309">
        <v>55</v>
      </c>
      <c r="C309">
        <v>55</v>
      </c>
      <c r="D309">
        <v>30</v>
      </c>
      <c r="E309">
        <v>0</v>
      </c>
      <c r="F309">
        <v>50.36</v>
      </c>
      <c r="G309">
        <v>9.82</v>
      </c>
      <c r="H309">
        <v>-12.54</v>
      </c>
    </row>
    <row r="310" spans="1:8" x14ac:dyDescent="0.25">
      <c r="A310">
        <v>295</v>
      </c>
      <c r="B310">
        <v>55</v>
      </c>
      <c r="C310">
        <v>70</v>
      </c>
      <c r="D310">
        <v>30</v>
      </c>
      <c r="E310">
        <v>0</v>
      </c>
      <c r="F310">
        <v>44.33</v>
      </c>
      <c r="G310">
        <v>21.35</v>
      </c>
      <c r="H310">
        <v>-13.66</v>
      </c>
    </row>
    <row r="311" spans="1:8" x14ac:dyDescent="0.25">
      <c r="A311">
        <v>296</v>
      </c>
      <c r="B311">
        <v>55</v>
      </c>
      <c r="C311">
        <v>85</v>
      </c>
      <c r="D311">
        <v>30</v>
      </c>
      <c r="E311">
        <v>0</v>
      </c>
      <c r="F311">
        <v>38.97</v>
      </c>
      <c r="G311">
        <v>32.14</v>
      </c>
      <c r="H311">
        <v>-14.33</v>
      </c>
    </row>
    <row r="312" spans="1:8" x14ac:dyDescent="0.25">
      <c r="A312">
        <v>297</v>
      </c>
      <c r="B312">
        <v>55</v>
      </c>
      <c r="C312">
        <v>100</v>
      </c>
      <c r="D312">
        <v>30</v>
      </c>
      <c r="E312">
        <v>0</v>
      </c>
      <c r="F312">
        <v>35.21</v>
      </c>
      <c r="G312">
        <v>39.93</v>
      </c>
      <c r="H312">
        <v>-14.65</v>
      </c>
    </row>
    <row r="313" spans="1:8" x14ac:dyDescent="0.25">
      <c r="A313">
        <v>298</v>
      </c>
      <c r="B313">
        <v>70</v>
      </c>
      <c r="C313">
        <v>0</v>
      </c>
      <c r="D313">
        <v>30</v>
      </c>
      <c r="E313">
        <v>0</v>
      </c>
      <c r="F313">
        <v>65.36</v>
      </c>
      <c r="G313">
        <v>-33.700000000000003</v>
      </c>
      <c r="H313">
        <v>-13.57</v>
      </c>
    </row>
    <row r="314" spans="1:8" x14ac:dyDescent="0.25">
      <c r="A314">
        <v>299</v>
      </c>
      <c r="B314">
        <v>70</v>
      </c>
      <c r="C314">
        <v>10</v>
      </c>
      <c r="D314">
        <v>30</v>
      </c>
      <c r="E314">
        <v>0</v>
      </c>
      <c r="F314">
        <v>62.08</v>
      </c>
      <c r="G314">
        <v>-27.7</v>
      </c>
      <c r="H314">
        <v>-14.43</v>
      </c>
    </row>
    <row r="315" spans="1:8" x14ac:dyDescent="0.25">
      <c r="A315">
        <v>300</v>
      </c>
      <c r="B315">
        <v>70</v>
      </c>
      <c r="C315">
        <v>20</v>
      </c>
      <c r="D315">
        <v>30</v>
      </c>
      <c r="E315">
        <v>0</v>
      </c>
      <c r="F315">
        <v>58.76</v>
      </c>
      <c r="G315">
        <v>-21.77</v>
      </c>
      <c r="H315">
        <v>-15.36</v>
      </c>
    </row>
    <row r="316" spans="1:8" x14ac:dyDescent="0.25">
      <c r="A316">
        <v>301</v>
      </c>
      <c r="B316">
        <v>70</v>
      </c>
      <c r="C316">
        <v>30</v>
      </c>
      <c r="D316">
        <v>30</v>
      </c>
      <c r="E316">
        <v>0</v>
      </c>
      <c r="F316">
        <v>55.22</v>
      </c>
      <c r="G316">
        <v>-15.5</v>
      </c>
      <c r="H316">
        <v>-16.399999999999999</v>
      </c>
    </row>
    <row r="317" spans="1:8" x14ac:dyDescent="0.25">
      <c r="A317">
        <v>302</v>
      </c>
      <c r="B317">
        <v>70</v>
      </c>
      <c r="C317">
        <v>40</v>
      </c>
      <c r="D317">
        <v>30</v>
      </c>
      <c r="E317">
        <v>0</v>
      </c>
      <c r="F317">
        <v>51.53</v>
      </c>
      <c r="G317">
        <v>-8.9499999999999993</v>
      </c>
      <c r="H317">
        <v>-17.45</v>
      </c>
    </row>
    <row r="318" spans="1:8" x14ac:dyDescent="0.25">
      <c r="A318">
        <v>303</v>
      </c>
      <c r="B318">
        <v>70</v>
      </c>
      <c r="C318">
        <v>55</v>
      </c>
      <c r="D318">
        <v>30</v>
      </c>
      <c r="E318">
        <v>0</v>
      </c>
      <c r="F318">
        <v>46.02</v>
      </c>
      <c r="G318">
        <v>1.23</v>
      </c>
      <c r="H318">
        <v>-18.86</v>
      </c>
    </row>
    <row r="319" spans="1:8" x14ac:dyDescent="0.25">
      <c r="A319">
        <v>304</v>
      </c>
      <c r="B319">
        <v>70</v>
      </c>
      <c r="C319">
        <v>70</v>
      </c>
      <c r="D319">
        <v>30</v>
      </c>
      <c r="E319">
        <v>0</v>
      </c>
      <c r="F319">
        <v>40.340000000000003</v>
      </c>
      <c r="G319">
        <v>12.39</v>
      </c>
      <c r="H319">
        <v>-19.920000000000002</v>
      </c>
    </row>
    <row r="320" spans="1:8" x14ac:dyDescent="0.25">
      <c r="A320">
        <v>305</v>
      </c>
      <c r="B320">
        <v>70</v>
      </c>
      <c r="C320">
        <v>85</v>
      </c>
      <c r="D320">
        <v>30</v>
      </c>
      <c r="E320">
        <v>0</v>
      </c>
      <c r="F320">
        <v>35.26</v>
      </c>
      <c r="G320">
        <v>22.79</v>
      </c>
      <c r="H320">
        <v>-20.68</v>
      </c>
    </row>
    <row r="321" spans="1:8" x14ac:dyDescent="0.25">
      <c r="A321">
        <v>306</v>
      </c>
      <c r="B321">
        <v>70</v>
      </c>
      <c r="C321">
        <v>100</v>
      </c>
      <c r="D321">
        <v>30</v>
      </c>
      <c r="E321">
        <v>0</v>
      </c>
      <c r="F321">
        <v>31.67</v>
      </c>
      <c r="G321">
        <v>30.23</v>
      </c>
      <c r="H321">
        <v>-21.11</v>
      </c>
    </row>
    <row r="322" spans="1:8" x14ac:dyDescent="0.25">
      <c r="A322">
        <v>307</v>
      </c>
      <c r="B322">
        <v>85</v>
      </c>
      <c r="C322">
        <v>0</v>
      </c>
      <c r="D322">
        <v>30</v>
      </c>
      <c r="E322">
        <v>0</v>
      </c>
      <c r="F322">
        <v>59.35</v>
      </c>
      <c r="G322">
        <v>-42.07</v>
      </c>
      <c r="H322">
        <v>-21.03</v>
      </c>
    </row>
    <row r="323" spans="1:8" x14ac:dyDescent="0.25">
      <c r="A323">
        <v>308</v>
      </c>
      <c r="B323">
        <v>85</v>
      </c>
      <c r="C323">
        <v>10</v>
      </c>
      <c r="D323">
        <v>30</v>
      </c>
      <c r="E323">
        <v>0</v>
      </c>
      <c r="F323">
        <v>56.32</v>
      </c>
      <c r="G323">
        <v>-36.28</v>
      </c>
      <c r="H323">
        <v>-21.71</v>
      </c>
    </row>
    <row r="324" spans="1:8" x14ac:dyDescent="0.25">
      <c r="A324">
        <v>309</v>
      </c>
      <c r="B324">
        <v>85</v>
      </c>
      <c r="C324">
        <v>20</v>
      </c>
      <c r="D324">
        <v>30</v>
      </c>
      <c r="E324">
        <v>0</v>
      </c>
      <c r="F324">
        <v>53.26</v>
      </c>
      <c r="G324">
        <v>-30.54</v>
      </c>
      <c r="H324">
        <v>-22.43</v>
      </c>
    </row>
    <row r="325" spans="1:8" x14ac:dyDescent="0.25">
      <c r="A325">
        <v>310</v>
      </c>
      <c r="B325">
        <v>85</v>
      </c>
      <c r="C325">
        <v>30</v>
      </c>
      <c r="D325">
        <v>30</v>
      </c>
      <c r="E325">
        <v>0</v>
      </c>
      <c r="F325">
        <v>50.03</v>
      </c>
      <c r="G325">
        <v>-24.42</v>
      </c>
      <c r="H325">
        <v>-23.21</v>
      </c>
    </row>
    <row r="326" spans="1:8" x14ac:dyDescent="0.25">
      <c r="A326">
        <v>311</v>
      </c>
      <c r="B326">
        <v>85</v>
      </c>
      <c r="C326">
        <v>40</v>
      </c>
      <c r="D326">
        <v>30</v>
      </c>
      <c r="E326">
        <v>0</v>
      </c>
      <c r="F326">
        <v>46.65</v>
      </c>
      <c r="G326">
        <v>-17.989999999999998</v>
      </c>
      <c r="H326">
        <v>-23.99</v>
      </c>
    </row>
    <row r="327" spans="1:8" x14ac:dyDescent="0.25">
      <c r="A327">
        <v>312</v>
      </c>
      <c r="B327">
        <v>85</v>
      </c>
      <c r="C327">
        <v>55</v>
      </c>
      <c r="D327">
        <v>30</v>
      </c>
      <c r="E327">
        <v>0</v>
      </c>
      <c r="F327">
        <v>41.56</v>
      </c>
      <c r="G327">
        <v>-8.0399999999999991</v>
      </c>
      <c r="H327">
        <v>-25.13</v>
      </c>
    </row>
    <row r="328" spans="1:8" x14ac:dyDescent="0.25">
      <c r="A328">
        <v>313</v>
      </c>
      <c r="B328">
        <v>85</v>
      </c>
      <c r="C328">
        <v>70</v>
      </c>
      <c r="D328">
        <v>30</v>
      </c>
      <c r="E328">
        <v>0</v>
      </c>
      <c r="F328">
        <v>36.29</v>
      </c>
      <c r="G328">
        <v>2.73</v>
      </c>
      <c r="H328">
        <v>-26.13</v>
      </c>
    </row>
    <row r="329" spans="1:8" x14ac:dyDescent="0.25">
      <c r="A329">
        <v>314</v>
      </c>
      <c r="B329">
        <v>85</v>
      </c>
      <c r="C329">
        <v>85</v>
      </c>
      <c r="D329">
        <v>30</v>
      </c>
      <c r="E329">
        <v>0</v>
      </c>
      <c r="F329">
        <v>31.5</v>
      </c>
      <c r="G329">
        <v>12.84</v>
      </c>
      <c r="H329">
        <v>-26.93</v>
      </c>
    </row>
    <row r="330" spans="1:8" x14ac:dyDescent="0.25">
      <c r="A330">
        <v>315</v>
      </c>
      <c r="B330">
        <v>85</v>
      </c>
      <c r="C330">
        <v>100</v>
      </c>
      <c r="D330">
        <v>30</v>
      </c>
      <c r="E330">
        <v>0</v>
      </c>
      <c r="F330">
        <v>28.12</v>
      </c>
      <c r="G330">
        <v>20.03</v>
      </c>
      <c r="H330">
        <v>-27.44</v>
      </c>
    </row>
    <row r="331" spans="1:8" x14ac:dyDescent="0.25">
      <c r="A331">
        <v>316</v>
      </c>
      <c r="B331">
        <v>100</v>
      </c>
      <c r="C331">
        <v>0</v>
      </c>
      <c r="D331">
        <v>30</v>
      </c>
      <c r="E331">
        <v>0</v>
      </c>
      <c r="F331">
        <v>54.77</v>
      </c>
      <c r="G331">
        <v>-48.82</v>
      </c>
      <c r="H331">
        <v>-26.7</v>
      </c>
    </row>
    <row r="332" spans="1:8" x14ac:dyDescent="0.25">
      <c r="A332">
        <v>317</v>
      </c>
      <c r="B332">
        <v>100</v>
      </c>
      <c r="C332">
        <v>10</v>
      </c>
      <c r="D332">
        <v>30</v>
      </c>
      <c r="E332">
        <v>0</v>
      </c>
      <c r="F332">
        <v>51.91</v>
      </c>
      <c r="G332">
        <v>-43.19</v>
      </c>
      <c r="H332">
        <v>-27.23</v>
      </c>
    </row>
    <row r="333" spans="1:8" x14ac:dyDescent="0.25">
      <c r="A333">
        <v>318</v>
      </c>
      <c r="B333">
        <v>100</v>
      </c>
      <c r="C333">
        <v>20</v>
      </c>
      <c r="D333">
        <v>30</v>
      </c>
      <c r="E333">
        <v>0</v>
      </c>
      <c r="F333">
        <v>49.05</v>
      </c>
      <c r="G333">
        <v>-37.57</v>
      </c>
      <c r="H333">
        <v>-27.77</v>
      </c>
    </row>
    <row r="334" spans="1:8" x14ac:dyDescent="0.25">
      <c r="A334">
        <v>319</v>
      </c>
      <c r="B334">
        <v>100</v>
      </c>
      <c r="C334">
        <v>30</v>
      </c>
      <c r="D334">
        <v>30</v>
      </c>
      <c r="E334">
        <v>0</v>
      </c>
      <c r="F334">
        <v>46.02</v>
      </c>
      <c r="G334">
        <v>-31.54</v>
      </c>
      <c r="H334">
        <v>-28.39</v>
      </c>
    </row>
    <row r="335" spans="1:8" x14ac:dyDescent="0.25">
      <c r="A335">
        <v>320</v>
      </c>
      <c r="B335">
        <v>100</v>
      </c>
      <c r="C335">
        <v>40</v>
      </c>
      <c r="D335">
        <v>30</v>
      </c>
      <c r="E335">
        <v>0</v>
      </c>
      <c r="F335">
        <v>42.87</v>
      </c>
      <c r="G335">
        <v>-25.17</v>
      </c>
      <c r="H335">
        <v>-28.95</v>
      </c>
    </row>
    <row r="336" spans="1:8" x14ac:dyDescent="0.25">
      <c r="A336">
        <v>321</v>
      </c>
      <c r="B336">
        <v>100</v>
      </c>
      <c r="C336">
        <v>55</v>
      </c>
      <c r="D336">
        <v>30</v>
      </c>
      <c r="E336">
        <v>0</v>
      </c>
      <c r="F336">
        <v>38.130000000000003</v>
      </c>
      <c r="G336">
        <v>-15.39</v>
      </c>
      <c r="H336">
        <v>-29.88</v>
      </c>
    </row>
    <row r="337" spans="1:8" x14ac:dyDescent="0.25">
      <c r="A337">
        <v>322</v>
      </c>
      <c r="B337">
        <v>100</v>
      </c>
      <c r="C337">
        <v>70</v>
      </c>
      <c r="D337">
        <v>30</v>
      </c>
      <c r="E337">
        <v>0</v>
      </c>
      <c r="F337">
        <v>33.17</v>
      </c>
      <c r="G337">
        <v>-4.9000000000000004</v>
      </c>
      <c r="H337">
        <v>-30.82</v>
      </c>
    </row>
    <row r="338" spans="1:8" x14ac:dyDescent="0.25">
      <c r="A338">
        <v>323</v>
      </c>
      <c r="B338">
        <v>100</v>
      </c>
      <c r="C338">
        <v>85</v>
      </c>
      <c r="D338">
        <v>30</v>
      </c>
      <c r="E338">
        <v>0</v>
      </c>
      <c r="F338">
        <v>28.61</v>
      </c>
      <c r="G338">
        <v>4.9000000000000004</v>
      </c>
      <c r="H338">
        <v>-31.68</v>
      </c>
    </row>
    <row r="339" spans="1:8" x14ac:dyDescent="0.25">
      <c r="A339">
        <v>324</v>
      </c>
      <c r="B339">
        <v>100</v>
      </c>
      <c r="C339">
        <v>100</v>
      </c>
      <c r="D339">
        <v>30</v>
      </c>
      <c r="E339">
        <v>0</v>
      </c>
      <c r="F339">
        <v>25.37</v>
      </c>
      <c r="G339">
        <v>11.94</v>
      </c>
      <c r="H339">
        <v>-32.270000000000003</v>
      </c>
    </row>
    <row r="340" spans="1:8" x14ac:dyDescent="0.25">
      <c r="A340">
        <v>325</v>
      </c>
      <c r="B340">
        <v>0</v>
      </c>
      <c r="C340">
        <v>0</v>
      </c>
      <c r="D340">
        <v>40</v>
      </c>
      <c r="E340">
        <v>0</v>
      </c>
      <c r="F340">
        <v>92.13</v>
      </c>
      <c r="G340">
        <v>-2.16</v>
      </c>
      <c r="H340">
        <v>31.6</v>
      </c>
    </row>
    <row r="341" spans="1:8" x14ac:dyDescent="0.25">
      <c r="A341">
        <v>326</v>
      </c>
      <c r="B341">
        <v>0</v>
      </c>
      <c r="C341">
        <v>10</v>
      </c>
      <c r="D341">
        <v>40</v>
      </c>
      <c r="E341">
        <v>0</v>
      </c>
      <c r="F341">
        <v>87.38</v>
      </c>
      <c r="G341">
        <v>4.6500000000000004</v>
      </c>
      <c r="H341">
        <v>28.98</v>
      </c>
    </row>
    <row r="342" spans="1:8" x14ac:dyDescent="0.25">
      <c r="A342">
        <v>327</v>
      </c>
      <c r="B342">
        <v>0</v>
      </c>
      <c r="C342">
        <v>20</v>
      </c>
      <c r="D342">
        <v>40</v>
      </c>
      <c r="E342">
        <v>0</v>
      </c>
      <c r="F342">
        <v>82.9</v>
      </c>
      <c r="G342">
        <v>11.2</v>
      </c>
      <c r="H342">
        <v>26.63</v>
      </c>
    </row>
    <row r="343" spans="1:8" x14ac:dyDescent="0.25">
      <c r="A343">
        <v>328</v>
      </c>
      <c r="B343">
        <v>0</v>
      </c>
      <c r="C343">
        <v>30</v>
      </c>
      <c r="D343">
        <v>40</v>
      </c>
      <c r="E343">
        <v>0</v>
      </c>
      <c r="F343">
        <v>78.28</v>
      </c>
      <c r="G343">
        <v>18.149999999999999</v>
      </c>
      <c r="H343">
        <v>24.32</v>
      </c>
    </row>
    <row r="344" spans="1:8" x14ac:dyDescent="0.25">
      <c r="A344">
        <v>329</v>
      </c>
      <c r="B344">
        <v>0</v>
      </c>
      <c r="C344">
        <v>40</v>
      </c>
      <c r="D344">
        <v>40</v>
      </c>
      <c r="E344">
        <v>0</v>
      </c>
      <c r="F344">
        <v>73.680000000000007</v>
      </c>
      <c r="G344">
        <v>25.38</v>
      </c>
      <c r="H344">
        <v>22.21</v>
      </c>
    </row>
    <row r="345" spans="1:8" x14ac:dyDescent="0.25">
      <c r="A345">
        <v>330</v>
      </c>
      <c r="B345">
        <v>0</v>
      </c>
      <c r="C345">
        <v>55</v>
      </c>
      <c r="D345">
        <v>40</v>
      </c>
      <c r="E345">
        <v>0</v>
      </c>
      <c r="F345">
        <v>66.63</v>
      </c>
      <c r="G345">
        <v>37</v>
      </c>
      <c r="H345">
        <v>19.57</v>
      </c>
    </row>
    <row r="346" spans="1:8" x14ac:dyDescent="0.25">
      <c r="A346">
        <v>331</v>
      </c>
      <c r="B346">
        <v>0</v>
      </c>
      <c r="C346">
        <v>70</v>
      </c>
      <c r="D346">
        <v>40</v>
      </c>
      <c r="E346">
        <v>0</v>
      </c>
      <c r="F346">
        <v>59.7</v>
      </c>
      <c r="G346">
        <v>49.54</v>
      </c>
      <c r="H346">
        <v>17.71</v>
      </c>
    </row>
    <row r="347" spans="1:8" x14ac:dyDescent="0.25">
      <c r="A347">
        <v>332</v>
      </c>
      <c r="B347">
        <v>0</v>
      </c>
      <c r="C347">
        <v>85</v>
      </c>
      <c r="D347">
        <v>40</v>
      </c>
      <c r="E347">
        <v>0</v>
      </c>
      <c r="F347">
        <v>53.23</v>
      </c>
      <c r="G347">
        <v>62.11</v>
      </c>
      <c r="H347">
        <v>16.59</v>
      </c>
    </row>
    <row r="348" spans="1:8" x14ac:dyDescent="0.25">
      <c r="A348">
        <v>333</v>
      </c>
      <c r="B348">
        <v>0</v>
      </c>
      <c r="C348">
        <v>100</v>
      </c>
      <c r="D348">
        <v>40</v>
      </c>
      <c r="E348">
        <v>0</v>
      </c>
      <c r="F348">
        <v>48.61</v>
      </c>
      <c r="G348">
        <v>71.459999999999994</v>
      </c>
      <c r="H348">
        <v>16.14</v>
      </c>
    </row>
    <row r="349" spans="1:8" x14ac:dyDescent="0.25">
      <c r="A349">
        <v>334</v>
      </c>
      <c r="B349">
        <v>10</v>
      </c>
      <c r="C349">
        <v>0</v>
      </c>
      <c r="D349">
        <v>40</v>
      </c>
      <c r="E349">
        <v>0</v>
      </c>
      <c r="F349">
        <v>88.29</v>
      </c>
      <c r="G349">
        <v>-6.45</v>
      </c>
      <c r="H349">
        <v>26.23</v>
      </c>
    </row>
    <row r="350" spans="1:8" x14ac:dyDescent="0.25">
      <c r="A350">
        <v>335</v>
      </c>
      <c r="B350">
        <v>10</v>
      </c>
      <c r="C350">
        <v>10</v>
      </c>
      <c r="D350">
        <v>40</v>
      </c>
      <c r="E350">
        <v>0</v>
      </c>
      <c r="F350">
        <v>83.72</v>
      </c>
      <c r="G350">
        <v>-0.34</v>
      </c>
      <c r="H350">
        <v>23.75</v>
      </c>
    </row>
    <row r="351" spans="1:8" x14ac:dyDescent="0.25">
      <c r="A351">
        <v>336</v>
      </c>
      <c r="B351">
        <v>10</v>
      </c>
      <c r="C351">
        <v>20</v>
      </c>
      <c r="D351">
        <v>40</v>
      </c>
      <c r="E351">
        <v>0</v>
      </c>
      <c r="F351">
        <v>79.25</v>
      </c>
      <c r="G351">
        <v>6.26</v>
      </c>
      <c r="H351">
        <v>21.38</v>
      </c>
    </row>
    <row r="352" spans="1:8" x14ac:dyDescent="0.25">
      <c r="A352">
        <v>337</v>
      </c>
      <c r="B352">
        <v>10</v>
      </c>
      <c r="C352">
        <v>30</v>
      </c>
      <c r="D352">
        <v>40</v>
      </c>
      <c r="E352">
        <v>0</v>
      </c>
      <c r="F352">
        <v>74.67</v>
      </c>
      <c r="G352">
        <v>13.21</v>
      </c>
      <c r="H352">
        <v>19.09</v>
      </c>
    </row>
    <row r="353" spans="1:8" x14ac:dyDescent="0.25">
      <c r="A353">
        <v>338</v>
      </c>
      <c r="B353">
        <v>10</v>
      </c>
      <c r="C353">
        <v>40</v>
      </c>
      <c r="D353">
        <v>40</v>
      </c>
      <c r="E353">
        <v>0</v>
      </c>
      <c r="F353">
        <v>70.069999999999993</v>
      </c>
      <c r="G353">
        <v>20.52</v>
      </c>
      <c r="H353">
        <v>17</v>
      </c>
    </row>
    <row r="354" spans="1:8" x14ac:dyDescent="0.25">
      <c r="A354">
        <v>339</v>
      </c>
      <c r="B354">
        <v>10</v>
      </c>
      <c r="C354">
        <v>55</v>
      </c>
      <c r="D354">
        <v>40</v>
      </c>
      <c r="E354">
        <v>0</v>
      </c>
      <c r="F354">
        <v>63.29</v>
      </c>
      <c r="G354">
        <v>32.01</v>
      </c>
      <c r="H354">
        <v>14.47</v>
      </c>
    </row>
    <row r="355" spans="1:8" x14ac:dyDescent="0.25">
      <c r="A355">
        <v>340</v>
      </c>
      <c r="B355">
        <v>10</v>
      </c>
      <c r="C355">
        <v>70</v>
      </c>
      <c r="D355">
        <v>40</v>
      </c>
      <c r="E355">
        <v>0</v>
      </c>
      <c r="F355">
        <v>56.53</v>
      </c>
      <c r="G355">
        <v>44.48</v>
      </c>
      <c r="H355">
        <v>12.64</v>
      </c>
    </row>
    <row r="356" spans="1:8" x14ac:dyDescent="0.25">
      <c r="A356">
        <v>341</v>
      </c>
      <c r="B356">
        <v>10</v>
      </c>
      <c r="C356">
        <v>85</v>
      </c>
      <c r="D356">
        <v>40</v>
      </c>
      <c r="E356">
        <v>0</v>
      </c>
      <c r="F356">
        <v>50.39</v>
      </c>
      <c r="G356">
        <v>56.6</v>
      </c>
      <c r="H356">
        <v>11.56</v>
      </c>
    </row>
    <row r="357" spans="1:8" x14ac:dyDescent="0.25">
      <c r="A357">
        <v>342</v>
      </c>
      <c r="B357">
        <v>10</v>
      </c>
      <c r="C357">
        <v>100</v>
      </c>
      <c r="D357">
        <v>40</v>
      </c>
      <c r="E357">
        <v>0</v>
      </c>
      <c r="F357">
        <v>46.05</v>
      </c>
      <c r="G357">
        <v>65.510000000000005</v>
      </c>
      <c r="H357">
        <v>11.11</v>
      </c>
    </row>
    <row r="358" spans="1:8" x14ac:dyDescent="0.25">
      <c r="A358">
        <v>343</v>
      </c>
      <c r="B358">
        <v>20</v>
      </c>
      <c r="C358">
        <v>0</v>
      </c>
      <c r="D358">
        <v>40</v>
      </c>
      <c r="E358">
        <v>0</v>
      </c>
      <c r="F358">
        <v>84.54</v>
      </c>
      <c r="G358">
        <v>-10.68</v>
      </c>
      <c r="H358">
        <v>21.05</v>
      </c>
    </row>
    <row r="359" spans="1:8" x14ac:dyDescent="0.25">
      <c r="A359">
        <v>344</v>
      </c>
      <c r="B359">
        <v>20</v>
      </c>
      <c r="C359">
        <v>10</v>
      </c>
      <c r="D359">
        <v>40</v>
      </c>
      <c r="E359">
        <v>0</v>
      </c>
      <c r="F359">
        <v>80</v>
      </c>
      <c r="G359">
        <v>-4.8499999999999996</v>
      </c>
      <c r="H359">
        <v>18.45</v>
      </c>
    </row>
    <row r="360" spans="1:8" x14ac:dyDescent="0.25">
      <c r="A360">
        <v>345</v>
      </c>
      <c r="B360">
        <v>20</v>
      </c>
      <c r="C360">
        <v>20</v>
      </c>
      <c r="D360">
        <v>40</v>
      </c>
      <c r="E360">
        <v>0</v>
      </c>
      <c r="F360">
        <v>75.59</v>
      </c>
      <c r="G360">
        <v>1.43</v>
      </c>
      <c r="H360">
        <v>16.079999999999998</v>
      </c>
    </row>
    <row r="361" spans="1:8" x14ac:dyDescent="0.25">
      <c r="A361">
        <v>346</v>
      </c>
      <c r="B361">
        <v>20</v>
      </c>
      <c r="C361">
        <v>30</v>
      </c>
      <c r="D361">
        <v>40</v>
      </c>
      <c r="E361">
        <v>0</v>
      </c>
      <c r="F361">
        <v>71.150000000000006</v>
      </c>
      <c r="G361">
        <v>8.2799999999999994</v>
      </c>
      <c r="H361">
        <v>13.88</v>
      </c>
    </row>
    <row r="362" spans="1:8" x14ac:dyDescent="0.25">
      <c r="A362">
        <v>347</v>
      </c>
      <c r="B362">
        <v>20</v>
      </c>
      <c r="C362">
        <v>40</v>
      </c>
      <c r="D362">
        <v>40</v>
      </c>
      <c r="E362">
        <v>0</v>
      </c>
      <c r="F362">
        <v>66.66</v>
      </c>
      <c r="G362">
        <v>15.52</v>
      </c>
      <c r="H362">
        <v>11.85</v>
      </c>
    </row>
    <row r="363" spans="1:8" x14ac:dyDescent="0.25">
      <c r="A363">
        <v>348</v>
      </c>
      <c r="B363">
        <v>20</v>
      </c>
      <c r="C363">
        <v>55</v>
      </c>
      <c r="D363">
        <v>40</v>
      </c>
      <c r="E363">
        <v>0</v>
      </c>
      <c r="F363">
        <v>60.04</v>
      </c>
      <c r="G363">
        <v>26.83</v>
      </c>
      <c r="H363">
        <v>9.3800000000000008</v>
      </c>
    </row>
    <row r="364" spans="1:8" x14ac:dyDescent="0.25">
      <c r="A364">
        <v>349</v>
      </c>
      <c r="B364">
        <v>20</v>
      </c>
      <c r="C364">
        <v>70</v>
      </c>
      <c r="D364">
        <v>40</v>
      </c>
      <c r="E364">
        <v>0</v>
      </c>
      <c r="F364">
        <v>53.45</v>
      </c>
      <c r="G364">
        <v>39.22</v>
      </c>
      <c r="H364">
        <v>7.57</v>
      </c>
    </row>
    <row r="365" spans="1:8" x14ac:dyDescent="0.25">
      <c r="A365">
        <v>350</v>
      </c>
      <c r="B365">
        <v>20</v>
      </c>
      <c r="C365">
        <v>85</v>
      </c>
      <c r="D365">
        <v>40</v>
      </c>
      <c r="E365">
        <v>0</v>
      </c>
      <c r="F365">
        <v>47.57</v>
      </c>
      <c r="G365">
        <v>50.99</v>
      </c>
      <c r="H365">
        <v>6.5</v>
      </c>
    </row>
    <row r="366" spans="1:8" x14ac:dyDescent="0.25">
      <c r="A366">
        <v>351</v>
      </c>
      <c r="B366">
        <v>20</v>
      </c>
      <c r="C366">
        <v>100</v>
      </c>
      <c r="D366">
        <v>40</v>
      </c>
      <c r="E366">
        <v>0</v>
      </c>
      <c r="F366">
        <v>43.46</v>
      </c>
      <c r="G366">
        <v>59.57</v>
      </c>
      <c r="H366">
        <v>6.04</v>
      </c>
    </row>
    <row r="367" spans="1:8" x14ac:dyDescent="0.25">
      <c r="A367">
        <v>352</v>
      </c>
      <c r="B367">
        <v>30</v>
      </c>
      <c r="C367">
        <v>0</v>
      </c>
      <c r="D367">
        <v>40</v>
      </c>
      <c r="E367">
        <v>0</v>
      </c>
      <c r="F367">
        <v>80.72</v>
      </c>
      <c r="G367">
        <v>-15.17</v>
      </c>
      <c r="H367">
        <v>15.79</v>
      </c>
    </row>
    <row r="368" spans="1:8" x14ac:dyDescent="0.25">
      <c r="A368">
        <v>353</v>
      </c>
      <c r="B368">
        <v>30</v>
      </c>
      <c r="C368">
        <v>10</v>
      </c>
      <c r="D368">
        <v>40</v>
      </c>
      <c r="E368">
        <v>0</v>
      </c>
      <c r="F368">
        <v>76.37</v>
      </c>
      <c r="G368">
        <v>-9.42</v>
      </c>
      <c r="H368">
        <v>13.34</v>
      </c>
    </row>
    <row r="369" spans="1:8" x14ac:dyDescent="0.25">
      <c r="A369">
        <v>354</v>
      </c>
      <c r="B369">
        <v>30</v>
      </c>
      <c r="C369">
        <v>20</v>
      </c>
      <c r="D369">
        <v>40</v>
      </c>
      <c r="E369">
        <v>0</v>
      </c>
      <c r="F369">
        <v>72.14</v>
      </c>
      <c r="G369">
        <v>-3.25</v>
      </c>
      <c r="H369">
        <v>11.1</v>
      </c>
    </row>
    <row r="370" spans="1:8" x14ac:dyDescent="0.25">
      <c r="A370">
        <v>355</v>
      </c>
      <c r="B370">
        <v>30</v>
      </c>
      <c r="C370">
        <v>30</v>
      </c>
      <c r="D370">
        <v>40</v>
      </c>
      <c r="E370">
        <v>0</v>
      </c>
      <c r="F370">
        <v>67.849999999999994</v>
      </c>
      <c r="G370">
        <v>3.47</v>
      </c>
      <c r="H370">
        <v>9</v>
      </c>
    </row>
    <row r="371" spans="1:8" x14ac:dyDescent="0.25">
      <c r="A371">
        <v>356</v>
      </c>
      <c r="B371">
        <v>30</v>
      </c>
      <c r="C371">
        <v>40</v>
      </c>
      <c r="D371">
        <v>40</v>
      </c>
      <c r="E371">
        <v>0</v>
      </c>
      <c r="F371">
        <v>63.51</v>
      </c>
      <c r="G371">
        <v>10.57</v>
      </c>
      <c r="H371">
        <v>7.05</v>
      </c>
    </row>
    <row r="372" spans="1:8" x14ac:dyDescent="0.25">
      <c r="A372">
        <v>357</v>
      </c>
      <c r="B372">
        <v>30</v>
      </c>
      <c r="C372">
        <v>55</v>
      </c>
      <c r="D372">
        <v>40</v>
      </c>
      <c r="E372">
        <v>0</v>
      </c>
      <c r="F372">
        <v>57.06</v>
      </c>
      <c r="G372">
        <v>21.66</v>
      </c>
      <c r="H372">
        <v>4.62</v>
      </c>
    </row>
    <row r="373" spans="1:8" x14ac:dyDescent="0.25">
      <c r="A373">
        <v>358</v>
      </c>
      <c r="B373">
        <v>30</v>
      </c>
      <c r="C373">
        <v>70</v>
      </c>
      <c r="D373">
        <v>40</v>
      </c>
      <c r="E373">
        <v>0</v>
      </c>
      <c r="F373">
        <v>50.59</v>
      </c>
      <c r="G373">
        <v>33.86</v>
      </c>
      <c r="H373">
        <v>2.79</v>
      </c>
    </row>
    <row r="374" spans="1:8" x14ac:dyDescent="0.25">
      <c r="A374">
        <v>359</v>
      </c>
      <c r="B374">
        <v>30</v>
      </c>
      <c r="C374">
        <v>85</v>
      </c>
      <c r="D374">
        <v>40</v>
      </c>
      <c r="E374">
        <v>0</v>
      </c>
      <c r="F374">
        <v>44.91</v>
      </c>
      <c r="G374">
        <v>45.33</v>
      </c>
      <c r="H374">
        <v>1.7</v>
      </c>
    </row>
    <row r="375" spans="1:8" x14ac:dyDescent="0.25">
      <c r="A375">
        <v>360</v>
      </c>
      <c r="B375">
        <v>30</v>
      </c>
      <c r="C375">
        <v>100</v>
      </c>
      <c r="D375">
        <v>40</v>
      </c>
      <c r="E375">
        <v>0</v>
      </c>
      <c r="F375">
        <v>40.98</v>
      </c>
      <c r="G375">
        <v>53.6</v>
      </c>
      <c r="H375">
        <v>1.18</v>
      </c>
    </row>
    <row r="376" spans="1:8" x14ac:dyDescent="0.25">
      <c r="A376">
        <v>361</v>
      </c>
      <c r="B376">
        <v>40</v>
      </c>
      <c r="C376">
        <v>0</v>
      </c>
      <c r="D376">
        <v>40</v>
      </c>
      <c r="E376">
        <v>0</v>
      </c>
      <c r="F376">
        <v>76.89</v>
      </c>
      <c r="G376">
        <v>-19.940000000000001</v>
      </c>
      <c r="H376">
        <v>10.51</v>
      </c>
    </row>
    <row r="377" spans="1:8" x14ac:dyDescent="0.25">
      <c r="A377">
        <v>362</v>
      </c>
      <c r="B377">
        <v>40</v>
      </c>
      <c r="C377">
        <v>10</v>
      </c>
      <c r="D377">
        <v>40</v>
      </c>
      <c r="E377">
        <v>0</v>
      </c>
      <c r="F377">
        <v>72.83</v>
      </c>
      <c r="G377">
        <v>-14.11</v>
      </c>
      <c r="H377">
        <v>8.43</v>
      </c>
    </row>
    <row r="378" spans="1:8" x14ac:dyDescent="0.25">
      <c r="A378">
        <v>363</v>
      </c>
      <c r="B378">
        <v>40</v>
      </c>
      <c r="C378">
        <v>20</v>
      </c>
      <c r="D378">
        <v>40</v>
      </c>
      <c r="E378">
        <v>0</v>
      </c>
      <c r="F378">
        <v>68.790000000000006</v>
      </c>
      <c r="G378">
        <v>-7.99</v>
      </c>
      <c r="H378">
        <v>6.38</v>
      </c>
    </row>
    <row r="379" spans="1:8" x14ac:dyDescent="0.25">
      <c r="A379">
        <v>364</v>
      </c>
      <c r="B379">
        <v>40</v>
      </c>
      <c r="C379">
        <v>30</v>
      </c>
      <c r="D379">
        <v>40</v>
      </c>
      <c r="E379">
        <v>0</v>
      </c>
      <c r="F379">
        <v>64.67</v>
      </c>
      <c r="G379">
        <v>-1.39</v>
      </c>
      <c r="H379">
        <v>4.37</v>
      </c>
    </row>
    <row r="380" spans="1:8" x14ac:dyDescent="0.25">
      <c r="A380">
        <v>365</v>
      </c>
      <c r="B380">
        <v>40</v>
      </c>
      <c r="C380">
        <v>40</v>
      </c>
      <c r="D380">
        <v>40</v>
      </c>
      <c r="E380">
        <v>0</v>
      </c>
      <c r="F380">
        <v>60.49</v>
      </c>
      <c r="G380">
        <v>5.56</v>
      </c>
      <c r="H380">
        <v>2.48</v>
      </c>
    </row>
    <row r="381" spans="1:8" x14ac:dyDescent="0.25">
      <c r="A381">
        <v>366</v>
      </c>
      <c r="B381">
        <v>40</v>
      </c>
      <c r="C381">
        <v>55</v>
      </c>
      <c r="D381">
        <v>40</v>
      </c>
      <c r="E381">
        <v>0</v>
      </c>
      <c r="F381">
        <v>54.25</v>
      </c>
      <c r="G381">
        <v>16.46</v>
      </c>
      <c r="H381">
        <v>0.15</v>
      </c>
    </row>
    <row r="382" spans="1:8" x14ac:dyDescent="0.25">
      <c r="A382">
        <v>367</v>
      </c>
      <c r="B382">
        <v>40</v>
      </c>
      <c r="C382">
        <v>70</v>
      </c>
      <c r="D382">
        <v>40</v>
      </c>
      <c r="E382">
        <v>0</v>
      </c>
      <c r="F382">
        <v>47.97</v>
      </c>
      <c r="G382">
        <v>28.45</v>
      </c>
      <c r="H382">
        <v>-1.64</v>
      </c>
    </row>
    <row r="383" spans="1:8" x14ac:dyDescent="0.25">
      <c r="A383">
        <v>368</v>
      </c>
      <c r="B383">
        <v>40</v>
      </c>
      <c r="C383">
        <v>85</v>
      </c>
      <c r="D383">
        <v>40</v>
      </c>
      <c r="E383">
        <v>0</v>
      </c>
      <c r="F383">
        <v>42.43</v>
      </c>
      <c r="G383">
        <v>39.700000000000003</v>
      </c>
      <c r="H383">
        <v>-2.79</v>
      </c>
    </row>
    <row r="384" spans="1:8" x14ac:dyDescent="0.25">
      <c r="A384">
        <v>369</v>
      </c>
      <c r="B384">
        <v>40</v>
      </c>
      <c r="C384">
        <v>100</v>
      </c>
      <c r="D384">
        <v>40</v>
      </c>
      <c r="E384">
        <v>0</v>
      </c>
      <c r="F384">
        <v>38.61</v>
      </c>
      <c r="G384">
        <v>47.73</v>
      </c>
      <c r="H384">
        <v>-3.33</v>
      </c>
    </row>
    <row r="385" spans="1:8" x14ac:dyDescent="0.25">
      <c r="A385">
        <v>370</v>
      </c>
      <c r="B385">
        <v>55</v>
      </c>
      <c r="C385">
        <v>0</v>
      </c>
      <c r="D385">
        <v>40</v>
      </c>
      <c r="E385">
        <v>0</v>
      </c>
      <c r="F385">
        <v>70.989999999999995</v>
      </c>
      <c r="G385">
        <v>-27.52</v>
      </c>
      <c r="H385">
        <v>2.62</v>
      </c>
    </row>
    <row r="386" spans="1:8" x14ac:dyDescent="0.25">
      <c r="A386">
        <v>371</v>
      </c>
      <c r="B386">
        <v>55</v>
      </c>
      <c r="C386">
        <v>10</v>
      </c>
      <c r="D386">
        <v>40</v>
      </c>
      <c r="E386">
        <v>0</v>
      </c>
      <c r="F386">
        <v>67.349999999999994</v>
      </c>
      <c r="G386">
        <v>-21.54</v>
      </c>
      <c r="H386">
        <v>0.95</v>
      </c>
    </row>
    <row r="387" spans="1:8" x14ac:dyDescent="0.25">
      <c r="A387">
        <v>372</v>
      </c>
      <c r="B387">
        <v>55</v>
      </c>
      <c r="C387">
        <v>20</v>
      </c>
      <c r="D387">
        <v>40</v>
      </c>
      <c r="E387">
        <v>0</v>
      </c>
      <c r="F387">
        <v>63.66</v>
      </c>
      <c r="G387">
        <v>-15.5</v>
      </c>
      <c r="H387">
        <v>-0.76</v>
      </c>
    </row>
    <row r="388" spans="1:8" x14ac:dyDescent="0.25">
      <c r="A388">
        <v>373</v>
      </c>
      <c r="B388">
        <v>55</v>
      </c>
      <c r="C388">
        <v>30</v>
      </c>
      <c r="D388">
        <v>40</v>
      </c>
      <c r="E388">
        <v>0</v>
      </c>
      <c r="F388">
        <v>59.79</v>
      </c>
      <c r="G388">
        <v>-9.0500000000000007</v>
      </c>
      <c r="H388">
        <v>-2.5499999999999998</v>
      </c>
    </row>
    <row r="389" spans="1:8" x14ac:dyDescent="0.25">
      <c r="A389">
        <v>374</v>
      </c>
      <c r="B389">
        <v>55</v>
      </c>
      <c r="C389">
        <v>40</v>
      </c>
      <c r="D389">
        <v>40</v>
      </c>
      <c r="E389">
        <v>0</v>
      </c>
      <c r="F389">
        <v>55.88</v>
      </c>
      <c r="G389">
        <v>-2.35</v>
      </c>
      <c r="H389">
        <v>-4.33</v>
      </c>
    </row>
    <row r="390" spans="1:8" x14ac:dyDescent="0.25">
      <c r="A390">
        <v>375</v>
      </c>
      <c r="B390">
        <v>55</v>
      </c>
      <c r="C390">
        <v>55</v>
      </c>
      <c r="D390">
        <v>40</v>
      </c>
      <c r="E390">
        <v>0</v>
      </c>
      <c r="F390">
        <v>49.99</v>
      </c>
      <c r="G390">
        <v>8.2899999999999991</v>
      </c>
      <c r="H390">
        <v>-6.49</v>
      </c>
    </row>
    <row r="391" spans="1:8" x14ac:dyDescent="0.25">
      <c r="A391">
        <v>376</v>
      </c>
      <c r="B391">
        <v>55</v>
      </c>
      <c r="C391">
        <v>70</v>
      </c>
      <c r="D391">
        <v>40</v>
      </c>
      <c r="E391">
        <v>0</v>
      </c>
      <c r="F391">
        <v>44.03</v>
      </c>
      <c r="G391">
        <v>19.98</v>
      </c>
      <c r="H391">
        <v>-8.1999999999999993</v>
      </c>
    </row>
    <row r="392" spans="1:8" x14ac:dyDescent="0.25">
      <c r="A392">
        <v>377</v>
      </c>
      <c r="B392">
        <v>55</v>
      </c>
      <c r="C392">
        <v>85</v>
      </c>
      <c r="D392">
        <v>40</v>
      </c>
      <c r="E392">
        <v>0</v>
      </c>
      <c r="F392">
        <v>38.75</v>
      </c>
      <c r="G392">
        <v>30.89</v>
      </c>
      <c r="H392">
        <v>-9.36</v>
      </c>
    </row>
    <row r="393" spans="1:8" x14ac:dyDescent="0.25">
      <c r="A393">
        <v>378</v>
      </c>
      <c r="B393">
        <v>55</v>
      </c>
      <c r="C393">
        <v>100</v>
      </c>
      <c r="D393">
        <v>40</v>
      </c>
      <c r="E393">
        <v>0</v>
      </c>
      <c r="F393">
        <v>35.090000000000003</v>
      </c>
      <c r="G393">
        <v>38.67</v>
      </c>
      <c r="H393">
        <v>-9.98</v>
      </c>
    </row>
    <row r="394" spans="1:8" x14ac:dyDescent="0.25">
      <c r="A394">
        <v>379</v>
      </c>
      <c r="B394">
        <v>70</v>
      </c>
      <c r="C394">
        <v>0</v>
      </c>
      <c r="D394">
        <v>40</v>
      </c>
      <c r="E394">
        <v>0</v>
      </c>
      <c r="F394">
        <v>64.86</v>
      </c>
      <c r="G394">
        <v>-36.11</v>
      </c>
      <c r="H394">
        <v>-5.45</v>
      </c>
    </row>
    <row r="395" spans="1:8" x14ac:dyDescent="0.25">
      <c r="A395">
        <v>380</v>
      </c>
      <c r="B395">
        <v>70</v>
      </c>
      <c r="C395">
        <v>10</v>
      </c>
      <c r="D395">
        <v>40</v>
      </c>
      <c r="E395">
        <v>0</v>
      </c>
      <c r="F395">
        <v>61.61</v>
      </c>
      <c r="G395">
        <v>-29.99</v>
      </c>
      <c r="H395">
        <v>-6.71</v>
      </c>
    </row>
    <row r="396" spans="1:8" x14ac:dyDescent="0.25">
      <c r="A396">
        <v>381</v>
      </c>
      <c r="B396">
        <v>70</v>
      </c>
      <c r="C396">
        <v>20</v>
      </c>
      <c r="D396">
        <v>40</v>
      </c>
      <c r="E396">
        <v>0</v>
      </c>
      <c r="F396">
        <v>58.3</v>
      </c>
      <c r="G396">
        <v>-23.95</v>
      </c>
      <c r="H396">
        <v>-8.0500000000000007</v>
      </c>
    </row>
    <row r="397" spans="1:8" x14ac:dyDescent="0.25">
      <c r="A397">
        <v>382</v>
      </c>
      <c r="B397">
        <v>70</v>
      </c>
      <c r="C397">
        <v>30</v>
      </c>
      <c r="D397">
        <v>40</v>
      </c>
      <c r="E397">
        <v>0</v>
      </c>
      <c r="F397">
        <v>54.78</v>
      </c>
      <c r="G397">
        <v>-17.55</v>
      </c>
      <c r="H397">
        <v>-9.49</v>
      </c>
    </row>
    <row r="398" spans="1:8" x14ac:dyDescent="0.25">
      <c r="A398">
        <v>383</v>
      </c>
      <c r="B398">
        <v>70</v>
      </c>
      <c r="C398">
        <v>40</v>
      </c>
      <c r="D398">
        <v>40</v>
      </c>
      <c r="E398">
        <v>0</v>
      </c>
      <c r="F398">
        <v>51.12</v>
      </c>
      <c r="G398">
        <v>-10.87</v>
      </c>
      <c r="H398">
        <v>-11.01</v>
      </c>
    </row>
    <row r="399" spans="1:8" x14ac:dyDescent="0.25">
      <c r="A399">
        <v>384</v>
      </c>
      <c r="B399">
        <v>70</v>
      </c>
      <c r="C399">
        <v>55</v>
      </c>
      <c r="D399">
        <v>40</v>
      </c>
      <c r="E399">
        <v>0</v>
      </c>
      <c r="F399">
        <v>45.65</v>
      </c>
      <c r="G399">
        <v>-0.55000000000000004</v>
      </c>
      <c r="H399">
        <v>-12.95</v>
      </c>
    </row>
    <row r="400" spans="1:8" x14ac:dyDescent="0.25">
      <c r="A400">
        <v>385</v>
      </c>
      <c r="B400">
        <v>70</v>
      </c>
      <c r="C400">
        <v>70</v>
      </c>
      <c r="D400">
        <v>40</v>
      </c>
      <c r="E400">
        <v>0</v>
      </c>
      <c r="F400">
        <v>40.049999999999997</v>
      </c>
      <c r="G400">
        <v>10.76</v>
      </c>
      <c r="H400">
        <v>-14.57</v>
      </c>
    </row>
    <row r="401" spans="1:8" x14ac:dyDescent="0.25">
      <c r="A401">
        <v>386</v>
      </c>
      <c r="B401">
        <v>70</v>
      </c>
      <c r="C401">
        <v>85</v>
      </c>
      <c r="D401">
        <v>40</v>
      </c>
      <c r="E401">
        <v>0</v>
      </c>
      <c r="F401">
        <v>35.04</v>
      </c>
      <c r="G401">
        <v>21.28</v>
      </c>
      <c r="H401">
        <v>-15.77</v>
      </c>
    </row>
    <row r="402" spans="1:8" x14ac:dyDescent="0.25">
      <c r="A402">
        <v>387</v>
      </c>
      <c r="B402">
        <v>70</v>
      </c>
      <c r="C402">
        <v>100</v>
      </c>
      <c r="D402">
        <v>40</v>
      </c>
      <c r="E402">
        <v>0</v>
      </c>
      <c r="F402">
        <v>31.55</v>
      </c>
      <c r="G402">
        <v>28.73</v>
      </c>
      <c r="H402">
        <v>-16.47</v>
      </c>
    </row>
    <row r="403" spans="1:8" x14ac:dyDescent="0.25">
      <c r="A403">
        <v>388</v>
      </c>
      <c r="B403">
        <v>85</v>
      </c>
      <c r="C403">
        <v>0</v>
      </c>
      <c r="D403">
        <v>40</v>
      </c>
      <c r="E403">
        <v>0</v>
      </c>
      <c r="F403">
        <v>58.86</v>
      </c>
      <c r="G403">
        <v>-45</v>
      </c>
      <c r="H403">
        <v>-13.19</v>
      </c>
    </row>
    <row r="404" spans="1:8" x14ac:dyDescent="0.25">
      <c r="A404">
        <v>389</v>
      </c>
      <c r="B404">
        <v>85</v>
      </c>
      <c r="C404">
        <v>10</v>
      </c>
      <c r="D404">
        <v>40</v>
      </c>
      <c r="E404">
        <v>0</v>
      </c>
      <c r="F404">
        <v>55.85</v>
      </c>
      <c r="G404">
        <v>-39.049999999999997</v>
      </c>
      <c r="H404">
        <v>-14.23</v>
      </c>
    </row>
    <row r="405" spans="1:8" x14ac:dyDescent="0.25">
      <c r="A405">
        <v>390</v>
      </c>
      <c r="B405">
        <v>85</v>
      </c>
      <c r="C405">
        <v>20</v>
      </c>
      <c r="D405">
        <v>40</v>
      </c>
      <c r="E405">
        <v>0</v>
      </c>
      <c r="F405">
        <v>52.82</v>
      </c>
      <c r="G405">
        <v>-33.15</v>
      </c>
      <c r="H405">
        <v>-15.32</v>
      </c>
    </row>
    <row r="406" spans="1:8" x14ac:dyDescent="0.25">
      <c r="A406">
        <v>391</v>
      </c>
      <c r="B406">
        <v>85</v>
      </c>
      <c r="C406">
        <v>30</v>
      </c>
      <c r="D406">
        <v>40</v>
      </c>
      <c r="E406">
        <v>0</v>
      </c>
      <c r="F406">
        <v>49.61</v>
      </c>
      <c r="G406">
        <v>-26.89</v>
      </c>
      <c r="H406">
        <v>-16.47</v>
      </c>
    </row>
    <row r="407" spans="1:8" x14ac:dyDescent="0.25">
      <c r="A407">
        <v>392</v>
      </c>
      <c r="B407">
        <v>85</v>
      </c>
      <c r="C407">
        <v>40</v>
      </c>
      <c r="D407">
        <v>40</v>
      </c>
      <c r="E407">
        <v>0</v>
      </c>
      <c r="F407">
        <v>46.27</v>
      </c>
      <c r="G407">
        <v>-20.29</v>
      </c>
      <c r="H407">
        <v>-17.68</v>
      </c>
    </row>
    <row r="408" spans="1:8" x14ac:dyDescent="0.25">
      <c r="A408">
        <v>393</v>
      </c>
      <c r="B408">
        <v>85</v>
      </c>
      <c r="C408">
        <v>55</v>
      </c>
      <c r="D408">
        <v>40</v>
      </c>
      <c r="E408">
        <v>0</v>
      </c>
      <c r="F408">
        <v>41.23</v>
      </c>
      <c r="G408">
        <v>-10.16</v>
      </c>
      <c r="H408">
        <v>-19.3</v>
      </c>
    </row>
    <row r="409" spans="1:8" x14ac:dyDescent="0.25">
      <c r="A409">
        <v>394</v>
      </c>
      <c r="B409">
        <v>85</v>
      </c>
      <c r="C409">
        <v>70</v>
      </c>
      <c r="D409">
        <v>40</v>
      </c>
      <c r="E409">
        <v>0</v>
      </c>
      <c r="F409">
        <v>36.01</v>
      </c>
      <c r="G409">
        <v>0.76</v>
      </c>
      <c r="H409">
        <v>-20.85</v>
      </c>
    </row>
    <row r="410" spans="1:8" x14ac:dyDescent="0.25">
      <c r="A410">
        <v>395</v>
      </c>
      <c r="B410">
        <v>85</v>
      </c>
      <c r="C410">
        <v>85</v>
      </c>
      <c r="D410">
        <v>40</v>
      </c>
      <c r="E410">
        <v>0</v>
      </c>
      <c r="F410">
        <v>31.3</v>
      </c>
      <c r="G410">
        <v>10.94</v>
      </c>
      <c r="H410">
        <v>-22.08</v>
      </c>
    </row>
    <row r="411" spans="1:8" x14ac:dyDescent="0.25">
      <c r="A411">
        <v>396</v>
      </c>
      <c r="B411">
        <v>85</v>
      </c>
      <c r="C411">
        <v>100</v>
      </c>
      <c r="D411">
        <v>40</v>
      </c>
      <c r="E411">
        <v>0</v>
      </c>
      <c r="F411">
        <v>28</v>
      </c>
      <c r="G411">
        <v>18.14</v>
      </c>
      <c r="H411">
        <v>-22.86</v>
      </c>
    </row>
    <row r="412" spans="1:8" x14ac:dyDescent="0.25">
      <c r="A412">
        <v>397</v>
      </c>
      <c r="B412">
        <v>100</v>
      </c>
      <c r="C412">
        <v>0</v>
      </c>
      <c r="D412">
        <v>40</v>
      </c>
      <c r="E412">
        <v>0</v>
      </c>
      <c r="F412">
        <v>54.26</v>
      </c>
      <c r="G412">
        <v>-52.09</v>
      </c>
      <c r="H412">
        <v>-19.059999999999999</v>
      </c>
    </row>
    <row r="413" spans="1:8" x14ac:dyDescent="0.25">
      <c r="A413">
        <v>398</v>
      </c>
      <c r="B413">
        <v>100</v>
      </c>
      <c r="C413">
        <v>10</v>
      </c>
      <c r="D413">
        <v>40</v>
      </c>
      <c r="E413">
        <v>0</v>
      </c>
      <c r="F413">
        <v>51.41</v>
      </c>
      <c r="G413">
        <v>-46.25</v>
      </c>
      <c r="H413">
        <v>-19.940000000000001</v>
      </c>
    </row>
    <row r="414" spans="1:8" x14ac:dyDescent="0.25">
      <c r="A414">
        <v>399</v>
      </c>
      <c r="B414">
        <v>100</v>
      </c>
      <c r="C414">
        <v>20</v>
      </c>
      <c r="D414">
        <v>40</v>
      </c>
      <c r="E414">
        <v>0</v>
      </c>
      <c r="F414">
        <v>48.59</v>
      </c>
      <c r="G414">
        <v>-40.479999999999997</v>
      </c>
      <c r="H414">
        <v>-20.84</v>
      </c>
    </row>
    <row r="415" spans="1:8" x14ac:dyDescent="0.25">
      <c r="A415">
        <v>400</v>
      </c>
      <c r="B415">
        <v>100</v>
      </c>
      <c r="C415">
        <v>30</v>
      </c>
      <c r="D415">
        <v>40</v>
      </c>
      <c r="E415">
        <v>0</v>
      </c>
      <c r="F415">
        <v>45.6</v>
      </c>
      <c r="G415">
        <v>-34.32</v>
      </c>
      <c r="H415">
        <v>-21.77</v>
      </c>
    </row>
    <row r="416" spans="1:8" x14ac:dyDescent="0.25">
      <c r="A416">
        <v>401</v>
      </c>
      <c r="B416">
        <v>100</v>
      </c>
      <c r="C416">
        <v>40</v>
      </c>
      <c r="D416">
        <v>40</v>
      </c>
      <c r="E416">
        <v>0</v>
      </c>
      <c r="F416">
        <v>42.51</v>
      </c>
      <c r="G416">
        <v>-27.8</v>
      </c>
      <c r="H416">
        <v>-22.79</v>
      </c>
    </row>
    <row r="417" spans="1:8" x14ac:dyDescent="0.25">
      <c r="A417">
        <v>402</v>
      </c>
      <c r="B417">
        <v>100</v>
      </c>
      <c r="C417">
        <v>55</v>
      </c>
      <c r="D417">
        <v>40</v>
      </c>
      <c r="E417">
        <v>0</v>
      </c>
      <c r="F417">
        <v>37.81</v>
      </c>
      <c r="G417">
        <v>-17.86</v>
      </c>
      <c r="H417">
        <v>-24.16</v>
      </c>
    </row>
    <row r="418" spans="1:8" x14ac:dyDescent="0.25">
      <c r="A418">
        <v>403</v>
      </c>
      <c r="B418">
        <v>100</v>
      </c>
      <c r="C418">
        <v>70</v>
      </c>
      <c r="D418">
        <v>40</v>
      </c>
      <c r="E418">
        <v>0</v>
      </c>
      <c r="F418">
        <v>32.9</v>
      </c>
      <c r="G418">
        <v>-7.19</v>
      </c>
      <c r="H418">
        <v>-25.61</v>
      </c>
    </row>
    <row r="419" spans="1:8" x14ac:dyDescent="0.25">
      <c r="A419">
        <v>404</v>
      </c>
      <c r="B419">
        <v>100</v>
      </c>
      <c r="C419">
        <v>85</v>
      </c>
      <c r="D419">
        <v>40</v>
      </c>
      <c r="E419">
        <v>0</v>
      </c>
      <c r="F419">
        <v>28.41</v>
      </c>
      <c r="G419">
        <v>2.67</v>
      </c>
      <c r="H419">
        <v>-26.87</v>
      </c>
    </row>
    <row r="420" spans="1:8" x14ac:dyDescent="0.25">
      <c r="A420">
        <v>405</v>
      </c>
      <c r="B420">
        <v>100</v>
      </c>
      <c r="C420">
        <v>100</v>
      </c>
      <c r="D420">
        <v>40</v>
      </c>
      <c r="E420">
        <v>0</v>
      </c>
      <c r="F420">
        <v>25.23</v>
      </c>
      <c r="G420">
        <v>9.68</v>
      </c>
      <c r="H420">
        <v>-27.71</v>
      </c>
    </row>
    <row r="421" spans="1:8" x14ac:dyDescent="0.25">
      <c r="A421">
        <v>406</v>
      </c>
      <c r="B421">
        <v>0</v>
      </c>
      <c r="C421">
        <v>0</v>
      </c>
      <c r="D421">
        <v>55</v>
      </c>
      <c r="E421">
        <v>0</v>
      </c>
      <c r="F421">
        <v>91.16</v>
      </c>
      <c r="G421">
        <v>-3.01</v>
      </c>
      <c r="H421">
        <v>46.52</v>
      </c>
    </row>
    <row r="422" spans="1:8" x14ac:dyDescent="0.25">
      <c r="A422">
        <v>407</v>
      </c>
      <c r="B422">
        <v>0</v>
      </c>
      <c r="C422">
        <v>10</v>
      </c>
      <c r="D422">
        <v>55</v>
      </c>
      <c r="E422">
        <v>0</v>
      </c>
      <c r="F422">
        <v>86.5</v>
      </c>
      <c r="G422">
        <v>3.86</v>
      </c>
      <c r="H422">
        <v>43.11</v>
      </c>
    </row>
    <row r="423" spans="1:8" x14ac:dyDescent="0.25">
      <c r="A423">
        <v>408</v>
      </c>
      <c r="B423">
        <v>0</v>
      </c>
      <c r="C423">
        <v>20</v>
      </c>
      <c r="D423">
        <v>55</v>
      </c>
      <c r="E423">
        <v>0</v>
      </c>
      <c r="F423">
        <v>82.12</v>
      </c>
      <c r="G423">
        <v>10.42</v>
      </c>
      <c r="H423">
        <v>40.14</v>
      </c>
    </row>
    <row r="424" spans="1:8" x14ac:dyDescent="0.25">
      <c r="A424">
        <v>409</v>
      </c>
      <c r="B424">
        <v>0</v>
      </c>
      <c r="C424">
        <v>30</v>
      </c>
      <c r="D424">
        <v>55</v>
      </c>
      <c r="E424">
        <v>0</v>
      </c>
      <c r="F424">
        <v>77.599999999999994</v>
      </c>
      <c r="G424">
        <v>17.36</v>
      </c>
      <c r="H424">
        <v>37.14</v>
      </c>
    </row>
    <row r="425" spans="1:8" x14ac:dyDescent="0.25">
      <c r="A425">
        <v>410</v>
      </c>
      <c r="B425">
        <v>0</v>
      </c>
      <c r="C425">
        <v>40</v>
      </c>
      <c r="D425">
        <v>55</v>
      </c>
      <c r="E425">
        <v>0</v>
      </c>
      <c r="F425">
        <v>73.09</v>
      </c>
      <c r="G425">
        <v>24.59</v>
      </c>
      <c r="H425">
        <v>34.42</v>
      </c>
    </row>
    <row r="426" spans="1:8" x14ac:dyDescent="0.25">
      <c r="A426">
        <v>411</v>
      </c>
      <c r="B426">
        <v>0</v>
      </c>
      <c r="C426">
        <v>55</v>
      </c>
      <c r="D426">
        <v>55</v>
      </c>
      <c r="E426">
        <v>0</v>
      </c>
      <c r="F426">
        <v>66.22</v>
      </c>
      <c r="G426">
        <v>36.08</v>
      </c>
      <c r="H426">
        <v>30.59</v>
      </c>
    </row>
    <row r="427" spans="1:8" x14ac:dyDescent="0.25">
      <c r="A427">
        <v>412</v>
      </c>
      <c r="B427">
        <v>0</v>
      </c>
      <c r="C427">
        <v>70</v>
      </c>
      <c r="D427">
        <v>55</v>
      </c>
      <c r="E427">
        <v>0</v>
      </c>
      <c r="F427">
        <v>59.42</v>
      </c>
      <c r="G427">
        <v>48.54</v>
      </c>
      <c r="H427">
        <v>27.61</v>
      </c>
    </row>
    <row r="428" spans="1:8" x14ac:dyDescent="0.25">
      <c r="A428">
        <v>413</v>
      </c>
      <c r="B428">
        <v>0</v>
      </c>
      <c r="C428">
        <v>85</v>
      </c>
      <c r="D428">
        <v>55</v>
      </c>
      <c r="E428">
        <v>0</v>
      </c>
      <c r="F428">
        <v>53.08</v>
      </c>
      <c r="G428">
        <v>61.01</v>
      </c>
      <c r="H428">
        <v>25.42</v>
      </c>
    </row>
    <row r="429" spans="1:8" x14ac:dyDescent="0.25">
      <c r="A429">
        <v>414</v>
      </c>
      <c r="B429">
        <v>0</v>
      </c>
      <c r="C429">
        <v>100</v>
      </c>
      <c r="D429">
        <v>55</v>
      </c>
      <c r="E429">
        <v>0</v>
      </c>
      <c r="F429">
        <v>48.55</v>
      </c>
      <c r="G429">
        <v>70.25</v>
      </c>
      <c r="H429">
        <v>24.19</v>
      </c>
    </row>
    <row r="430" spans="1:8" x14ac:dyDescent="0.25">
      <c r="A430">
        <v>415</v>
      </c>
      <c r="B430">
        <v>10</v>
      </c>
      <c r="C430">
        <v>0</v>
      </c>
      <c r="D430">
        <v>55</v>
      </c>
      <c r="E430">
        <v>0</v>
      </c>
      <c r="F430">
        <v>87.37</v>
      </c>
      <c r="G430">
        <v>-7.61</v>
      </c>
      <c r="H430">
        <v>40.83</v>
      </c>
    </row>
    <row r="431" spans="1:8" x14ac:dyDescent="0.25">
      <c r="A431">
        <v>416</v>
      </c>
      <c r="B431">
        <v>10</v>
      </c>
      <c r="C431">
        <v>10</v>
      </c>
      <c r="D431">
        <v>55</v>
      </c>
      <c r="E431">
        <v>0</v>
      </c>
      <c r="F431">
        <v>82.88</v>
      </c>
      <c r="G431">
        <v>-1.3</v>
      </c>
      <c r="H431">
        <v>37.479999999999997</v>
      </c>
    </row>
    <row r="432" spans="1:8" x14ac:dyDescent="0.25">
      <c r="A432">
        <v>417</v>
      </c>
      <c r="B432">
        <v>10</v>
      </c>
      <c r="C432">
        <v>20</v>
      </c>
      <c r="D432">
        <v>55</v>
      </c>
      <c r="E432">
        <v>0</v>
      </c>
      <c r="F432">
        <v>78.510000000000005</v>
      </c>
      <c r="G432">
        <v>5.29</v>
      </c>
      <c r="H432">
        <v>34.49</v>
      </c>
    </row>
    <row r="433" spans="1:8" x14ac:dyDescent="0.25">
      <c r="A433">
        <v>418</v>
      </c>
      <c r="B433">
        <v>10</v>
      </c>
      <c r="C433">
        <v>30</v>
      </c>
      <c r="D433">
        <v>55</v>
      </c>
      <c r="E433">
        <v>0</v>
      </c>
      <c r="F433">
        <v>74.05</v>
      </c>
      <c r="G433">
        <v>12.21</v>
      </c>
      <c r="H433">
        <v>31.53</v>
      </c>
    </row>
    <row r="434" spans="1:8" x14ac:dyDescent="0.25">
      <c r="A434">
        <v>419</v>
      </c>
      <c r="B434">
        <v>10</v>
      </c>
      <c r="C434">
        <v>40</v>
      </c>
      <c r="D434">
        <v>55</v>
      </c>
      <c r="E434">
        <v>0</v>
      </c>
      <c r="F434">
        <v>69.55</v>
      </c>
      <c r="G434">
        <v>19.5</v>
      </c>
      <c r="H434">
        <v>28.8</v>
      </c>
    </row>
    <row r="435" spans="1:8" x14ac:dyDescent="0.25">
      <c r="A435">
        <v>420</v>
      </c>
      <c r="B435">
        <v>10</v>
      </c>
      <c r="C435">
        <v>55</v>
      </c>
      <c r="D435">
        <v>55</v>
      </c>
      <c r="E435">
        <v>0</v>
      </c>
      <c r="F435">
        <v>62.83</v>
      </c>
      <c r="G435">
        <v>30.92</v>
      </c>
      <c r="H435">
        <v>25.05</v>
      </c>
    </row>
    <row r="436" spans="1:8" x14ac:dyDescent="0.25">
      <c r="A436">
        <v>421</v>
      </c>
      <c r="B436">
        <v>10</v>
      </c>
      <c r="C436">
        <v>70</v>
      </c>
      <c r="D436">
        <v>55</v>
      </c>
      <c r="E436">
        <v>0</v>
      </c>
      <c r="F436">
        <v>56.2</v>
      </c>
      <c r="G436">
        <v>43.36</v>
      </c>
      <c r="H436">
        <v>22.18</v>
      </c>
    </row>
    <row r="437" spans="1:8" x14ac:dyDescent="0.25">
      <c r="A437">
        <v>422</v>
      </c>
      <c r="B437">
        <v>10</v>
      </c>
      <c r="C437">
        <v>85</v>
      </c>
      <c r="D437">
        <v>55</v>
      </c>
      <c r="E437">
        <v>0</v>
      </c>
      <c r="F437">
        <v>50.19</v>
      </c>
      <c r="G437">
        <v>55.42</v>
      </c>
      <c r="H437">
        <v>20.079999999999998</v>
      </c>
    </row>
    <row r="438" spans="1:8" x14ac:dyDescent="0.25">
      <c r="A438">
        <v>423</v>
      </c>
      <c r="B438">
        <v>10</v>
      </c>
      <c r="C438">
        <v>100</v>
      </c>
      <c r="D438">
        <v>55</v>
      </c>
      <c r="E438">
        <v>0</v>
      </c>
      <c r="F438">
        <v>45.93</v>
      </c>
      <c r="G438">
        <v>64.27</v>
      </c>
      <c r="H438">
        <v>18.91</v>
      </c>
    </row>
    <row r="439" spans="1:8" x14ac:dyDescent="0.25">
      <c r="A439">
        <v>424</v>
      </c>
      <c r="B439">
        <v>20</v>
      </c>
      <c r="C439">
        <v>0</v>
      </c>
      <c r="D439">
        <v>55</v>
      </c>
      <c r="E439">
        <v>0</v>
      </c>
      <c r="F439">
        <v>83.67</v>
      </c>
      <c r="G439">
        <v>-12.11</v>
      </c>
      <c r="H439">
        <v>35.340000000000003</v>
      </c>
    </row>
    <row r="440" spans="1:8" x14ac:dyDescent="0.25">
      <c r="A440">
        <v>425</v>
      </c>
      <c r="B440">
        <v>20</v>
      </c>
      <c r="C440">
        <v>10</v>
      </c>
      <c r="D440">
        <v>55</v>
      </c>
      <c r="E440">
        <v>0</v>
      </c>
      <c r="F440">
        <v>79.209999999999994</v>
      </c>
      <c r="G440">
        <v>-6.05</v>
      </c>
      <c r="H440">
        <v>31.94</v>
      </c>
    </row>
    <row r="441" spans="1:8" x14ac:dyDescent="0.25">
      <c r="A441">
        <v>426</v>
      </c>
      <c r="B441">
        <v>20</v>
      </c>
      <c r="C441">
        <v>20</v>
      </c>
      <c r="D441">
        <v>55</v>
      </c>
      <c r="E441">
        <v>0</v>
      </c>
      <c r="F441">
        <v>74.88</v>
      </c>
      <c r="G441">
        <v>0.18</v>
      </c>
      <c r="H441">
        <v>28.84</v>
      </c>
    </row>
    <row r="442" spans="1:8" x14ac:dyDescent="0.25">
      <c r="A442">
        <v>427</v>
      </c>
      <c r="B442">
        <v>20</v>
      </c>
      <c r="C442">
        <v>30</v>
      </c>
      <c r="D442">
        <v>55</v>
      </c>
      <c r="E442">
        <v>0</v>
      </c>
      <c r="F442">
        <v>70.510000000000005</v>
      </c>
      <c r="G442">
        <v>7.05</v>
      </c>
      <c r="H442">
        <v>25.95</v>
      </c>
    </row>
    <row r="443" spans="1:8" x14ac:dyDescent="0.25">
      <c r="A443">
        <v>428</v>
      </c>
      <c r="B443">
        <v>20</v>
      </c>
      <c r="C443">
        <v>40</v>
      </c>
      <c r="D443">
        <v>55</v>
      </c>
      <c r="E443">
        <v>0</v>
      </c>
      <c r="F443">
        <v>66.09</v>
      </c>
      <c r="G443">
        <v>14.31</v>
      </c>
      <c r="H443">
        <v>23.27</v>
      </c>
    </row>
    <row r="444" spans="1:8" x14ac:dyDescent="0.25">
      <c r="A444">
        <v>429</v>
      </c>
      <c r="B444">
        <v>20</v>
      </c>
      <c r="C444">
        <v>55</v>
      </c>
      <c r="D444">
        <v>55</v>
      </c>
      <c r="E444">
        <v>0</v>
      </c>
      <c r="F444">
        <v>59.55</v>
      </c>
      <c r="G444">
        <v>25.58</v>
      </c>
      <c r="H444">
        <v>19.62</v>
      </c>
    </row>
    <row r="445" spans="1:8" x14ac:dyDescent="0.25">
      <c r="A445">
        <v>430</v>
      </c>
      <c r="B445">
        <v>20</v>
      </c>
      <c r="C445">
        <v>70</v>
      </c>
      <c r="D445">
        <v>55</v>
      </c>
      <c r="E445">
        <v>0</v>
      </c>
      <c r="F445">
        <v>53.08</v>
      </c>
      <c r="G445">
        <v>37.979999999999997</v>
      </c>
      <c r="H445">
        <v>16.79</v>
      </c>
    </row>
    <row r="446" spans="1:8" x14ac:dyDescent="0.25">
      <c r="A446">
        <v>431</v>
      </c>
      <c r="B446">
        <v>20</v>
      </c>
      <c r="C446">
        <v>85</v>
      </c>
      <c r="D446">
        <v>55</v>
      </c>
      <c r="E446">
        <v>0</v>
      </c>
      <c r="F446">
        <v>47.34</v>
      </c>
      <c r="G446">
        <v>49.73</v>
      </c>
      <c r="H446">
        <v>14.77</v>
      </c>
    </row>
    <row r="447" spans="1:8" x14ac:dyDescent="0.25">
      <c r="A447">
        <v>432</v>
      </c>
      <c r="B447">
        <v>20</v>
      </c>
      <c r="C447">
        <v>100</v>
      </c>
      <c r="D447">
        <v>55</v>
      </c>
      <c r="E447">
        <v>0</v>
      </c>
      <c r="F447">
        <v>43.33</v>
      </c>
      <c r="G447">
        <v>58.26</v>
      </c>
      <c r="H447">
        <v>13.63</v>
      </c>
    </row>
    <row r="448" spans="1:8" x14ac:dyDescent="0.25">
      <c r="A448">
        <v>433</v>
      </c>
      <c r="B448">
        <v>30</v>
      </c>
      <c r="C448">
        <v>0</v>
      </c>
      <c r="D448">
        <v>55</v>
      </c>
      <c r="E448">
        <v>0</v>
      </c>
      <c r="F448">
        <v>79.89</v>
      </c>
      <c r="G448">
        <v>-16.89</v>
      </c>
      <c r="H448">
        <v>29.78</v>
      </c>
    </row>
    <row r="449" spans="1:8" x14ac:dyDescent="0.25">
      <c r="A449">
        <v>434</v>
      </c>
      <c r="B449">
        <v>30</v>
      </c>
      <c r="C449">
        <v>10</v>
      </c>
      <c r="D449">
        <v>55</v>
      </c>
      <c r="E449">
        <v>0</v>
      </c>
      <c r="F449">
        <v>75.61</v>
      </c>
      <c r="G449">
        <v>-10.91</v>
      </c>
      <c r="H449">
        <v>26.57</v>
      </c>
    </row>
    <row r="450" spans="1:8" x14ac:dyDescent="0.25">
      <c r="A450">
        <v>435</v>
      </c>
      <c r="B450">
        <v>30</v>
      </c>
      <c r="C450">
        <v>20</v>
      </c>
      <c r="D450">
        <v>55</v>
      </c>
      <c r="E450">
        <v>0</v>
      </c>
      <c r="F450">
        <v>71.430000000000007</v>
      </c>
      <c r="G450">
        <v>-4.76</v>
      </c>
      <c r="H450">
        <v>23.59</v>
      </c>
    </row>
    <row r="451" spans="1:8" x14ac:dyDescent="0.25">
      <c r="A451">
        <v>436</v>
      </c>
      <c r="B451">
        <v>30</v>
      </c>
      <c r="C451">
        <v>30</v>
      </c>
      <c r="D451">
        <v>55</v>
      </c>
      <c r="E451">
        <v>0</v>
      </c>
      <c r="F451">
        <v>67.17</v>
      </c>
      <c r="G451">
        <v>1.97</v>
      </c>
      <c r="H451">
        <v>20.76</v>
      </c>
    </row>
    <row r="452" spans="1:8" x14ac:dyDescent="0.25">
      <c r="A452">
        <v>437</v>
      </c>
      <c r="B452">
        <v>30</v>
      </c>
      <c r="C452">
        <v>40</v>
      </c>
      <c r="D452">
        <v>55</v>
      </c>
      <c r="E452">
        <v>0</v>
      </c>
      <c r="F452">
        <v>62.88</v>
      </c>
      <c r="G452">
        <v>9.1300000000000008</v>
      </c>
      <c r="H452">
        <v>18.170000000000002</v>
      </c>
    </row>
    <row r="453" spans="1:8" x14ac:dyDescent="0.25">
      <c r="A453">
        <v>438</v>
      </c>
      <c r="B453">
        <v>30</v>
      </c>
      <c r="C453">
        <v>55</v>
      </c>
      <c r="D453">
        <v>55</v>
      </c>
      <c r="E453">
        <v>0</v>
      </c>
      <c r="F453">
        <v>56.55</v>
      </c>
      <c r="G453">
        <v>20.21</v>
      </c>
      <c r="H453">
        <v>14.63</v>
      </c>
    </row>
    <row r="454" spans="1:8" x14ac:dyDescent="0.25">
      <c r="A454">
        <v>439</v>
      </c>
      <c r="B454">
        <v>30</v>
      </c>
      <c r="C454">
        <v>70</v>
      </c>
      <c r="D454">
        <v>55</v>
      </c>
      <c r="E454">
        <v>0</v>
      </c>
      <c r="F454">
        <v>50.21</v>
      </c>
      <c r="G454">
        <v>32.47</v>
      </c>
      <c r="H454">
        <v>11.79</v>
      </c>
    </row>
    <row r="455" spans="1:8" x14ac:dyDescent="0.25">
      <c r="A455">
        <v>440</v>
      </c>
      <c r="B455">
        <v>30</v>
      </c>
      <c r="C455">
        <v>85</v>
      </c>
      <c r="D455">
        <v>55</v>
      </c>
      <c r="E455">
        <v>0</v>
      </c>
      <c r="F455">
        <v>44.65</v>
      </c>
      <c r="G455">
        <v>43.96</v>
      </c>
      <c r="H455">
        <v>9.77</v>
      </c>
    </row>
    <row r="456" spans="1:8" x14ac:dyDescent="0.25">
      <c r="A456">
        <v>441</v>
      </c>
      <c r="B456">
        <v>30</v>
      </c>
      <c r="C456">
        <v>100</v>
      </c>
      <c r="D456">
        <v>55</v>
      </c>
      <c r="E456">
        <v>0</v>
      </c>
      <c r="F456">
        <v>40.81</v>
      </c>
      <c r="G456">
        <v>52.21</v>
      </c>
      <c r="H456">
        <v>8.64</v>
      </c>
    </row>
    <row r="457" spans="1:8" x14ac:dyDescent="0.25">
      <c r="A457">
        <v>442</v>
      </c>
      <c r="B457">
        <v>40</v>
      </c>
      <c r="C457">
        <v>0</v>
      </c>
      <c r="D457">
        <v>55</v>
      </c>
      <c r="E457">
        <v>0</v>
      </c>
      <c r="F457">
        <v>76.06</v>
      </c>
      <c r="G457">
        <v>-21.97</v>
      </c>
      <c r="H457">
        <v>24.23</v>
      </c>
    </row>
    <row r="458" spans="1:8" x14ac:dyDescent="0.25">
      <c r="A458">
        <v>443</v>
      </c>
      <c r="B458">
        <v>40</v>
      </c>
      <c r="C458">
        <v>10</v>
      </c>
      <c r="D458">
        <v>55</v>
      </c>
      <c r="E458">
        <v>0</v>
      </c>
      <c r="F458">
        <v>72.05</v>
      </c>
      <c r="G458">
        <v>-15.93</v>
      </c>
      <c r="H458">
        <v>21.32</v>
      </c>
    </row>
    <row r="459" spans="1:8" x14ac:dyDescent="0.25">
      <c r="A459">
        <v>444</v>
      </c>
      <c r="B459">
        <v>40</v>
      </c>
      <c r="C459">
        <v>20</v>
      </c>
      <c r="D459">
        <v>55</v>
      </c>
      <c r="E459">
        <v>0</v>
      </c>
      <c r="F459">
        <v>68.069999999999993</v>
      </c>
      <c r="G459">
        <v>-9.7899999999999991</v>
      </c>
      <c r="H459">
        <v>18.559999999999999</v>
      </c>
    </row>
    <row r="460" spans="1:8" x14ac:dyDescent="0.25">
      <c r="A460">
        <v>445</v>
      </c>
      <c r="B460">
        <v>40</v>
      </c>
      <c r="C460">
        <v>30</v>
      </c>
      <c r="D460">
        <v>55</v>
      </c>
      <c r="E460">
        <v>0</v>
      </c>
      <c r="F460">
        <v>63.98</v>
      </c>
      <c r="G460">
        <v>-3.14</v>
      </c>
      <c r="H460">
        <v>15.88</v>
      </c>
    </row>
    <row r="461" spans="1:8" x14ac:dyDescent="0.25">
      <c r="A461">
        <v>446</v>
      </c>
      <c r="B461">
        <v>40</v>
      </c>
      <c r="C461">
        <v>40</v>
      </c>
      <c r="D461">
        <v>55</v>
      </c>
      <c r="E461">
        <v>0</v>
      </c>
      <c r="F461">
        <v>59.86</v>
      </c>
      <c r="G461">
        <v>3.9</v>
      </c>
      <c r="H461">
        <v>13.39</v>
      </c>
    </row>
    <row r="462" spans="1:8" x14ac:dyDescent="0.25">
      <c r="A462">
        <v>447</v>
      </c>
      <c r="B462">
        <v>40</v>
      </c>
      <c r="C462">
        <v>55</v>
      </c>
      <c r="D462">
        <v>55</v>
      </c>
      <c r="E462">
        <v>0</v>
      </c>
      <c r="F462">
        <v>53.73</v>
      </c>
      <c r="G462">
        <v>14.83</v>
      </c>
      <c r="H462">
        <v>9.99</v>
      </c>
    </row>
    <row r="463" spans="1:8" x14ac:dyDescent="0.25">
      <c r="A463">
        <v>448</v>
      </c>
      <c r="B463">
        <v>40</v>
      </c>
      <c r="C463">
        <v>70</v>
      </c>
      <c r="D463">
        <v>55</v>
      </c>
      <c r="E463">
        <v>0</v>
      </c>
      <c r="F463">
        <v>47.57</v>
      </c>
      <c r="G463">
        <v>26.89</v>
      </c>
      <c r="H463">
        <v>7.2</v>
      </c>
    </row>
    <row r="464" spans="1:8" x14ac:dyDescent="0.25">
      <c r="A464">
        <v>449</v>
      </c>
      <c r="B464">
        <v>40</v>
      </c>
      <c r="C464">
        <v>85</v>
      </c>
      <c r="D464">
        <v>55</v>
      </c>
      <c r="E464">
        <v>0</v>
      </c>
      <c r="F464">
        <v>42.15</v>
      </c>
      <c r="G464">
        <v>38.18</v>
      </c>
      <c r="H464">
        <v>5.15</v>
      </c>
    </row>
    <row r="465" spans="1:8" x14ac:dyDescent="0.25">
      <c r="A465">
        <v>450</v>
      </c>
      <c r="B465">
        <v>40</v>
      </c>
      <c r="C465">
        <v>100</v>
      </c>
      <c r="D465">
        <v>55</v>
      </c>
      <c r="E465">
        <v>0</v>
      </c>
      <c r="F465">
        <v>38.43</v>
      </c>
      <c r="G465">
        <v>46.2</v>
      </c>
      <c r="H465">
        <v>3.99</v>
      </c>
    </row>
    <row r="466" spans="1:8" x14ac:dyDescent="0.25">
      <c r="A466">
        <v>451</v>
      </c>
      <c r="B466">
        <v>55</v>
      </c>
      <c r="C466">
        <v>0</v>
      </c>
      <c r="D466">
        <v>55</v>
      </c>
      <c r="E466">
        <v>0</v>
      </c>
      <c r="F466">
        <v>70.209999999999994</v>
      </c>
      <c r="G466">
        <v>-30.11</v>
      </c>
      <c r="H466">
        <v>15.8</v>
      </c>
    </row>
    <row r="467" spans="1:8" x14ac:dyDescent="0.25">
      <c r="A467">
        <v>452</v>
      </c>
      <c r="B467">
        <v>55</v>
      </c>
      <c r="C467">
        <v>10</v>
      </c>
      <c r="D467">
        <v>55</v>
      </c>
      <c r="E467">
        <v>0</v>
      </c>
      <c r="F467">
        <v>66.599999999999994</v>
      </c>
      <c r="G467">
        <v>-23.96</v>
      </c>
      <c r="H467">
        <v>13.4</v>
      </c>
    </row>
    <row r="468" spans="1:8" x14ac:dyDescent="0.25">
      <c r="A468">
        <v>453</v>
      </c>
      <c r="B468">
        <v>55</v>
      </c>
      <c r="C468">
        <v>20</v>
      </c>
      <c r="D468">
        <v>55</v>
      </c>
      <c r="E468">
        <v>0</v>
      </c>
      <c r="F468">
        <v>62.95</v>
      </c>
      <c r="G468">
        <v>-17.82</v>
      </c>
      <c r="H468">
        <v>11.01</v>
      </c>
    </row>
    <row r="469" spans="1:8" x14ac:dyDescent="0.25">
      <c r="A469">
        <v>454</v>
      </c>
      <c r="B469">
        <v>55</v>
      </c>
      <c r="C469">
        <v>30</v>
      </c>
      <c r="D469">
        <v>55</v>
      </c>
      <c r="E469">
        <v>0</v>
      </c>
      <c r="F469">
        <v>59.13</v>
      </c>
      <c r="G469">
        <v>-11.22</v>
      </c>
      <c r="H469">
        <v>8.57</v>
      </c>
    </row>
    <row r="470" spans="1:8" x14ac:dyDescent="0.25">
      <c r="A470">
        <v>455</v>
      </c>
      <c r="B470">
        <v>55</v>
      </c>
      <c r="C470">
        <v>40</v>
      </c>
      <c r="D470">
        <v>55</v>
      </c>
      <c r="E470">
        <v>0</v>
      </c>
      <c r="F470">
        <v>55.24</v>
      </c>
      <c r="G470">
        <v>-4.34</v>
      </c>
      <c r="H470">
        <v>6.29</v>
      </c>
    </row>
    <row r="471" spans="1:8" x14ac:dyDescent="0.25">
      <c r="A471">
        <v>456</v>
      </c>
      <c r="B471">
        <v>55</v>
      </c>
      <c r="C471">
        <v>55</v>
      </c>
      <c r="D471">
        <v>55</v>
      </c>
      <c r="E471">
        <v>0</v>
      </c>
      <c r="F471">
        <v>49.45</v>
      </c>
      <c r="G471">
        <v>6.39</v>
      </c>
      <c r="H471">
        <v>3.07</v>
      </c>
    </row>
    <row r="472" spans="1:8" x14ac:dyDescent="0.25">
      <c r="A472">
        <v>457</v>
      </c>
      <c r="B472">
        <v>55</v>
      </c>
      <c r="C472">
        <v>70</v>
      </c>
      <c r="D472">
        <v>55</v>
      </c>
      <c r="E472">
        <v>0</v>
      </c>
      <c r="F472">
        <v>43.62</v>
      </c>
      <c r="G472">
        <v>18.12</v>
      </c>
      <c r="H472">
        <v>0.41</v>
      </c>
    </row>
    <row r="473" spans="1:8" x14ac:dyDescent="0.25">
      <c r="A473">
        <v>458</v>
      </c>
      <c r="B473">
        <v>55</v>
      </c>
      <c r="C473">
        <v>85</v>
      </c>
      <c r="D473">
        <v>55</v>
      </c>
      <c r="E473">
        <v>0</v>
      </c>
      <c r="F473">
        <v>38.44</v>
      </c>
      <c r="G473">
        <v>29.13</v>
      </c>
      <c r="H473">
        <v>-1.61</v>
      </c>
    </row>
    <row r="474" spans="1:8" x14ac:dyDescent="0.25">
      <c r="A474">
        <v>459</v>
      </c>
      <c r="B474">
        <v>55</v>
      </c>
      <c r="C474">
        <v>100</v>
      </c>
      <c r="D474">
        <v>55</v>
      </c>
      <c r="E474">
        <v>0</v>
      </c>
      <c r="F474">
        <v>34.840000000000003</v>
      </c>
      <c r="G474">
        <v>36.96</v>
      </c>
      <c r="H474">
        <v>-2.79</v>
      </c>
    </row>
    <row r="475" spans="1:8" x14ac:dyDescent="0.25">
      <c r="A475">
        <v>460</v>
      </c>
      <c r="B475">
        <v>70</v>
      </c>
      <c r="C475">
        <v>0</v>
      </c>
      <c r="D475">
        <v>55</v>
      </c>
      <c r="E475">
        <v>0</v>
      </c>
      <c r="F475">
        <v>64.099999999999994</v>
      </c>
      <c r="G475">
        <v>-39.42</v>
      </c>
      <c r="H475">
        <v>7.24</v>
      </c>
    </row>
    <row r="476" spans="1:8" x14ac:dyDescent="0.25">
      <c r="A476">
        <v>461</v>
      </c>
      <c r="B476">
        <v>70</v>
      </c>
      <c r="C476">
        <v>10</v>
      </c>
      <c r="D476">
        <v>55</v>
      </c>
      <c r="E476">
        <v>0</v>
      </c>
      <c r="F476">
        <v>60.87</v>
      </c>
      <c r="G476">
        <v>-33.090000000000003</v>
      </c>
      <c r="H476">
        <v>5.31</v>
      </c>
    </row>
    <row r="477" spans="1:8" x14ac:dyDescent="0.25">
      <c r="A477">
        <v>462</v>
      </c>
      <c r="B477">
        <v>70</v>
      </c>
      <c r="C477">
        <v>20</v>
      </c>
      <c r="D477">
        <v>55</v>
      </c>
      <c r="E477">
        <v>0</v>
      </c>
      <c r="F477">
        <v>57.61</v>
      </c>
      <c r="G477">
        <v>-26.87</v>
      </c>
      <c r="H477">
        <v>3.34</v>
      </c>
    </row>
    <row r="478" spans="1:8" x14ac:dyDescent="0.25">
      <c r="A478">
        <v>463</v>
      </c>
      <c r="B478">
        <v>70</v>
      </c>
      <c r="C478">
        <v>30</v>
      </c>
      <c r="D478">
        <v>55</v>
      </c>
      <c r="E478">
        <v>0</v>
      </c>
      <c r="F478">
        <v>54.14</v>
      </c>
      <c r="G478">
        <v>-20.29</v>
      </c>
      <c r="H478">
        <v>1.26</v>
      </c>
    </row>
    <row r="479" spans="1:8" x14ac:dyDescent="0.25">
      <c r="A479">
        <v>464</v>
      </c>
      <c r="B479">
        <v>70</v>
      </c>
      <c r="C479">
        <v>40</v>
      </c>
      <c r="D479">
        <v>55</v>
      </c>
      <c r="E479">
        <v>0</v>
      </c>
      <c r="F479">
        <v>50.53</v>
      </c>
      <c r="G479">
        <v>-13.46</v>
      </c>
      <c r="H479">
        <v>-0.78</v>
      </c>
    </row>
    <row r="480" spans="1:8" x14ac:dyDescent="0.25">
      <c r="A480">
        <v>465</v>
      </c>
      <c r="B480">
        <v>70</v>
      </c>
      <c r="C480">
        <v>55</v>
      </c>
      <c r="D480">
        <v>55</v>
      </c>
      <c r="E480">
        <v>0</v>
      </c>
      <c r="F480">
        <v>45.14</v>
      </c>
      <c r="G480">
        <v>-2.97</v>
      </c>
      <c r="H480">
        <v>-3.66</v>
      </c>
    </row>
    <row r="481" spans="1:8" x14ac:dyDescent="0.25">
      <c r="A481">
        <v>466</v>
      </c>
      <c r="B481">
        <v>70</v>
      </c>
      <c r="C481">
        <v>70</v>
      </c>
      <c r="D481">
        <v>55</v>
      </c>
      <c r="E481">
        <v>0</v>
      </c>
      <c r="F481">
        <v>39.630000000000003</v>
      </c>
      <c r="G481">
        <v>8.4700000000000006</v>
      </c>
      <c r="H481">
        <v>-6.19</v>
      </c>
    </row>
    <row r="482" spans="1:8" x14ac:dyDescent="0.25">
      <c r="A482">
        <v>467</v>
      </c>
      <c r="B482">
        <v>70</v>
      </c>
      <c r="C482">
        <v>85</v>
      </c>
      <c r="D482">
        <v>55</v>
      </c>
      <c r="E482">
        <v>0</v>
      </c>
      <c r="F482">
        <v>34.729999999999997</v>
      </c>
      <c r="G482">
        <v>19.09</v>
      </c>
      <c r="H482">
        <v>-8.17</v>
      </c>
    </row>
    <row r="483" spans="1:8" x14ac:dyDescent="0.25">
      <c r="A483">
        <v>468</v>
      </c>
      <c r="B483">
        <v>70</v>
      </c>
      <c r="C483">
        <v>100</v>
      </c>
      <c r="D483">
        <v>55</v>
      </c>
      <c r="E483">
        <v>0</v>
      </c>
      <c r="F483">
        <v>31.28</v>
      </c>
      <c r="G483">
        <v>26.67</v>
      </c>
      <c r="H483">
        <v>-9.3800000000000008</v>
      </c>
    </row>
    <row r="484" spans="1:8" x14ac:dyDescent="0.25">
      <c r="A484">
        <v>469</v>
      </c>
      <c r="B484">
        <v>85</v>
      </c>
      <c r="C484">
        <v>0</v>
      </c>
      <c r="D484">
        <v>55</v>
      </c>
      <c r="E484">
        <v>0</v>
      </c>
      <c r="F484">
        <v>58.07</v>
      </c>
      <c r="G484">
        <v>-49.1</v>
      </c>
      <c r="H484">
        <v>-1.01</v>
      </c>
    </row>
    <row r="485" spans="1:8" x14ac:dyDescent="0.25">
      <c r="A485">
        <v>470</v>
      </c>
      <c r="B485">
        <v>85</v>
      </c>
      <c r="C485">
        <v>10</v>
      </c>
      <c r="D485">
        <v>55</v>
      </c>
      <c r="E485">
        <v>0</v>
      </c>
      <c r="F485">
        <v>55.11</v>
      </c>
      <c r="G485">
        <v>-42.88</v>
      </c>
      <c r="H485">
        <v>-2.67</v>
      </c>
    </row>
    <row r="486" spans="1:8" x14ac:dyDescent="0.25">
      <c r="A486">
        <v>471</v>
      </c>
      <c r="B486">
        <v>85</v>
      </c>
      <c r="C486">
        <v>20</v>
      </c>
      <c r="D486">
        <v>55</v>
      </c>
      <c r="E486">
        <v>0</v>
      </c>
      <c r="F486">
        <v>52.14</v>
      </c>
      <c r="G486">
        <v>-36.770000000000003</v>
      </c>
      <c r="H486">
        <v>-4.34</v>
      </c>
    </row>
    <row r="487" spans="1:8" x14ac:dyDescent="0.25">
      <c r="A487">
        <v>472</v>
      </c>
      <c r="B487">
        <v>85</v>
      </c>
      <c r="C487">
        <v>30</v>
      </c>
      <c r="D487">
        <v>55</v>
      </c>
      <c r="E487">
        <v>0</v>
      </c>
      <c r="F487">
        <v>49</v>
      </c>
      <c r="G487">
        <v>-30.29</v>
      </c>
      <c r="H487">
        <v>-6.09</v>
      </c>
    </row>
    <row r="488" spans="1:8" x14ac:dyDescent="0.25">
      <c r="A488">
        <v>473</v>
      </c>
      <c r="B488">
        <v>85</v>
      </c>
      <c r="C488">
        <v>40</v>
      </c>
      <c r="D488">
        <v>55</v>
      </c>
      <c r="E488">
        <v>0</v>
      </c>
      <c r="F488">
        <v>45.72</v>
      </c>
      <c r="G488">
        <v>-23.51</v>
      </c>
      <c r="H488">
        <v>-7.82</v>
      </c>
    </row>
    <row r="489" spans="1:8" x14ac:dyDescent="0.25">
      <c r="A489">
        <v>474</v>
      </c>
      <c r="B489">
        <v>85</v>
      </c>
      <c r="C489">
        <v>55</v>
      </c>
      <c r="D489">
        <v>55</v>
      </c>
      <c r="E489">
        <v>0</v>
      </c>
      <c r="F489">
        <v>40.770000000000003</v>
      </c>
      <c r="G489">
        <v>-13.2</v>
      </c>
      <c r="H489">
        <v>-10.29</v>
      </c>
    </row>
    <row r="490" spans="1:8" x14ac:dyDescent="0.25">
      <c r="A490">
        <v>475</v>
      </c>
      <c r="B490">
        <v>85</v>
      </c>
      <c r="C490">
        <v>70</v>
      </c>
      <c r="D490">
        <v>55</v>
      </c>
      <c r="E490">
        <v>0</v>
      </c>
      <c r="F490">
        <v>35.630000000000003</v>
      </c>
      <c r="G490">
        <v>-2.04</v>
      </c>
      <c r="H490">
        <v>-12.63</v>
      </c>
    </row>
    <row r="491" spans="1:8" x14ac:dyDescent="0.25">
      <c r="A491">
        <v>476</v>
      </c>
      <c r="B491">
        <v>85</v>
      </c>
      <c r="C491">
        <v>85</v>
      </c>
      <c r="D491">
        <v>55</v>
      </c>
      <c r="E491">
        <v>0</v>
      </c>
      <c r="F491">
        <v>30.98</v>
      </c>
      <c r="G491">
        <v>8.1999999999999993</v>
      </c>
      <c r="H491">
        <v>-14.59</v>
      </c>
    </row>
    <row r="492" spans="1:8" x14ac:dyDescent="0.25">
      <c r="A492">
        <v>477</v>
      </c>
      <c r="B492">
        <v>85</v>
      </c>
      <c r="C492">
        <v>100</v>
      </c>
      <c r="D492">
        <v>55</v>
      </c>
      <c r="E492">
        <v>0</v>
      </c>
      <c r="F492">
        <v>27.71</v>
      </c>
      <c r="G492">
        <v>15.51</v>
      </c>
      <c r="H492">
        <v>-15.83</v>
      </c>
    </row>
    <row r="493" spans="1:8" x14ac:dyDescent="0.25">
      <c r="A493">
        <v>478</v>
      </c>
      <c r="B493">
        <v>100</v>
      </c>
      <c r="C493">
        <v>0</v>
      </c>
      <c r="D493">
        <v>55</v>
      </c>
      <c r="E493">
        <v>0</v>
      </c>
      <c r="F493">
        <v>53.46</v>
      </c>
      <c r="G493">
        <v>-56.77</v>
      </c>
      <c r="H493">
        <v>-7.29</v>
      </c>
    </row>
    <row r="494" spans="1:8" x14ac:dyDescent="0.25">
      <c r="A494">
        <v>479</v>
      </c>
      <c r="B494">
        <v>100</v>
      </c>
      <c r="C494">
        <v>10</v>
      </c>
      <c r="D494">
        <v>55</v>
      </c>
      <c r="E494">
        <v>0</v>
      </c>
      <c r="F494">
        <v>50.66</v>
      </c>
      <c r="G494">
        <v>-50.65</v>
      </c>
      <c r="H494">
        <v>-8.75</v>
      </c>
    </row>
    <row r="495" spans="1:8" x14ac:dyDescent="0.25">
      <c r="A495">
        <v>480</v>
      </c>
      <c r="B495">
        <v>100</v>
      </c>
      <c r="C495">
        <v>20</v>
      </c>
      <c r="D495">
        <v>55</v>
      </c>
      <c r="E495">
        <v>0</v>
      </c>
      <c r="F495">
        <v>47.91</v>
      </c>
      <c r="G495">
        <v>-44.64</v>
      </c>
      <c r="H495">
        <v>-10.199999999999999</v>
      </c>
    </row>
    <row r="496" spans="1:8" x14ac:dyDescent="0.25">
      <c r="A496">
        <v>481</v>
      </c>
      <c r="B496">
        <v>100</v>
      </c>
      <c r="C496">
        <v>30</v>
      </c>
      <c r="D496">
        <v>55</v>
      </c>
      <c r="E496">
        <v>0</v>
      </c>
      <c r="F496">
        <v>45.02</v>
      </c>
      <c r="G496">
        <v>-38.229999999999997</v>
      </c>
      <c r="H496">
        <v>-11.69</v>
      </c>
    </row>
    <row r="497" spans="1:8" x14ac:dyDescent="0.25">
      <c r="A497">
        <v>482</v>
      </c>
      <c r="B497">
        <v>100</v>
      </c>
      <c r="C497">
        <v>40</v>
      </c>
      <c r="D497">
        <v>55</v>
      </c>
      <c r="E497">
        <v>0</v>
      </c>
      <c r="F497">
        <v>41.99</v>
      </c>
      <c r="G497">
        <v>-31.56</v>
      </c>
      <c r="H497">
        <v>-13.18</v>
      </c>
    </row>
    <row r="498" spans="1:8" x14ac:dyDescent="0.25">
      <c r="A498">
        <v>483</v>
      </c>
      <c r="B498">
        <v>100</v>
      </c>
      <c r="C498">
        <v>55</v>
      </c>
      <c r="D498">
        <v>55</v>
      </c>
      <c r="E498">
        <v>0</v>
      </c>
      <c r="F498">
        <v>37.380000000000003</v>
      </c>
      <c r="G498">
        <v>-21.36</v>
      </c>
      <c r="H498">
        <v>-15.36</v>
      </c>
    </row>
    <row r="499" spans="1:8" x14ac:dyDescent="0.25">
      <c r="A499">
        <v>484</v>
      </c>
      <c r="B499">
        <v>100</v>
      </c>
      <c r="C499">
        <v>70</v>
      </c>
      <c r="D499">
        <v>55</v>
      </c>
      <c r="E499">
        <v>0</v>
      </c>
      <c r="F499">
        <v>32.54</v>
      </c>
      <c r="G499">
        <v>-10.46</v>
      </c>
      <c r="H499">
        <v>-17.55</v>
      </c>
    </row>
    <row r="500" spans="1:8" x14ac:dyDescent="0.25">
      <c r="A500">
        <v>485</v>
      </c>
      <c r="B500">
        <v>100</v>
      </c>
      <c r="C500">
        <v>85</v>
      </c>
      <c r="D500">
        <v>55</v>
      </c>
      <c r="E500">
        <v>0</v>
      </c>
      <c r="F500">
        <v>28.07</v>
      </c>
      <c r="G500">
        <v>-0.49</v>
      </c>
      <c r="H500">
        <v>-19.46</v>
      </c>
    </row>
    <row r="501" spans="1:8" x14ac:dyDescent="0.25">
      <c r="A501">
        <v>486</v>
      </c>
      <c r="B501">
        <v>100</v>
      </c>
      <c r="C501">
        <v>100</v>
      </c>
      <c r="D501">
        <v>55</v>
      </c>
      <c r="E501">
        <v>0</v>
      </c>
      <c r="F501">
        <v>24.86</v>
      </c>
      <c r="G501">
        <v>6.6</v>
      </c>
      <c r="H501">
        <v>-20.76</v>
      </c>
    </row>
    <row r="502" spans="1:8" x14ac:dyDescent="0.25">
      <c r="A502">
        <v>487</v>
      </c>
      <c r="B502">
        <v>0</v>
      </c>
      <c r="C502">
        <v>0</v>
      </c>
      <c r="D502">
        <v>70</v>
      </c>
      <c r="E502">
        <v>0</v>
      </c>
      <c r="F502">
        <v>90.29</v>
      </c>
      <c r="G502">
        <v>-3.55</v>
      </c>
      <c r="H502">
        <v>62.44</v>
      </c>
    </row>
    <row r="503" spans="1:8" x14ac:dyDescent="0.25">
      <c r="A503">
        <v>488</v>
      </c>
      <c r="B503">
        <v>0</v>
      </c>
      <c r="C503">
        <v>10</v>
      </c>
      <c r="D503">
        <v>70</v>
      </c>
      <c r="E503">
        <v>0</v>
      </c>
      <c r="F503">
        <v>85.69</v>
      </c>
      <c r="G503">
        <v>3.32</v>
      </c>
      <c r="H503">
        <v>58.28</v>
      </c>
    </row>
    <row r="504" spans="1:8" x14ac:dyDescent="0.25">
      <c r="A504">
        <v>489</v>
      </c>
      <c r="B504">
        <v>0</v>
      </c>
      <c r="C504">
        <v>20</v>
      </c>
      <c r="D504">
        <v>70</v>
      </c>
      <c r="E504">
        <v>0</v>
      </c>
      <c r="F504">
        <v>81.38</v>
      </c>
      <c r="G504">
        <v>9.8699999999999992</v>
      </c>
      <c r="H504">
        <v>54.53</v>
      </c>
    </row>
    <row r="505" spans="1:8" x14ac:dyDescent="0.25">
      <c r="A505">
        <v>490</v>
      </c>
      <c r="B505">
        <v>0</v>
      </c>
      <c r="C505">
        <v>30</v>
      </c>
      <c r="D505">
        <v>70</v>
      </c>
      <c r="E505">
        <v>0</v>
      </c>
      <c r="F505">
        <v>76.930000000000007</v>
      </c>
      <c r="G505">
        <v>16.82</v>
      </c>
      <c r="H505">
        <v>50.81</v>
      </c>
    </row>
    <row r="506" spans="1:8" x14ac:dyDescent="0.25">
      <c r="A506">
        <v>491</v>
      </c>
      <c r="B506">
        <v>0</v>
      </c>
      <c r="C506">
        <v>40</v>
      </c>
      <c r="D506">
        <v>70</v>
      </c>
      <c r="E506">
        <v>0</v>
      </c>
      <c r="F506">
        <v>72.489999999999995</v>
      </c>
      <c r="G506">
        <v>24.04</v>
      </c>
      <c r="H506">
        <v>47.27</v>
      </c>
    </row>
    <row r="507" spans="1:8" x14ac:dyDescent="0.25">
      <c r="A507">
        <v>492</v>
      </c>
      <c r="B507">
        <v>0</v>
      </c>
      <c r="C507">
        <v>55</v>
      </c>
      <c r="D507">
        <v>70</v>
      </c>
      <c r="E507">
        <v>0</v>
      </c>
      <c r="F507">
        <v>65.72</v>
      </c>
      <c r="G507">
        <v>35.47</v>
      </c>
      <c r="H507">
        <v>42.29</v>
      </c>
    </row>
    <row r="508" spans="1:8" x14ac:dyDescent="0.25">
      <c r="A508">
        <v>493</v>
      </c>
      <c r="B508">
        <v>0</v>
      </c>
      <c r="C508">
        <v>70</v>
      </c>
      <c r="D508">
        <v>70</v>
      </c>
      <c r="E508">
        <v>0</v>
      </c>
      <c r="F508">
        <v>59.01</v>
      </c>
      <c r="G508">
        <v>47.84</v>
      </c>
      <c r="H508">
        <v>37.979999999999997</v>
      </c>
    </row>
    <row r="509" spans="1:8" x14ac:dyDescent="0.25">
      <c r="A509">
        <v>494</v>
      </c>
      <c r="B509">
        <v>0</v>
      </c>
      <c r="C509">
        <v>85</v>
      </c>
      <c r="D509">
        <v>70</v>
      </c>
      <c r="E509">
        <v>0</v>
      </c>
      <c r="F509">
        <v>52.73</v>
      </c>
      <c r="G509">
        <v>60.14</v>
      </c>
      <c r="H509">
        <v>34.54</v>
      </c>
    </row>
    <row r="510" spans="1:8" x14ac:dyDescent="0.25">
      <c r="A510">
        <v>495</v>
      </c>
      <c r="B510">
        <v>0</v>
      </c>
      <c r="C510">
        <v>100</v>
      </c>
      <c r="D510">
        <v>70</v>
      </c>
      <c r="E510">
        <v>0</v>
      </c>
      <c r="F510">
        <v>48.25</v>
      </c>
      <c r="G510">
        <v>69.27</v>
      </c>
      <c r="H510">
        <v>32.31</v>
      </c>
    </row>
    <row r="511" spans="1:8" x14ac:dyDescent="0.25">
      <c r="A511">
        <v>496</v>
      </c>
      <c r="B511">
        <v>10</v>
      </c>
      <c r="C511">
        <v>0</v>
      </c>
      <c r="D511">
        <v>70</v>
      </c>
      <c r="E511">
        <v>0</v>
      </c>
      <c r="F511">
        <v>86.53</v>
      </c>
      <c r="G511">
        <v>-8.34</v>
      </c>
      <c r="H511">
        <v>56.4</v>
      </c>
    </row>
    <row r="512" spans="1:8" x14ac:dyDescent="0.25">
      <c r="A512">
        <v>497</v>
      </c>
      <c r="B512">
        <v>10</v>
      </c>
      <c r="C512">
        <v>10</v>
      </c>
      <c r="D512">
        <v>70</v>
      </c>
      <c r="E512">
        <v>0</v>
      </c>
      <c r="F512">
        <v>82.08</v>
      </c>
      <c r="G512">
        <v>-1.96</v>
      </c>
      <c r="H512">
        <v>52.75</v>
      </c>
    </row>
    <row r="513" spans="1:8" x14ac:dyDescent="0.25">
      <c r="A513">
        <v>498</v>
      </c>
      <c r="B513">
        <v>10</v>
      </c>
      <c r="C513">
        <v>20</v>
      </c>
      <c r="D513">
        <v>70</v>
      </c>
      <c r="E513">
        <v>0</v>
      </c>
      <c r="F513">
        <v>77.790000000000006</v>
      </c>
      <c r="G513">
        <v>4.5999999999999996</v>
      </c>
      <c r="H513">
        <v>49.02</v>
      </c>
    </row>
    <row r="514" spans="1:8" x14ac:dyDescent="0.25">
      <c r="A514">
        <v>499</v>
      </c>
      <c r="B514">
        <v>10</v>
      </c>
      <c r="C514">
        <v>30</v>
      </c>
      <c r="D514">
        <v>70</v>
      </c>
      <c r="E514">
        <v>0</v>
      </c>
      <c r="F514">
        <v>73.400000000000006</v>
      </c>
      <c r="G514">
        <v>11.51</v>
      </c>
      <c r="H514">
        <v>45.33</v>
      </c>
    </row>
    <row r="515" spans="1:8" x14ac:dyDescent="0.25">
      <c r="A515">
        <v>500</v>
      </c>
      <c r="B515">
        <v>10</v>
      </c>
      <c r="C515">
        <v>40</v>
      </c>
      <c r="D515">
        <v>70</v>
      </c>
      <c r="E515">
        <v>0</v>
      </c>
      <c r="F515">
        <v>68.98</v>
      </c>
      <c r="G515">
        <v>18.760000000000002</v>
      </c>
      <c r="H515">
        <v>41.79</v>
      </c>
    </row>
    <row r="516" spans="1:8" x14ac:dyDescent="0.25">
      <c r="A516">
        <v>501</v>
      </c>
      <c r="B516">
        <v>10</v>
      </c>
      <c r="C516">
        <v>55</v>
      </c>
      <c r="D516">
        <v>70</v>
      </c>
      <c r="E516">
        <v>0</v>
      </c>
      <c r="F516">
        <v>62.36</v>
      </c>
      <c r="G516">
        <v>30.12</v>
      </c>
      <c r="H516">
        <v>36.869999999999997</v>
      </c>
    </row>
    <row r="517" spans="1:8" x14ac:dyDescent="0.25">
      <c r="A517">
        <v>502</v>
      </c>
      <c r="B517">
        <v>10</v>
      </c>
      <c r="C517">
        <v>70</v>
      </c>
      <c r="D517">
        <v>70</v>
      </c>
      <c r="E517">
        <v>0</v>
      </c>
      <c r="F517">
        <v>55.77</v>
      </c>
      <c r="G517">
        <v>42.5</v>
      </c>
      <c r="H517">
        <v>32.61</v>
      </c>
    </row>
    <row r="518" spans="1:8" x14ac:dyDescent="0.25">
      <c r="A518">
        <v>503</v>
      </c>
      <c r="B518">
        <v>10</v>
      </c>
      <c r="C518">
        <v>85</v>
      </c>
      <c r="D518">
        <v>70</v>
      </c>
      <c r="E518">
        <v>0</v>
      </c>
      <c r="F518">
        <v>49.84</v>
      </c>
      <c r="G518">
        <v>54.46</v>
      </c>
      <c r="H518">
        <v>29.28</v>
      </c>
    </row>
    <row r="519" spans="1:8" x14ac:dyDescent="0.25">
      <c r="A519">
        <v>504</v>
      </c>
      <c r="B519">
        <v>10</v>
      </c>
      <c r="C519">
        <v>100</v>
      </c>
      <c r="D519">
        <v>70</v>
      </c>
      <c r="E519">
        <v>0</v>
      </c>
      <c r="F519">
        <v>45.66</v>
      </c>
      <c r="G519">
        <v>63.23</v>
      </c>
      <c r="H519">
        <v>27.15</v>
      </c>
    </row>
    <row r="520" spans="1:8" x14ac:dyDescent="0.25">
      <c r="A520">
        <v>505</v>
      </c>
      <c r="B520">
        <v>20</v>
      </c>
      <c r="C520">
        <v>0</v>
      </c>
      <c r="D520">
        <v>70</v>
      </c>
      <c r="E520">
        <v>0</v>
      </c>
      <c r="F520">
        <v>82.85</v>
      </c>
      <c r="G520">
        <v>-13.04</v>
      </c>
      <c r="H520">
        <v>50.55</v>
      </c>
    </row>
    <row r="521" spans="1:8" x14ac:dyDescent="0.25">
      <c r="A521">
        <v>506</v>
      </c>
      <c r="B521">
        <v>20</v>
      </c>
      <c r="C521">
        <v>10</v>
      </c>
      <c r="D521">
        <v>70</v>
      </c>
      <c r="E521">
        <v>0</v>
      </c>
      <c r="F521">
        <v>78.44</v>
      </c>
      <c r="G521">
        <v>-6.89</v>
      </c>
      <c r="H521">
        <v>46.9</v>
      </c>
    </row>
    <row r="522" spans="1:8" x14ac:dyDescent="0.25">
      <c r="A522">
        <v>507</v>
      </c>
      <c r="B522">
        <v>20</v>
      </c>
      <c r="C522">
        <v>20</v>
      </c>
      <c r="D522">
        <v>70</v>
      </c>
      <c r="E522">
        <v>0</v>
      </c>
      <c r="F522">
        <v>74.17</v>
      </c>
      <c r="G522">
        <v>-0.68</v>
      </c>
      <c r="H522">
        <v>43.33</v>
      </c>
    </row>
    <row r="523" spans="1:8" x14ac:dyDescent="0.25">
      <c r="A523">
        <v>508</v>
      </c>
      <c r="B523">
        <v>20</v>
      </c>
      <c r="C523">
        <v>30</v>
      </c>
      <c r="D523">
        <v>70</v>
      </c>
      <c r="E523">
        <v>0</v>
      </c>
      <c r="F523">
        <v>69.86</v>
      </c>
      <c r="G523">
        <v>6.17</v>
      </c>
      <c r="H523">
        <v>39.729999999999997</v>
      </c>
    </row>
    <row r="524" spans="1:8" x14ac:dyDescent="0.25">
      <c r="A524">
        <v>509</v>
      </c>
      <c r="B524">
        <v>20</v>
      </c>
      <c r="C524">
        <v>40</v>
      </c>
      <c r="D524">
        <v>70</v>
      </c>
      <c r="E524">
        <v>0</v>
      </c>
      <c r="F524">
        <v>65.510000000000005</v>
      </c>
      <c r="G524">
        <v>13.41</v>
      </c>
      <c r="H524">
        <v>36.22</v>
      </c>
    </row>
    <row r="525" spans="1:8" x14ac:dyDescent="0.25">
      <c r="A525">
        <v>510</v>
      </c>
      <c r="B525">
        <v>20</v>
      </c>
      <c r="C525">
        <v>55</v>
      </c>
      <c r="D525">
        <v>70</v>
      </c>
      <c r="E525">
        <v>0</v>
      </c>
      <c r="F525">
        <v>59.06</v>
      </c>
      <c r="G525">
        <v>24.65</v>
      </c>
      <c r="H525">
        <v>31.41</v>
      </c>
    </row>
    <row r="526" spans="1:8" x14ac:dyDescent="0.25">
      <c r="A526">
        <v>511</v>
      </c>
      <c r="B526">
        <v>20</v>
      </c>
      <c r="C526">
        <v>70</v>
      </c>
      <c r="D526">
        <v>70</v>
      </c>
      <c r="E526">
        <v>0</v>
      </c>
      <c r="F526">
        <v>52.64</v>
      </c>
      <c r="G526">
        <v>37</v>
      </c>
      <c r="H526">
        <v>27.19</v>
      </c>
    </row>
    <row r="527" spans="1:8" x14ac:dyDescent="0.25">
      <c r="A527">
        <v>512</v>
      </c>
      <c r="B527">
        <v>20</v>
      </c>
      <c r="C527">
        <v>85</v>
      </c>
      <c r="D527">
        <v>70</v>
      </c>
      <c r="E527">
        <v>0</v>
      </c>
      <c r="F527">
        <v>47</v>
      </c>
      <c r="G527">
        <v>48.7</v>
      </c>
      <c r="H527">
        <v>23.95</v>
      </c>
    </row>
    <row r="528" spans="1:8" x14ac:dyDescent="0.25">
      <c r="A528">
        <v>513</v>
      </c>
      <c r="B528">
        <v>20</v>
      </c>
      <c r="C528">
        <v>100</v>
      </c>
      <c r="D528">
        <v>70</v>
      </c>
      <c r="E528">
        <v>0</v>
      </c>
      <c r="F528">
        <v>43.06</v>
      </c>
      <c r="G528">
        <v>57.18</v>
      </c>
      <c r="H528">
        <v>21.89</v>
      </c>
    </row>
    <row r="529" spans="1:8" x14ac:dyDescent="0.25">
      <c r="A529">
        <v>514</v>
      </c>
      <c r="B529">
        <v>30</v>
      </c>
      <c r="C529">
        <v>0</v>
      </c>
      <c r="D529">
        <v>70</v>
      </c>
      <c r="E529">
        <v>0</v>
      </c>
      <c r="F529">
        <v>79.08</v>
      </c>
      <c r="G529">
        <v>-18.059999999999999</v>
      </c>
      <c r="H529">
        <v>44.63</v>
      </c>
    </row>
    <row r="530" spans="1:8" x14ac:dyDescent="0.25">
      <c r="A530">
        <v>515</v>
      </c>
      <c r="B530">
        <v>30</v>
      </c>
      <c r="C530">
        <v>10</v>
      </c>
      <c r="D530">
        <v>70</v>
      </c>
      <c r="E530">
        <v>0</v>
      </c>
      <c r="F530">
        <v>74.849999999999994</v>
      </c>
      <c r="G530">
        <v>-11.99</v>
      </c>
      <c r="H530">
        <v>41.18</v>
      </c>
    </row>
    <row r="531" spans="1:8" x14ac:dyDescent="0.25">
      <c r="A531">
        <v>516</v>
      </c>
      <c r="B531">
        <v>30</v>
      </c>
      <c r="C531">
        <v>20</v>
      </c>
      <c r="D531">
        <v>70</v>
      </c>
      <c r="E531">
        <v>0</v>
      </c>
      <c r="F531">
        <v>70.72</v>
      </c>
      <c r="G531">
        <v>-5.86</v>
      </c>
      <c r="H531">
        <v>37.76</v>
      </c>
    </row>
    <row r="532" spans="1:8" x14ac:dyDescent="0.25">
      <c r="A532">
        <v>517</v>
      </c>
      <c r="B532">
        <v>30</v>
      </c>
      <c r="C532">
        <v>30</v>
      </c>
      <c r="D532">
        <v>70</v>
      </c>
      <c r="E532">
        <v>0</v>
      </c>
      <c r="F532">
        <v>66.48</v>
      </c>
      <c r="G532">
        <v>0.82</v>
      </c>
      <c r="H532">
        <v>34.299999999999997</v>
      </c>
    </row>
    <row r="533" spans="1:8" x14ac:dyDescent="0.25">
      <c r="A533">
        <v>518</v>
      </c>
      <c r="B533">
        <v>30</v>
      </c>
      <c r="C533">
        <v>40</v>
      </c>
      <c r="D533">
        <v>70</v>
      </c>
      <c r="E533">
        <v>0</v>
      </c>
      <c r="F533">
        <v>62.24</v>
      </c>
      <c r="G533">
        <v>7.98</v>
      </c>
      <c r="H533">
        <v>30.89</v>
      </c>
    </row>
    <row r="534" spans="1:8" x14ac:dyDescent="0.25">
      <c r="A534">
        <v>519</v>
      </c>
      <c r="B534">
        <v>30</v>
      </c>
      <c r="C534">
        <v>55</v>
      </c>
      <c r="D534">
        <v>70</v>
      </c>
      <c r="E534">
        <v>0</v>
      </c>
      <c r="F534">
        <v>56</v>
      </c>
      <c r="G534">
        <v>19.100000000000001</v>
      </c>
      <c r="H534">
        <v>26.22</v>
      </c>
    </row>
    <row r="535" spans="1:8" x14ac:dyDescent="0.25">
      <c r="A535">
        <v>520</v>
      </c>
      <c r="B535">
        <v>30</v>
      </c>
      <c r="C535">
        <v>70</v>
      </c>
      <c r="D535">
        <v>70</v>
      </c>
      <c r="E535">
        <v>0</v>
      </c>
      <c r="F535">
        <v>49.76</v>
      </c>
      <c r="G535">
        <v>31.35</v>
      </c>
      <c r="H535">
        <v>22.06</v>
      </c>
    </row>
    <row r="536" spans="1:8" x14ac:dyDescent="0.25">
      <c r="A536">
        <v>521</v>
      </c>
      <c r="B536">
        <v>30</v>
      </c>
      <c r="C536">
        <v>85</v>
      </c>
      <c r="D536">
        <v>70</v>
      </c>
      <c r="E536">
        <v>0</v>
      </c>
      <c r="F536">
        <v>44.32</v>
      </c>
      <c r="G536">
        <v>42.81</v>
      </c>
      <c r="H536">
        <v>18.88</v>
      </c>
    </row>
    <row r="537" spans="1:8" x14ac:dyDescent="0.25">
      <c r="A537">
        <v>522</v>
      </c>
      <c r="B537">
        <v>30</v>
      </c>
      <c r="C537">
        <v>100</v>
      </c>
      <c r="D537">
        <v>70</v>
      </c>
      <c r="E537">
        <v>0</v>
      </c>
      <c r="F537">
        <v>40.57</v>
      </c>
      <c r="G537">
        <v>51.03</v>
      </c>
      <c r="H537">
        <v>16.86</v>
      </c>
    </row>
    <row r="538" spans="1:8" x14ac:dyDescent="0.25">
      <c r="A538">
        <v>523</v>
      </c>
      <c r="B538">
        <v>40</v>
      </c>
      <c r="C538">
        <v>0</v>
      </c>
      <c r="D538">
        <v>70</v>
      </c>
      <c r="E538">
        <v>0</v>
      </c>
      <c r="F538">
        <v>75.260000000000005</v>
      </c>
      <c r="G538">
        <v>-23.41</v>
      </c>
      <c r="H538">
        <v>38.700000000000003</v>
      </c>
    </row>
    <row r="539" spans="1:8" x14ac:dyDescent="0.25">
      <c r="A539">
        <v>524</v>
      </c>
      <c r="B539">
        <v>40</v>
      </c>
      <c r="C539">
        <v>10</v>
      </c>
      <c r="D539">
        <v>70</v>
      </c>
      <c r="E539">
        <v>0</v>
      </c>
      <c r="F539">
        <v>71.27</v>
      </c>
      <c r="G539">
        <v>-17.3</v>
      </c>
      <c r="H539">
        <v>35.549999999999997</v>
      </c>
    </row>
    <row r="540" spans="1:8" x14ac:dyDescent="0.25">
      <c r="A540">
        <v>525</v>
      </c>
      <c r="B540">
        <v>40</v>
      </c>
      <c r="C540">
        <v>20</v>
      </c>
      <c r="D540">
        <v>70</v>
      </c>
      <c r="E540">
        <v>0</v>
      </c>
      <c r="F540">
        <v>67.34</v>
      </c>
      <c r="G540">
        <v>-11.16</v>
      </c>
      <c r="H540">
        <v>32.36</v>
      </c>
    </row>
    <row r="541" spans="1:8" x14ac:dyDescent="0.25">
      <c r="A541">
        <v>526</v>
      </c>
      <c r="B541">
        <v>40</v>
      </c>
      <c r="C541">
        <v>30</v>
      </c>
      <c r="D541">
        <v>70</v>
      </c>
      <c r="E541">
        <v>0</v>
      </c>
      <c r="F541">
        <v>63.29</v>
      </c>
      <c r="G541">
        <v>-4.53</v>
      </c>
      <c r="H541">
        <v>29.11</v>
      </c>
    </row>
    <row r="542" spans="1:8" x14ac:dyDescent="0.25">
      <c r="A542">
        <v>527</v>
      </c>
      <c r="B542">
        <v>40</v>
      </c>
      <c r="C542">
        <v>40</v>
      </c>
      <c r="D542">
        <v>70</v>
      </c>
      <c r="E542">
        <v>0</v>
      </c>
      <c r="F542">
        <v>59.21</v>
      </c>
      <c r="G542">
        <v>2.54</v>
      </c>
      <c r="H542">
        <v>25.86</v>
      </c>
    </row>
    <row r="543" spans="1:8" x14ac:dyDescent="0.25">
      <c r="A543">
        <v>528</v>
      </c>
      <c r="B543">
        <v>40</v>
      </c>
      <c r="C543">
        <v>55</v>
      </c>
      <c r="D543">
        <v>70</v>
      </c>
      <c r="E543">
        <v>0</v>
      </c>
      <c r="F543">
        <v>53.17</v>
      </c>
      <c r="G543">
        <v>13.53</v>
      </c>
      <c r="H543">
        <v>21.35</v>
      </c>
    </row>
    <row r="544" spans="1:8" x14ac:dyDescent="0.25">
      <c r="A544">
        <v>529</v>
      </c>
      <c r="B544">
        <v>40</v>
      </c>
      <c r="C544">
        <v>70</v>
      </c>
      <c r="D544">
        <v>70</v>
      </c>
      <c r="E544">
        <v>0</v>
      </c>
      <c r="F544">
        <v>47.13</v>
      </c>
      <c r="G544">
        <v>25.61</v>
      </c>
      <c r="H544">
        <v>17.29</v>
      </c>
    </row>
    <row r="545" spans="1:8" x14ac:dyDescent="0.25">
      <c r="A545">
        <v>530</v>
      </c>
      <c r="B545">
        <v>40</v>
      </c>
      <c r="C545">
        <v>85</v>
      </c>
      <c r="D545">
        <v>70</v>
      </c>
      <c r="E545">
        <v>0</v>
      </c>
      <c r="F545">
        <v>41.82</v>
      </c>
      <c r="G545">
        <v>36.89</v>
      </c>
      <c r="H545">
        <v>14.15</v>
      </c>
    </row>
    <row r="546" spans="1:8" x14ac:dyDescent="0.25">
      <c r="A546">
        <v>531</v>
      </c>
      <c r="B546">
        <v>40</v>
      </c>
      <c r="C546">
        <v>100</v>
      </c>
      <c r="D546">
        <v>70</v>
      </c>
      <c r="E546">
        <v>0</v>
      </c>
      <c r="F546">
        <v>38.18</v>
      </c>
      <c r="G546">
        <v>44.93</v>
      </c>
      <c r="H546">
        <v>12.14</v>
      </c>
    </row>
    <row r="547" spans="1:8" x14ac:dyDescent="0.25">
      <c r="A547">
        <v>532</v>
      </c>
      <c r="B547">
        <v>55</v>
      </c>
      <c r="C547">
        <v>0</v>
      </c>
      <c r="D547">
        <v>70</v>
      </c>
      <c r="E547">
        <v>0</v>
      </c>
      <c r="F547">
        <v>69.42</v>
      </c>
      <c r="G547">
        <v>-32.020000000000003</v>
      </c>
      <c r="H547">
        <v>29.71</v>
      </c>
    </row>
    <row r="548" spans="1:8" x14ac:dyDescent="0.25">
      <c r="A548">
        <v>533</v>
      </c>
      <c r="B548">
        <v>55</v>
      </c>
      <c r="C548">
        <v>10</v>
      </c>
      <c r="D548">
        <v>70</v>
      </c>
      <c r="E548">
        <v>0</v>
      </c>
      <c r="F548">
        <v>65.8</v>
      </c>
      <c r="G548">
        <v>-25.83</v>
      </c>
      <c r="H548">
        <v>27.04</v>
      </c>
    </row>
    <row r="549" spans="1:8" x14ac:dyDescent="0.25">
      <c r="A549">
        <v>534</v>
      </c>
      <c r="B549">
        <v>55</v>
      </c>
      <c r="C549">
        <v>20</v>
      </c>
      <c r="D549">
        <v>70</v>
      </c>
      <c r="E549">
        <v>0</v>
      </c>
      <c r="F549">
        <v>62.2</v>
      </c>
      <c r="G549">
        <v>-19.670000000000002</v>
      </c>
      <c r="H549">
        <v>24.25</v>
      </c>
    </row>
    <row r="550" spans="1:8" x14ac:dyDescent="0.25">
      <c r="A550">
        <v>535</v>
      </c>
      <c r="B550">
        <v>55</v>
      </c>
      <c r="C550">
        <v>30</v>
      </c>
      <c r="D550">
        <v>70</v>
      </c>
      <c r="E550">
        <v>0</v>
      </c>
      <c r="F550">
        <v>58.45</v>
      </c>
      <c r="G550">
        <v>-13.05</v>
      </c>
      <c r="H550">
        <v>21.34</v>
      </c>
    </row>
    <row r="551" spans="1:8" x14ac:dyDescent="0.25">
      <c r="A551">
        <v>536</v>
      </c>
      <c r="B551">
        <v>55</v>
      </c>
      <c r="C551">
        <v>40</v>
      </c>
      <c r="D551">
        <v>70</v>
      </c>
      <c r="E551">
        <v>0</v>
      </c>
      <c r="F551">
        <v>54.61</v>
      </c>
      <c r="G551">
        <v>-6.08</v>
      </c>
      <c r="H551">
        <v>18.34</v>
      </c>
    </row>
    <row r="552" spans="1:8" x14ac:dyDescent="0.25">
      <c r="A552">
        <v>537</v>
      </c>
      <c r="B552">
        <v>55</v>
      </c>
      <c r="C552">
        <v>55</v>
      </c>
      <c r="D552">
        <v>70</v>
      </c>
      <c r="E552">
        <v>0</v>
      </c>
      <c r="F552">
        <v>48.91</v>
      </c>
      <c r="G552">
        <v>4.7</v>
      </c>
      <c r="H552">
        <v>14.13</v>
      </c>
    </row>
    <row r="553" spans="1:8" x14ac:dyDescent="0.25">
      <c r="A553">
        <v>538</v>
      </c>
      <c r="B553">
        <v>55</v>
      </c>
      <c r="C553">
        <v>70</v>
      </c>
      <c r="D553">
        <v>70</v>
      </c>
      <c r="E553">
        <v>0</v>
      </c>
      <c r="F553">
        <v>43.18</v>
      </c>
      <c r="G553">
        <v>16.53</v>
      </c>
      <c r="H553">
        <v>10.199999999999999</v>
      </c>
    </row>
    <row r="554" spans="1:8" x14ac:dyDescent="0.25">
      <c r="A554">
        <v>539</v>
      </c>
      <c r="B554">
        <v>55</v>
      </c>
      <c r="C554">
        <v>85</v>
      </c>
      <c r="D554">
        <v>70</v>
      </c>
      <c r="E554">
        <v>0</v>
      </c>
      <c r="F554">
        <v>38.1</v>
      </c>
      <c r="G554">
        <v>27.56</v>
      </c>
      <c r="H554">
        <v>7.14</v>
      </c>
    </row>
    <row r="555" spans="1:8" x14ac:dyDescent="0.25">
      <c r="A555">
        <v>540</v>
      </c>
      <c r="B555">
        <v>55</v>
      </c>
      <c r="C555">
        <v>100</v>
      </c>
      <c r="D555">
        <v>70</v>
      </c>
      <c r="E555">
        <v>0</v>
      </c>
      <c r="F555">
        <v>34.590000000000003</v>
      </c>
      <c r="G555">
        <v>35.450000000000003</v>
      </c>
      <c r="H555">
        <v>5.13</v>
      </c>
    </row>
    <row r="556" spans="1:8" x14ac:dyDescent="0.25">
      <c r="A556">
        <v>541</v>
      </c>
      <c r="B556">
        <v>70</v>
      </c>
      <c r="C556">
        <v>0</v>
      </c>
      <c r="D556">
        <v>70</v>
      </c>
      <c r="E556">
        <v>0</v>
      </c>
      <c r="F556">
        <v>63.25</v>
      </c>
      <c r="G556">
        <v>-41.99</v>
      </c>
      <c r="H556">
        <v>20.43</v>
      </c>
    </row>
    <row r="557" spans="1:8" x14ac:dyDescent="0.25">
      <c r="A557">
        <v>542</v>
      </c>
      <c r="B557">
        <v>70</v>
      </c>
      <c r="C557">
        <v>10</v>
      </c>
      <c r="D557">
        <v>70</v>
      </c>
      <c r="E557">
        <v>0</v>
      </c>
      <c r="F557">
        <v>60.08</v>
      </c>
      <c r="G557">
        <v>-35.6</v>
      </c>
      <c r="H557">
        <v>18.329999999999998</v>
      </c>
    </row>
    <row r="558" spans="1:8" x14ac:dyDescent="0.25">
      <c r="A558">
        <v>543</v>
      </c>
      <c r="B558">
        <v>70</v>
      </c>
      <c r="C558">
        <v>20</v>
      </c>
      <c r="D558">
        <v>70</v>
      </c>
      <c r="E558">
        <v>0</v>
      </c>
      <c r="F558">
        <v>56.89</v>
      </c>
      <c r="G558">
        <v>-29.32</v>
      </c>
      <c r="H558">
        <v>16.03</v>
      </c>
    </row>
    <row r="559" spans="1:8" x14ac:dyDescent="0.25">
      <c r="A559">
        <v>544</v>
      </c>
      <c r="B559">
        <v>70</v>
      </c>
      <c r="C559">
        <v>30</v>
      </c>
      <c r="D559">
        <v>70</v>
      </c>
      <c r="E559">
        <v>0</v>
      </c>
      <c r="F559">
        <v>53.47</v>
      </c>
      <c r="G559">
        <v>-22.67</v>
      </c>
      <c r="H559">
        <v>13.5</v>
      </c>
    </row>
    <row r="560" spans="1:8" x14ac:dyDescent="0.25">
      <c r="A560">
        <v>545</v>
      </c>
      <c r="B560">
        <v>70</v>
      </c>
      <c r="C560">
        <v>40</v>
      </c>
      <c r="D560">
        <v>70</v>
      </c>
      <c r="E560">
        <v>0</v>
      </c>
      <c r="F560">
        <v>49.94</v>
      </c>
      <c r="G560">
        <v>-15.74</v>
      </c>
      <c r="H560">
        <v>10.83</v>
      </c>
    </row>
    <row r="561" spans="1:8" x14ac:dyDescent="0.25">
      <c r="A561">
        <v>546</v>
      </c>
      <c r="B561">
        <v>70</v>
      </c>
      <c r="C561">
        <v>55</v>
      </c>
      <c r="D561">
        <v>70</v>
      </c>
      <c r="E561">
        <v>0</v>
      </c>
      <c r="F561">
        <v>44.64</v>
      </c>
      <c r="G561">
        <v>-5.1100000000000003</v>
      </c>
      <c r="H561">
        <v>7</v>
      </c>
    </row>
    <row r="562" spans="1:8" x14ac:dyDescent="0.25">
      <c r="A562">
        <v>547</v>
      </c>
      <c r="B562">
        <v>70</v>
      </c>
      <c r="C562">
        <v>70</v>
      </c>
      <c r="D562">
        <v>70</v>
      </c>
      <c r="E562">
        <v>0</v>
      </c>
      <c r="F562">
        <v>39.24</v>
      </c>
      <c r="G562">
        <v>6.42</v>
      </c>
      <c r="H562">
        <v>3.42</v>
      </c>
    </row>
    <row r="563" spans="1:8" x14ac:dyDescent="0.25">
      <c r="A563">
        <v>548</v>
      </c>
      <c r="B563">
        <v>70</v>
      </c>
      <c r="C563">
        <v>85</v>
      </c>
      <c r="D563">
        <v>70</v>
      </c>
      <c r="E563">
        <v>0</v>
      </c>
      <c r="F563">
        <v>34.35</v>
      </c>
      <c r="G563">
        <v>17.149999999999999</v>
      </c>
      <c r="H563">
        <v>0.36</v>
      </c>
    </row>
    <row r="564" spans="1:8" x14ac:dyDescent="0.25">
      <c r="A564">
        <v>549</v>
      </c>
      <c r="B564">
        <v>70</v>
      </c>
      <c r="C564">
        <v>100</v>
      </c>
      <c r="D564">
        <v>70</v>
      </c>
      <c r="E564">
        <v>0</v>
      </c>
      <c r="F564">
        <v>30.95</v>
      </c>
      <c r="G564">
        <v>24.8</v>
      </c>
      <c r="H564">
        <v>-1.64</v>
      </c>
    </row>
    <row r="565" spans="1:8" x14ac:dyDescent="0.25">
      <c r="A565">
        <v>550</v>
      </c>
      <c r="B565">
        <v>85</v>
      </c>
      <c r="C565">
        <v>0</v>
      </c>
      <c r="D565">
        <v>70</v>
      </c>
      <c r="E565">
        <v>0</v>
      </c>
      <c r="F565">
        <v>57.15</v>
      </c>
      <c r="G565">
        <v>-52.45</v>
      </c>
      <c r="H565">
        <v>11.43</v>
      </c>
    </row>
    <row r="566" spans="1:8" x14ac:dyDescent="0.25">
      <c r="A566">
        <v>551</v>
      </c>
      <c r="B566">
        <v>85</v>
      </c>
      <c r="C566">
        <v>10</v>
      </c>
      <c r="D566">
        <v>70</v>
      </c>
      <c r="E566">
        <v>0</v>
      </c>
      <c r="F566">
        <v>54.29</v>
      </c>
      <c r="G566">
        <v>-46.12</v>
      </c>
      <c r="H566">
        <v>9.61</v>
      </c>
    </row>
    <row r="567" spans="1:8" x14ac:dyDescent="0.25">
      <c r="A567">
        <v>552</v>
      </c>
      <c r="B567">
        <v>85</v>
      </c>
      <c r="C567">
        <v>20</v>
      </c>
      <c r="D567">
        <v>70</v>
      </c>
      <c r="E567">
        <v>0</v>
      </c>
      <c r="F567">
        <v>51.42</v>
      </c>
      <c r="G567">
        <v>-39.909999999999997</v>
      </c>
      <c r="H567">
        <v>7.64</v>
      </c>
    </row>
    <row r="568" spans="1:8" x14ac:dyDescent="0.25">
      <c r="A568">
        <v>553</v>
      </c>
      <c r="B568">
        <v>85</v>
      </c>
      <c r="C568">
        <v>30</v>
      </c>
      <c r="D568">
        <v>70</v>
      </c>
      <c r="E568">
        <v>0</v>
      </c>
      <c r="F568">
        <v>48.37</v>
      </c>
      <c r="G568">
        <v>-33.340000000000003</v>
      </c>
      <c r="H568">
        <v>5.55</v>
      </c>
    </row>
    <row r="569" spans="1:8" x14ac:dyDescent="0.25">
      <c r="A569">
        <v>554</v>
      </c>
      <c r="B569">
        <v>85</v>
      </c>
      <c r="C569">
        <v>40</v>
      </c>
      <c r="D569">
        <v>70</v>
      </c>
      <c r="E569">
        <v>0</v>
      </c>
      <c r="F569">
        <v>45.18</v>
      </c>
      <c r="G569">
        <v>-26.43</v>
      </c>
      <c r="H569">
        <v>3.29</v>
      </c>
    </row>
    <row r="570" spans="1:8" x14ac:dyDescent="0.25">
      <c r="A570">
        <v>555</v>
      </c>
      <c r="B570">
        <v>85</v>
      </c>
      <c r="C570">
        <v>55</v>
      </c>
      <c r="D570">
        <v>70</v>
      </c>
      <c r="E570">
        <v>0</v>
      </c>
      <c r="F570">
        <v>40.340000000000003</v>
      </c>
      <c r="G570">
        <v>-15.97</v>
      </c>
      <c r="H570">
        <v>0</v>
      </c>
    </row>
    <row r="571" spans="1:8" x14ac:dyDescent="0.25">
      <c r="A571">
        <v>556</v>
      </c>
      <c r="B571">
        <v>85</v>
      </c>
      <c r="C571">
        <v>70</v>
      </c>
      <c r="D571">
        <v>70</v>
      </c>
      <c r="E571">
        <v>0</v>
      </c>
      <c r="F571">
        <v>35.22</v>
      </c>
      <c r="G571">
        <v>-4.68</v>
      </c>
      <c r="H571">
        <v>-3.39</v>
      </c>
    </row>
    <row r="572" spans="1:8" x14ac:dyDescent="0.25">
      <c r="A572">
        <v>557</v>
      </c>
      <c r="B572">
        <v>85</v>
      </c>
      <c r="C572">
        <v>85</v>
      </c>
      <c r="D572">
        <v>70</v>
      </c>
      <c r="E572">
        <v>0</v>
      </c>
      <c r="F572">
        <v>30.56</v>
      </c>
      <c r="G572">
        <v>5.73</v>
      </c>
      <c r="H572">
        <v>-6.28</v>
      </c>
    </row>
    <row r="573" spans="1:8" x14ac:dyDescent="0.25">
      <c r="A573">
        <v>558</v>
      </c>
      <c r="B573">
        <v>85</v>
      </c>
      <c r="C573">
        <v>100</v>
      </c>
      <c r="D573">
        <v>70</v>
      </c>
      <c r="E573">
        <v>0</v>
      </c>
      <c r="F573">
        <v>27.27</v>
      </c>
      <c r="G573">
        <v>13.06</v>
      </c>
      <c r="H573">
        <v>-8.2100000000000009</v>
      </c>
    </row>
    <row r="574" spans="1:8" x14ac:dyDescent="0.25">
      <c r="A574">
        <v>559</v>
      </c>
      <c r="B574">
        <v>100</v>
      </c>
      <c r="C574">
        <v>0</v>
      </c>
      <c r="D574">
        <v>70</v>
      </c>
      <c r="E574">
        <v>0</v>
      </c>
      <c r="F574">
        <v>52.46</v>
      </c>
      <c r="G574">
        <v>-60.77</v>
      </c>
      <c r="H574">
        <v>4.59</v>
      </c>
    </row>
    <row r="575" spans="1:8" x14ac:dyDescent="0.25">
      <c r="A575">
        <v>560</v>
      </c>
      <c r="B575">
        <v>100</v>
      </c>
      <c r="C575">
        <v>10</v>
      </c>
      <c r="D575">
        <v>70</v>
      </c>
      <c r="E575">
        <v>0</v>
      </c>
      <c r="F575">
        <v>49.81</v>
      </c>
      <c r="G575">
        <v>-54.53</v>
      </c>
      <c r="H575">
        <v>2.94</v>
      </c>
    </row>
    <row r="576" spans="1:8" x14ac:dyDescent="0.25">
      <c r="A576">
        <v>561</v>
      </c>
      <c r="B576">
        <v>100</v>
      </c>
      <c r="C576">
        <v>20</v>
      </c>
      <c r="D576">
        <v>70</v>
      </c>
      <c r="E576">
        <v>0</v>
      </c>
      <c r="F576">
        <v>47.2</v>
      </c>
      <c r="G576">
        <v>-48.34</v>
      </c>
      <c r="H576">
        <v>1.24</v>
      </c>
    </row>
    <row r="577" spans="1:8" x14ac:dyDescent="0.25">
      <c r="A577">
        <v>562</v>
      </c>
      <c r="B577">
        <v>100</v>
      </c>
      <c r="C577">
        <v>30</v>
      </c>
      <c r="D577">
        <v>70</v>
      </c>
      <c r="E577">
        <v>0</v>
      </c>
      <c r="F577">
        <v>44.42</v>
      </c>
      <c r="G577">
        <v>-41.84</v>
      </c>
      <c r="H577">
        <v>-0.56000000000000005</v>
      </c>
    </row>
    <row r="578" spans="1:8" x14ac:dyDescent="0.25">
      <c r="A578">
        <v>563</v>
      </c>
      <c r="B578">
        <v>100</v>
      </c>
      <c r="C578">
        <v>40</v>
      </c>
      <c r="D578">
        <v>70</v>
      </c>
      <c r="E578">
        <v>0</v>
      </c>
      <c r="F578">
        <v>41.49</v>
      </c>
      <c r="G578">
        <v>-35</v>
      </c>
      <c r="H578">
        <v>-2.4900000000000002</v>
      </c>
    </row>
    <row r="579" spans="1:8" x14ac:dyDescent="0.25">
      <c r="A579">
        <v>564</v>
      </c>
      <c r="B579">
        <v>100</v>
      </c>
      <c r="C579">
        <v>55</v>
      </c>
      <c r="D579">
        <v>70</v>
      </c>
      <c r="E579">
        <v>0</v>
      </c>
      <c r="F579">
        <v>36.97</v>
      </c>
      <c r="G579">
        <v>-24.6</v>
      </c>
      <c r="H579">
        <v>-5.46</v>
      </c>
    </row>
    <row r="580" spans="1:8" x14ac:dyDescent="0.25">
      <c r="A580">
        <v>565</v>
      </c>
      <c r="B580">
        <v>100</v>
      </c>
      <c r="C580">
        <v>70</v>
      </c>
      <c r="D580">
        <v>70</v>
      </c>
      <c r="E580">
        <v>0</v>
      </c>
      <c r="F580">
        <v>32.14</v>
      </c>
      <c r="G580">
        <v>-13.54</v>
      </c>
      <c r="H580">
        <v>-8.59</v>
      </c>
    </row>
    <row r="581" spans="1:8" x14ac:dyDescent="0.25">
      <c r="A581">
        <v>566</v>
      </c>
      <c r="B581">
        <v>100</v>
      </c>
      <c r="C581">
        <v>85</v>
      </c>
      <c r="D581">
        <v>70</v>
      </c>
      <c r="E581">
        <v>0</v>
      </c>
      <c r="F581">
        <v>27.59</v>
      </c>
      <c r="G581">
        <v>-3.37</v>
      </c>
      <c r="H581">
        <v>-11.32</v>
      </c>
    </row>
    <row r="582" spans="1:8" x14ac:dyDescent="0.25">
      <c r="A582">
        <v>567</v>
      </c>
      <c r="B582">
        <v>100</v>
      </c>
      <c r="C582">
        <v>100</v>
      </c>
      <c r="D582">
        <v>70</v>
      </c>
      <c r="E582">
        <v>0</v>
      </c>
      <c r="F582">
        <v>24.28</v>
      </c>
      <c r="G582">
        <v>3.88</v>
      </c>
      <c r="H582">
        <v>-13.27</v>
      </c>
    </row>
    <row r="583" spans="1:8" x14ac:dyDescent="0.25">
      <c r="A583">
        <v>568</v>
      </c>
      <c r="B583">
        <v>0</v>
      </c>
      <c r="C583">
        <v>0</v>
      </c>
      <c r="D583">
        <v>85</v>
      </c>
      <c r="E583">
        <v>0</v>
      </c>
      <c r="F583">
        <v>89.52</v>
      </c>
      <c r="G583">
        <v>-3.89</v>
      </c>
      <c r="H583">
        <v>79.22</v>
      </c>
    </row>
    <row r="584" spans="1:8" x14ac:dyDescent="0.25">
      <c r="A584">
        <v>569</v>
      </c>
      <c r="B584">
        <v>0</v>
      </c>
      <c r="C584">
        <v>10</v>
      </c>
      <c r="D584">
        <v>85</v>
      </c>
      <c r="E584">
        <v>0</v>
      </c>
      <c r="F584">
        <v>84.95</v>
      </c>
      <c r="G584">
        <v>3.02</v>
      </c>
      <c r="H584">
        <v>74.239999999999995</v>
      </c>
    </row>
    <row r="585" spans="1:8" x14ac:dyDescent="0.25">
      <c r="A585">
        <v>570</v>
      </c>
      <c r="B585">
        <v>0</v>
      </c>
      <c r="C585">
        <v>20</v>
      </c>
      <c r="D585">
        <v>85</v>
      </c>
      <c r="E585">
        <v>0</v>
      </c>
      <c r="F585">
        <v>80.7</v>
      </c>
      <c r="G585">
        <v>9.57</v>
      </c>
      <c r="H585">
        <v>69.69</v>
      </c>
    </row>
    <row r="586" spans="1:8" x14ac:dyDescent="0.25">
      <c r="A586">
        <v>571</v>
      </c>
      <c r="B586">
        <v>0</v>
      </c>
      <c r="C586">
        <v>30</v>
      </c>
      <c r="D586">
        <v>85</v>
      </c>
      <c r="E586">
        <v>0</v>
      </c>
      <c r="F586">
        <v>76.28</v>
      </c>
      <c r="G586">
        <v>16.5</v>
      </c>
      <c r="H586">
        <v>65.13</v>
      </c>
    </row>
    <row r="587" spans="1:8" x14ac:dyDescent="0.25">
      <c r="A587">
        <v>572</v>
      </c>
      <c r="B587">
        <v>0</v>
      </c>
      <c r="C587">
        <v>40</v>
      </c>
      <c r="D587">
        <v>85</v>
      </c>
      <c r="E587">
        <v>0</v>
      </c>
      <c r="F587">
        <v>71.87</v>
      </c>
      <c r="G587">
        <v>23.7</v>
      </c>
      <c r="H587">
        <v>60.76</v>
      </c>
    </row>
    <row r="588" spans="1:8" x14ac:dyDescent="0.25">
      <c r="A588">
        <v>573</v>
      </c>
      <c r="B588">
        <v>0</v>
      </c>
      <c r="C588">
        <v>55</v>
      </c>
      <c r="D588">
        <v>85</v>
      </c>
      <c r="E588">
        <v>0</v>
      </c>
      <c r="F588">
        <v>65.14</v>
      </c>
      <c r="G588">
        <v>35.07</v>
      </c>
      <c r="H588">
        <v>54.44</v>
      </c>
    </row>
    <row r="589" spans="1:8" x14ac:dyDescent="0.25">
      <c r="A589">
        <v>574</v>
      </c>
      <c r="B589">
        <v>0</v>
      </c>
      <c r="C589">
        <v>70</v>
      </c>
      <c r="D589">
        <v>85</v>
      </c>
      <c r="E589">
        <v>0</v>
      </c>
      <c r="F589">
        <v>58.46</v>
      </c>
      <c r="G589">
        <v>47.27</v>
      </c>
      <c r="H589">
        <v>48.74</v>
      </c>
    </row>
    <row r="590" spans="1:8" x14ac:dyDescent="0.25">
      <c r="A590">
        <v>575</v>
      </c>
      <c r="B590">
        <v>0</v>
      </c>
      <c r="C590">
        <v>85</v>
      </c>
      <c r="D590">
        <v>85</v>
      </c>
      <c r="E590">
        <v>0</v>
      </c>
      <c r="F590">
        <v>52.19</v>
      </c>
      <c r="G590">
        <v>59.42</v>
      </c>
      <c r="H590">
        <v>43.98</v>
      </c>
    </row>
    <row r="591" spans="1:8" x14ac:dyDescent="0.25">
      <c r="A591">
        <v>576</v>
      </c>
      <c r="B591">
        <v>0</v>
      </c>
      <c r="C591">
        <v>100</v>
      </c>
      <c r="D591">
        <v>85</v>
      </c>
      <c r="E591">
        <v>0</v>
      </c>
      <c r="F591">
        <v>47.69</v>
      </c>
      <c r="G591">
        <v>68.44</v>
      </c>
      <c r="H591">
        <v>40.85</v>
      </c>
    </row>
    <row r="592" spans="1:8" x14ac:dyDescent="0.25">
      <c r="A592">
        <v>577</v>
      </c>
      <c r="B592">
        <v>10</v>
      </c>
      <c r="C592">
        <v>0</v>
      </c>
      <c r="D592">
        <v>85</v>
      </c>
      <c r="E592">
        <v>0</v>
      </c>
      <c r="F592">
        <v>85.77</v>
      </c>
      <c r="G592">
        <v>-8.76</v>
      </c>
      <c r="H592">
        <v>72.77</v>
      </c>
    </row>
    <row r="593" spans="1:8" x14ac:dyDescent="0.25">
      <c r="A593">
        <v>578</v>
      </c>
      <c r="B593">
        <v>10</v>
      </c>
      <c r="C593">
        <v>10</v>
      </c>
      <c r="D593">
        <v>85</v>
      </c>
      <c r="E593">
        <v>0</v>
      </c>
      <c r="F593">
        <v>81.37</v>
      </c>
      <c r="G593">
        <v>-2.33</v>
      </c>
      <c r="H593">
        <v>68.42</v>
      </c>
    </row>
    <row r="594" spans="1:8" x14ac:dyDescent="0.25">
      <c r="A594">
        <v>579</v>
      </c>
      <c r="B594">
        <v>10</v>
      </c>
      <c r="C594">
        <v>20</v>
      </c>
      <c r="D594">
        <v>85</v>
      </c>
      <c r="E594">
        <v>0</v>
      </c>
      <c r="F594">
        <v>77.13</v>
      </c>
      <c r="G594">
        <v>4.21</v>
      </c>
      <c r="H594">
        <v>63.95</v>
      </c>
    </row>
    <row r="595" spans="1:8" x14ac:dyDescent="0.25">
      <c r="A595">
        <v>580</v>
      </c>
      <c r="B595">
        <v>10</v>
      </c>
      <c r="C595">
        <v>30</v>
      </c>
      <c r="D595">
        <v>85</v>
      </c>
      <c r="E595">
        <v>0</v>
      </c>
      <c r="F595">
        <v>72.78</v>
      </c>
      <c r="G595">
        <v>11.09</v>
      </c>
      <c r="H595">
        <v>59.46</v>
      </c>
    </row>
    <row r="596" spans="1:8" x14ac:dyDescent="0.25">
      <c r="A596">
        <v>581</v>
      </c>
      <c r="B596">
        <v>10</v>
      </c>
      <c r="C596">
        <v>40</v>
      </c>
      <c r="D596">
        <v>85</v>
      </c>
      <c r="E596">
        <v>0</v>
      </c>
      <c r="F596">
        <v>68.400000000000006</v>
      </c>
      <c r="G596">
        <v>18.3</v>
      </c>
      <c r="H596">
        <v>55.12</v>
      </c>
    </row>
    <row r="597" spans="1:8" x14ac:dyDescent="0.25">
      <c r="A597">
        <v>582</v>
      </c>
      <c r="B597">
        <v>10</v>
      </c>
      <c r="C597">
        <v>55</v>
      </c>
      <c r="D597">
        <v>85</v>
      </c>
      <c r="E597">
        <v>0</v>
      </c>
      <c r="F597">
        <v>61.83</v>
      </c>
      <c r="G597">
        <v>29.6</v>
      </c>
      <c r="H597">
        <v>48.9</v>
      </c>
    </row>
    <row r="598" spans="1:8" x14ac:dyDescent="0.25">
      <c r="A598">
        <v>583</v>
      </c>
      <c r="B598">
        <v>10</v>
      </c>
      <c r="C598">
        <v>70</v>
      </c>
      <c r="D598">
        <v>85</v>
      </c>
      <c r="E598">
        <v>0</v>
      </c>
      <c r="F598">
        <v>55.31</v>
      </c>
      <c r="G598">
        <v>41.83</v>
      </c>
      <c r="H598">
        <v>43.28</v>
      </c>
    </row>
    <row r="599" spans="1:8" x14ac:dyDescent="0.25">
      <c r="A599">
        <v>584</v>
      </c>
      <c r="B599">
        <v>10</v>
      </c>
      <c r="C599">
        <v>85</v>
      </c>
      <c r="D599">
        <v>85</v>
      </c>
      <c r="E599">
        <v>0</v>
      </c>
      <c r="F599">
        <v>49.37</v>
      </c>
      <c r="G599">
        <v>53.69</v>
      </c>
      <c r="H599">
        <v>38.619999999999997</v>
      </c>
    </row>
    <row r="600" spans="1:8" x14ac:dyDescent="0.25">
      <c r="A600">
        <v>585</v>
      </c>
      <c r="B600">
        <v>10</v>
      </c>
      <c r="C600">
        <v>100</v>
      </c>
      <c r="D600">
        <v>85</v>
      </c>
      <c r="E600">
        <v>0</v>
      </c>
      <c r="F600">
        <v>45.2</v>
      </c>
      <c r="G600">
        <v>62.36</v>
      </c>
      <c r="H600">
        <v>35.57</v>
      </c>
    </row>
    <row r="601" spans="1:8" x14ac:dyDescent="0.25">
      <c r="A601">
        <v>586</v>
      </c>
      <c r="B601">
        <v>20</v>
      </c>
      <c r="C601">
        <v>0</v>
      </c>
      <c r="D601">
        <v>85</v>
      </c>
      <c r="E601">
        <v>0</v>
      </c>
      <c r="F601">
        <v>82.1</v>
      </c>
      <c r="G601">
        <v>-13.54</v>
      </c>
      <c r="H601">
        <v>66.510000000000005</v>
      </c>
    </row>
    <row r="602" spans="1:8" x14ac:dyDescent="0.25">
      <c r="A602">
        <v>587</v>
      </c>
      <c r="B602">
        <v>20</v>
      </c>
      <c r="C602">
        <v>10</v>
      </c>
      <c r="D602">
        <v>85</v>
      </c>
      <c r="E602">
        <v>0</v>
      </c>
      <c r="F602">
        <v>77.760000000000005</v>
      </c>
      <c r="G602">
        <v>-7.36</v>
      </c>
      <c r="H602">
        <v>62.22</v>
      </c>
    </row>
    <row r="603" spans="1:8" x14ac:dyDescent="0.25">
      <c r="A603">
        <v>588</v>
      </c>
      <c r="B603">
        <v>20</v>
      </c>
      <c r="C603">
        <v>20</v>
      </c>
      <c r="D603">
        <v>85</v>
      </c>
      <c r="E603">
        <v>0</v>
      </c>
      <c r="F603">
        <v>73.53</v>
      </c>
      <c r="G603">
        <v>-1.17</v>
      </c>
      <c r="H603">
        <v>58.04</v>
      </c>
    </row>
    <row r="604" spans="1:8" x14ac:dyDescent="0.25">
      <c r="A604">
        <v>589</v>
      </c>
      <c r="B604">
        <v>20</v>
      </c>
      <c r="C604">
        <v>30</v>
      </c>
      <c r="D604">
        <v>85</v>
      </c>
      <c r="E604">
        <v>0</v>
      </c>
      <c r="F604">
        <v>69.260000000000005</v>
      </c>
      <c r="G604">
        <v>5.66</v>
      </c>
      <c r="H604">
        <v>53.65</v>
      </c>
    </row>
    <row r="605" spans="1:8" x14ac:dyDescent="0.25">
      <c r="A605">
        <v>590</v>
      </c>
      <c r="B605">
        <v>20</v>
      </c>
      <c r="C605">
        <v>40</v>
      </c>
      <c r="D605">
        <v>85</v>
      </c>
      <c r="E605">
        <v>0</v>
      </c>
      <c r="F605">
        <v>64.959999999999994</v>
      </c>
      <c r="G605">
        <v>12.85</v>
      </c>
      <c r="H605">
        <v>49.38</v>
      </c>
    </row>
    <row r="606" spans="1:8" x14ac:dyDescent="0.25">
      <c r="A606">
        <v>591</v>
      </c>
      <c r="B606">
        <v>20</v>
      </c>
      <c r="C606">
        <v>55</v>
      </c>
      <c r="D606">
        <v>85</v>
      </c>
      <c r="E606">
        <v>0</v>
      </c>
      <c r="F606">
        <v>58.57</v>
      </c>
      <c r="G606">
        <v>24.03</v>
      </c>
      <c r="H606">
        <v>43.31</v>
      </c>
    </row>
    <row r="607" spans="1:8" x14ac:dyDescent="0.25">
      <c r="A607">
        <v>592</v>
      </c>
      <c r="B607">
        <v>20</v>
      </c>
      <c r="C607">
        <v>70</v>
      </c>
      <c r="D607">
        <v>85</v>
      </c>
      <c r="E607">
        <v>0</v>
      </c>
      <c r="F607">
        <v>52.24</v>
      </c>
      <c r="G607">
        <v>36.24</v>
      </c>
      <c r="H607">
        <v>37.76</v>
      </c>
    </row>
    <row r="608" spans="1:8" x14ac:dyDescent="0.25">
      <c r="A608">
        <v>593</v>
      </c>
      <c r="B608">
        <v>20</v>
      </c>
      <c r="C608">
        <v>85</v>
      </c>
      <c r="D608">
        <v>85</v>
      </c>
      <c r="E608">
        <v>0</v>
      </c>
      <c r="F608">
        <v>46.59</v>
      </c>
      <c r="G608">
        <v>47.88</v>
      </c>
      <c r="H608">
        <v>33.19</v>
      </c>
    </row>
    <row r="609" spans="1:8" x14ac:dyDescent="0.25">
      <c r="A609">
        <v>594</v>
      </c>
      <c r="B609">
        <v>20</v>
      </c>
      <c r="C609">
        <v>100</v>
      </c>
      <c r="D609">
        <v>85</v>
      </c>
      <c r="E609">
        <v>0</v>
      </c>
      <c r="F609">
        <v>42.7</v>
      </c>
      <c r="G609">
        <v>56.3</v>
      </c>
      <c r="H609">
        <v>30.23</v>
      </c>
    </row>
    <row r="610" spans="1:8" x14ac:dyDescent="0.25">
      <c r="A610">
        <v>595</v>
      </c>
      <c r="B610">
        <v>30</v>
      </c>
      <c r="C610">
        <v>0</v>
      </c>
      <c r="D610">
        <v>85</v>
      </c>
      <c r="E610">
        <v>0</v>
      </c>
      <c r="F610">
        <v>78.34</v>
      </c>
      <c r="G610">
        <v>-18.73</v>
      </c>
      <c r="H610">
        <v>60.17</v>
      </c>
    </row>
    <row r="611" spans="1:8" x14ac:dyDescent="0.25">
      <c r="A611">
        <v>596</v>
      </c>
      <c r="B611">
        <v>30</v>
      </c>
      <c r="C611">
        <v>10</v>
      </c>
      <c r="D611">
        <v>85</v>
      </c>
      <c r="E611">
        <v>0</v>
      </c>
      <c r="F611">
        <v>74.16</v>
      </c>
      <c r="G611">
        <v>-12.63</v>
      </c>
      <c r="H611">
        <v>56.11</v>
      </c>
    </row>
    <row r="612" spans="1:8" x14ac:dyDescent="0.25">
      <c r="A612">
        <v>597</v>
      </c>
      <c r="B612">
        <v>30</v>
      </c>
      <c r="C612">
        <v>20</v>
      </c>
      <c r="D612">
        <v>85</v>
      </c>
      <c r="E612">
        <v>0</v>
      </c>
      <c r="F612">
        <v>70.069999999999993</v>
      </c>
      <c r="G612">
        <v>-6.51</v>
      </c>
      <c r="H612">
        <v>52.13</v>
      </c>
    </row>
    <row r="613" spans="1:8" x14ac:dyDescent="0.25">
      <c r="A613">
        <v>598</v>
      </c>
      <c r="B613">
        <v>30</v>
      </c>
      <c r="C613">
        <v>30</v>
      </c>
      <c r="D613">
        <v>85</v>
      </c>
      <c r="E613">
        <v>0</v>
      </c>
      <c r="F613">
        <v>65.87</v>
      </c>
      <c r="G613">
        <v>0.13</v>
      </c>
      <c r="H613">
        <v>47.97</v>
      </c>
    </row>
    <row r="614" spans="1:8" x14ac:dyDescent="0.25">
      <c r="A614">
        <v>599</v>
      </c>
      <c r="B614">
        <v>30</v>
      </c>
      <c r="C614">
        <v>40</v>
      </c>
      <c r="D614">
        <v>85</v>
      </c>
      <c r="E614">
        <v>0</v>
      </c>
      <c r="F614">
        <v>61.68</v>
      </c>
      <c r="G614">
        <v>7.26</v>
      </c>
      <c r="H614">
        <v>43.82</v>
      </c>
    </row>
    <row r="615" spans="1:8" x14ac:dyDescent="0.25">
      <c r="A615">
        <v>600</v>
      </c>
      <c r="B615">
        <v>30</v>
      </c>
      <c r="C615">
        <v>55</v>
      </c>
      <c r="D615">
        <v>85</v>
      </c>
      <c r="E615">
        <v>0</v>
      </c>
      <c r="F615">
        <v>55.5</v>
      </c>
      <c r="G615">
        <v>18.350000000000001</v>
      </c>
      <c r="H615">
        <v>37.94</v>
      </c>
    </row>
    <row r="616" spans="1:8" x14ac:dyDescent="0.25">
      <c r="A616">
        <v>601</v>
      </c>
      <c r="B616">
        <v>30</v>
      </c>
      <c r="C616">
        <v>70</v>
      </c>
      <c r="D616">
        <v>85</v>
      </c>
      <c r="E616">
        <v>0</v>
      </c>
      <c r="F616">
        <v>49.36</v>
      </c>
      <c r="G616">
        <v>30.5</v>
      </c>
      <c r="H616">
        <v>32.49</v>
      </c>
    </row>
    <row r="617" spans="1:8" x14ac:dyDescent="0.25">
      <c r="A617">
        <v>602</v>
      </c>
      <c r="B617">
        <v>30</v>
      </c>
      <c r="C617">
        <v>85</v>
      </c>
      <c r="D617">
        <v>85</v>
      </c>
      <c r="E617">
        <v>0</v>
      </c>
      <c r="F617">
        <v>43.95</v>
      </c>
      <c r="G617">
        <v>41.94</v>
      </c>
      <c r="H617">
        <v>28.02</v>
      </c>
    </row>
    <row r="618" spans="1:8" x14ac:dyDescent="0.25">
      <c r="A618">
        <v>603</v>
      </c>
      <c r="B618">
        <v>30</v>
      </c>
      <c r="C618">
        <v>100</v>
      </c>
      <c r="D618">
        <v>85</v>
      </c>
      <c r="E618">
        <v>0</v>
      </c>
      <c r="F618">
        <v>40.25</v>
      </c>
      <c r="G618">
        <v>50.14</v>
      </c>
      <c r="H618">
        <v>25.11</v>
      </c>
    </row>
    <row r="619" spans="1:8" x14ac:dyDescent="0.25">
      <c r="A619">
        <v>604</v>
      </c>
      <c r="B619">
        <v>40</v>
      </c>
      <c r="C619">
        <v>0</v>
      </c>
      <c r="D619">
        <v>85</v>
      </c>
      <c r="E619">
        <v>0</v>
      </c>
      <c r="F619">
        <v>74.52</v>
      </c>
      <c r="G619">
        <v>-24.3</v>
      </c>
      <c r="H619">
        <v>53.78</v>
      </c>
    </row>
    <row r="620" spans="1:8" x14ac:dyDescent="0.25">
      <c r="A620">
        <v>605</v>
      </c>
      <c r="B620">
        <v>40</v>
      </c>
      <c r="C620">
        <v>10</v>
      </c>
      <c r="D620">
        <v>85</v>
      </c>
      <c r="E620">
        <v>0</v>
      </c>
      <c r="F620">
        <v>70.56</v>
      </c>
      <c r="G620">
        <v>-18.16</v>
      </c>
      <c r="H620">
        <v>50.07</v>
      </c>
    </row>
    <row r="621" spans="1:8" x14ac:dyDescent="0.25">
      <c r="A621">
        <v>606</v>
      </c>
      <c r="B621">
        <v>40</v>
      </c>
      <c r="C621">
        <v>20</v>
      </c>
      <c r="D621">
        <v>85</v>
      </c>
      <c r="E621">
        <v>0</v>
      </c>
      <c r="F621">
        <v>66.67</v>
      </c>
      <c r="G621">
        <v>-12.03</v>
      </c>
      <c r="H621">
        <v>46.35</v>
      </c>
    </row>
    <row r="622" spans="1:8" x14ac:dyDescent="0.25">
      <c r="A622">
        <v>607</v>
      </c>
      <c r="B622">
        <v>40</v>
      </c>
      <c r="C622">
        <v>30</v>
      </c>
      <c r="D622">
        <v>85</v>
      </c>
      <c r="E622">
        <v>0</v>
      </c>
      <c r="F622">
        <v>62.66</v>
      </c>
      <c r="G622">
        <v>-5.43</v>
      </c>
      <c r="H622">
        <v>42.45</v>
      </c>
    </row>
    <row r="623" spans="1:8" x14ac:dyDescent="0.25">
      <c r="A623">
        <v>608</v>
      </c>
      <c r="B623">
        <v>40</v>
      </c>
      <c r="C623">
        <v>40</v>
      </c>
      <c r="D623">
        <v>85</v>
      </c>
      <c r="E623">
        <v>0</v>
      </c>
      <c r="F623">
        <v>58.62</v>
      </c>
      <c r="G623">
        <v>1.61</v>
      </c>
      <c r="H623">
        <v>38.53</v>
      </c>
    </row>
    <row r="624" spans="1:8" x14ac:dyDescent="0.25">
      <c r="A624">
        <v>609</v>
      </c>
      <c r="B624">
        <v>40</v>
      </c>
      <c r="C624">
        <v>55</v>
      </c>
      <c r="D624">
        <v>85</v>
      </c>
      <c r="E624">
        <v>0</v>
      </c>
      <c r="F624">
        <v>52.65</v>
      </c>
      <c r="G624">
        <v>12.58</v>
      </c>
      <c r="H624">
        <v>32.86</v>
      </c>
    </row>
    <row r="625" spans="1:8" x14ac:dyDescent="0.25">
      <c r="A625">
        <v>610</v>
      </c>
      <c r="B625">
        <v>40</v>
      </c>
      <c r="C625">
        <v>70</v>
      </c>
      <c r="D625">
        <v>85</v>
      </c>
      <c r="E625">
        <v>0</v>
      </c>
      <c r="F625">
        <v>46.7</v>
      </c>
      <c r="G625">
        <v>24.65</v>
      </c>
      <c r="H625">
        <v>27.54</v>
      </c>
    </row>
    <row r="626" spans="1:8" x14ac:dyDescent="0.25">
      <c r="A626">
        <v>611</v>
      </c>
      <c r="B626">
        <v>40</v>
      </c>
      <c r="C626">
        <v>85</v>
      </c>
      <c r="D626">
        <v>85</v>
      </c>
      <c r="E626">
        <v>0</v>
      </c>
      <c r="F626">
        <v>41.47</v>
      </c>
      <c r="G626">
        <v>35.94</v>
      </c>
      <c r="H626">
        <v>23.18</v>
      </c>
    </row>
    <row r="627" spans="1:8" x14ac:dyDescent="0.25">
      <c r="A627">
        <v>612</v>
      </c>
      <c r="B627">
        <v>40</v>
      </c>
      <c r="C627">
        <v>100</v>
      </c>
      <c r="D627">
        <v>85</v>
      </c>
      <c r="E627">
        <v>0</v>
      </c>
      <c r="F627">
        <v>37.89</v>
      </c>
      <c r="G627">
        <v>43.95</v>
      </c>
      <c r="H627">
        <v>20.3</v>
      </c>
    </row>
    <row r="628" spans="1:8" x14ac:dyDescent="0.25">
      <c r="A628">
        <v>613</v>
      </c>
      <c r="B628">
        <v>55</v>
      </c>
      <c r="C628">
        <v>0</v>
      </c>
      <c r="D628">
        <v>85</v>
      </c>
      <c r="E628">
        <v>0</v>
      </c>
      <c r="F628">
        <v>68.64</v>
      </c>
      <c r="G628">
        <v>-33.33</v>
      </c>
      <c r="H628">
        <v>44.07</v>
      </c>
    </row>
    <row r="629" spans="1:8" x14ac:dyDescent="0.25">
      <c r="A629">
        <v>614</v>
      </c>
      <c r="B629">
        <v>55</v>
      </c>
      <c r="C629">
        <v>10</v>
      </c>
      <c r="D629">
        <v>85</v>
      </c>
      <c r="E629">
        <v>0</v>
      </c>
      <c r="F629">
        <v>65.05</v>
      </c>
      <c r="G629">
        <v>-27.13</v>
      </c>
      <c r="H629">
        <v>40.86</v>
      </c>
    </row>
    <row r="630" spans="1:8" x14ac:dyDescent="0.25">
      <c r="A630">
        <v>615</v>
      </c>
      <c r="B630">
        <v>55</v>
      </c>
      <c r="C630">
        <v>20</v>
      </c>
      <c r="D630">
        <v>85</v>
      </c>
      <c r="E630">
        <v>0</v>
      </c>
      <c r="F630">
        <v>61.5</v>
      </c>
      <c r="G630">
        <v>-20.96</v>
      </c>
      <c r="H630">
        <v>37.61</v>
      </c>
    </row>
    <row r="631" spans="1:8" x14ac:dyDescent="0.25">
      <c r="A631">
        <v>616</v>
      </c>
      <c r="B631">
        <v>55</v>
      </c>
      <c r="C631">
        <v>30</v>
      </c>
      <c r="D631">
        <v>85</v>
      </c>
      <c r="E631">
        <v>0</v>
      </c>
      <c r="F631">
        <v>57.81</v>
      </c>
      <c r="G631">
        <v>-14.37</v>
      </c>
      <c r="H631">
        <v>34.14</v>
      </c>
    </row>
    <row r="632" spans="1:8" x14ac:dyDescent="0.25">
      <c r="A632">
        <v>617</v>
      </c>
      <c r="B632">
        <v>55</v>
      </c>
      <c r="C632">
        <v>40</v>
      </c>
      <c r="D632">
        <v>85</v>
      </c>
      <c r="E632">
        <v>0</v>
      </c>
      <c r="F632">
        <v>54.04</v>
      </c>
      <c r="G632">
        <v>-7.36</v>
      </c>
      <c r="H632">
        <v>30.55</v>
      </c>
    </row>
    <row r="633" spans="1:8" x14ac:dyDescent="0.25">
      <c r="A633">
        <v>618</v>
      </c>
      <c r="B633">
        <v>55</v>
      </c>
      <c r="C633">
        <v>55</v>
      </c>
      <c r="D633">
        <v>85</v>
      </c>
      <c r="E633">
        <v>0</v>
      </c>
      <c r="F633">
        <v>48.43</v>
      </c>
      <c r="G633">
        <v>3.45</v>
      </c>
      <c r="H633">
        <v>25.29</v>
      </c>
    </row>
    <row r="634" spans="1:8" x14ac:dyDescent="0.25">
      <c r="A634">
        <v>619</v>
      </c>
      <c r="B634">
        <v>55</v>
      </c>
      <c r="C634">
        <v>70</v>
      </c>
      <c r="D634">
        <v>85</v>
      </c>
      <c r="E634">
        <v>0</v>
      </c>
      <c r="F634">
        <v>42.78</v>
      </c>
      <c r="G634">
        <v>15.32</v>
      </c>
      <c r="H634">
        <v>20.2</v>
      </c>
    </row>
    <row r="635" spans="1:8" x14ac:dyDescent="0.25">
      <c r="A635">
        <v>620</v>
      </c>
      <c r="B635">
        <v>55</v>
      </c>
      <c r="C635">
        <v>85</v>
      </c>
      <c r="D635">
        <v>85</v>
      </c>
      <c r="E635">
        <v>0</v>
      </c>
      <c r="F635">
        <v>37.770000000000003</v>
      </c>
      <c r="G635">
        <v>26.39</v>
      </c>
      <c r="H635">
        <v>15.98</v>
      </c>
    </row>
    <row r="636" spans="1:8" x14ac:dyDescent="0.25">
      <c r="A636">
        <v>621</v>
      </c>
      <c r="B636">
        <v>55</v>
      </c>
      <c r="C636">
        <v>100</v>
      </c>
      <c r="D636">
        <v>85</v>
      </c>
      <c r="E636">
        <v>0</v>
      </c>
      <c r="F636">
        <v>34.29</v>
      </c>
      <c r="G636">
        <v>34.29</v>
      </c>
      <c r="H636">
        <v>13.16</v>
      </c>
    </row>
    <row r="637" spans="1:8" x14ac:dyDescent="0.25">
      <c r="A637">
        <v>622</v>
      </c>
      <c r="B637">
        <v>70</v>
      </c>
      <c r="C637">
        <v>0</v>
      </c>
      <c r="D637">
        <v>85</v>
      </c>
      <c r="E637">
        <v>0</v>
      </c>
      <c r="F637">
        <v>62.37</v>
      </c>
      <c r="G637">
        <v>-43.88</v>
      </c>
      <c r="H637">
        <v>33.92</v>
      </c>
    </row>
    <row r="638" spans="1:8" x14ac:dyDescent="0.25">
      <c r="A638">
        <v>623</v>
      </c>
      <c r="B638">
        <v>70</v>
      </c>
      <c r="C638">
        <v>10</v>
      </c>
      <c r="D638">
        <v>85</v>
      </c>
      <c r="E638">
        <v>0</v>
      </c>
      <c r="F638">
        <v>59.27</v>
      </c>
      <c r="G638">
        <v>-37.479999999999997</v>
      </c>
      <c r="H638">
        <v>31.37</v>
      </c>
    </row>
    <row r="639" spans="1:8" x14ac:dyDescent="0.25">
      <c r="A639">
        <v>624</v>
      </c>
      <c r="B639">
        <v>70</v>
      </c>
      <c r="C639">
        <v>20</v>
      </c>
      <c r="D639">
        <v>85</v>
      </c>
      <c r="E639">
        <v>0</v>
      </c>
      <c r="F639">
        <v>56.16</v>
      </c>
      <c r="G639">
        <v>-31.19</v>
      </c>
      <c r="H639">
        <v>28.68</v>
      </c>
    </row>
    <row r="640" spans="1:8" x14ac:dyDescent="0.25">
      <c r="A640">
        <v>625</v>
      </c>
      <c r="B640">
        <v>70</v>
      </c>
      <c r="C640">
        <v>30</v>
      </c>
      <c r="D640">
        <v>85</v>
      </c>
      <c r="E640">
        <v>0</v>
      </c>
      <c r="F640">
        <v>52.85</v>
      </c>
      <c r="G640">
        <v>-24.5</v>
      </c>
      <c r="H640">
        <v>25.7</v>
      </c>
    </row>
    <row r="641" spans="1:8" x14ac:dyDescent="0.25">
      <c r="A641">
        <v>626</v>
      </c>
      <c r="B641">
        <v>70</v>
      </c>
      <c r="C641">
        <v>40</v>
      </c>
      <c r="D641">
        <v>85</v>
      </c>
      <c r="E641">
        <v>0</v>
      </c>
      <c r="F641">
        <v>49.4</v>
      </c>
      <c r="G641">
        <v>-17.52</v>
      </c>
      <c r="H641">
        <v>22.54</v>
      </c>
    </row>
    <row r="642" spans="1:8" x14ac:dyDescent="0.25">
      <c r="A642">
        <v>627</v>
      </c>
      <c r="B642">
        <v>70</v>
      </c>
      <c r="C642">
        <v>55</v>
      </c>
      <c r="D642">
        <v>85</v>
      </c>
      <c r="E642">
        <v>0</v>
      </c>
      <c r="F642">
        <v>44.19</v>
      </c>
      <c r="G642">
        <v>-6.82</v>
      </c>
      <c r="H642">
        <v>17.78</v>
      </c>
    </row>
    <row r="643" spans="1:8" x14ac:dyDescent="0.25">
      <c r="A643">
        <v>628</v>
      </c>
      <c r="B643">
        <v>70</v>
      </c>
      <c r="C643">
        <v>70</v>
      </c>
      <c r="D643">
        <v>85</v>
      </c>
      <c r="E643">
        <v>0</v>
      </c>
      <c r="F643">
        <v>38.82</v>
      </c>
      <c r="G643">
        <v>4.82</v>
      </c>
      <c r="H643">
        <v>13.03</v>
      </c>
    </row>
    <row r="644" spans="1:8" x14ac:dyDescent="0.25">
      <c r="A644">
        <v>629</v>
      </c>
      <c r="B644">
        <v>70</v>
      </c>
      <c r="C644">
        <v>85</v>
      </c>
      <c r="D644">
        <v>85</v>
      </c>
      <c r="E644">
        <v>0</v>
      </c>
      <c r="F644">
        <v>33.96</v>
      </c>
      <c r="G644">
        <v>15.61</v>
      </c>
      <c r="H644">
        <v>8.9600000000000009</v>
      </c>
    </row>
    <row r="645" spans="1:8" x14ac:dyDescent="0.25">
      <c r="A645">
        <v>630</v>
      </c>
      <c r="B645">
        <v>70</v>
      </c>
      <c r="C645">
        <v>100</v>
      </c>
      <c r="D645">
        <v>85</v>
      </c>
      <c r="E645">
        <v>0</v>
      </c>
      <c r="F645">
        <v>30.55</v>
      </c>
      <c r="G645">
        <v>23.36</v>
      </c>
      <c r="H645">
        <v>6.22</v>
      </c>
    </row>
    <row r="646" spans="1:8" x14ac:dyDescent="0.25">
      <c r="A646">
        <v>631</v>
      </c>
      <c r="B646">
        <v>85</v>
      </c>
      <c r="C646">
        <v>0</v>
      </c>
      <c r="D646">
        <v>85</v>
      </c>
      <c r="E646">
        <v>0</v>
      </c>
      <c r="F646">
        <v>56.13</v>
      </c>
      <c r="G646">
        <v>-55.03</v>
      </c>
      <c r="H646">
        <v>24.02</v>
      </c>
    </row>
    <row r="647" spans="1:8" x14ac:dyDescent="0.25">
      <c r="A647">
        <v>632</v>
      </c>
      <c r="B647">
        <v>85</v>
      </c>
      <c r="C647">
        <v>10</v>
      </c>
      <c r="D647">
        <v>85</v>
      </c>
      <c r="E647">
        <v>0</v>
      </c>
      <c r="F647">
        <v>53.44</v>
      </c>
      <c r="G647">
        <v>-48.64</v>
      </c>
      <c r="H647">
        <v>21.92</v>
      </c>
    </row>
    <row r="648" spans="1:8" x14ac:dyDescent="0.25">
      <c r="A648">
        <v>633</v>
      </c>
      <c r="B648">
        <v>85</v>
      </c>
      <c r="C648">
        <v>20</v>
      </c>
      <c r="D648">
        <v>85</v>
      </c>
      <c r="E648">
        <v>0</v>
      </c>
      <c r="F648">
        <v>50.71</v>
      </c>
      <c r="G648">
        <v>-42.38</v>
      </c>
      <c r="H648">
        <v>19.66</v>
      </c>
    </row>
    <row r="649" spans="1:8" x14ac:dyDescent="0.25">
      <c r="A649">
        <v>634</v>
      </c>
      <c r="B649">
        <v>85</v>
      </c>
      <c r="C649">
        <v>30</v>
      </c>
      <c r="D649">
        <v>85</v>
      </c>
      <c r="E649">
        <v>0</v>
      </c>
      <c r="F649">
        <v>47.78</v>
      </c>
      <c r="G649">
        <v>-35.729999999999997</v>
      </c>
      <c r="H649">
        <v>17.14</v>
      </c>
    </row>
    <row r="650" spans="1:8" x14ac:dyDescent="0.25">
      <c r="A650">
        <v>635</v>
      </c>
      <c r="B650">
        <v>85</v>
      </c>
      <c r="C650">
        <v>40</v>
      </c>
      <c r="D650">
        <v>85</v>
      </c>
      <c r="E650">
        <v>0</v>
      </c>
      <c r="F650">
        <v>44.69</v>
      </c>
      <c r="G650">
        <v>-28.78</v>
      </c>
      <c r="H650">
        <v>14.43</v>
      </c>
    </row>
    <row r="651" spans="1:8" x14ac:dyDescent="0.25">
      <c r="A651">
        <v>636</v>
      </c>
      <c r="B651">
        <v>85</v>
      </c>
      <c r="C651">
        <v>55</v>
      </c>
      <c r="D651">
        <v>85</v>
      </c>
      <c r="E651">
        <v>0</v>
      </c>
      <c r="F651">
        <v>39.93</v>
      </c>
      <c r="G651">
        <v>-18.170000000000002</v>
      </c>
      <c r="H651">
        <v>10.27</v>
      </c>
    </row>
    <row r="652" spans="1:8" x14ac:dyDescent="0.25">
      <c r="A652">
        <v>637</v>
      </c>
      <c r="B652">
        <v>85</v>
      </c>
      <c r="C652">
        <v>70</v>
      </c>
      <c r="D652">
        <v>85</v>
      </c>
      <c r="E652">
        <v>0</v>
      </c>
      <c r="F652">
        <v>34.82</v>
      </c>
      <c r="G652">
        <v>-6.79</v>
      </c>
      <c r="H652">
        <v>5.91</v>
      </c>
    </row>
    <row r="653" spans="1:8" x14ac:dyDescent="0.25">
      <c r="A653">
        <v>638</v>
      </c>
      <c r="B653">
        <v>85</v>
      </c>
      <c r="C653">
        <v>85</v>
      </c>
      <c r="D653">
        <v>85</v>
      </c>
      <c r="E653">
        <v>0</v>
      </c>
      <c r="F653">
        <v>30.07</v>
      </c>
      <c r="G653">
        <v>3.76</v>
      </c>
      <c r="H653">
        <v>2.0699999999999998</v>
      </c>
    </row>
    <row r="654" spans="1:8" x14ac:dyDescent="0.25">
      <c r="A654">
        <v>639</v>
      </c>
      <c r="B654">
        <v>85</v>
      </c>
      <c r="C654">
        <v>100</v>
      </c>
      <c r="D654">
        <v>85</v>
      </c>
      <c r="E654">
        <v>0</v>
      </c>
      <c r="F654">
        <v>26.71</v>
      </c>
      <c r="G654">
        <v>11.12</v>
      </c>
      <c r="H654">
        <v>-0.56000000000000005</v>
      </c>
    </row>
    <row r="655" spans="1:8" x14ac:dyDescent="0.25">
      <c r="A655">
        <v>640</v>
      </c>
      <c r="B655">
        <v>100</v>
      </c>
      <c r="C655">
        <v>0</v>
      </c>
      <c r="D655">
        <v>85</v>
      </c>
      <c r="E655">
        <v>0</v>
      </c>
      <c r="F655">
        <v>51.29</v>
      </c>
      <c r="G655">
        <v>-63.91</v>
      </c>
      <c r="H655">
        <v>16.46</v>
      </c>
    </row>
    <row r="656" spans="1:8" x14ac:dyDescent="0.25">
      <c r="A656">
        <v>641</v>
      </c>
      <c r="B656">
        <v>100</v>
      </c>
      <c r="C656">
        <v>10</v>
      </c>
      <c r="D656">
        <v>85</v>
      </c>
      <c r="E656">
        <v>0</v>
      </c>
      <c r="F656">
        <v>48.9</v>
      </c>
      <c r="G656">
        <v>-57.59</v>
      </c>
      <c r="H656">
        <v>14.58</v>
      </c>
    </row>
    <row r="657" spans="1:8" x14ac:dyDescent="0.25">
      <c r="A657">
        <v>642</v>
      </c>
      <c r="B657">
        <v>100</v>
      </c>
      <c r="C657">
        <v>20</v>
      </c>
      <c r="D657">
        <v>85</v>
      </c>
      <c r="E657">
        <v>0</v>
      </c>
      <c r="F657">
        <v>46.47</v>
      </c>
      <c r="G657">
        <v>-51.36</v>
      </c>
      <c r="H657">
        <v>12.62</v>
      </c>
    </row>
    <row r="658" spans="1:8" x14ac:dyDescent="0.25">
      <c r="A658">
        <v>643</v>
      </c>
      <c r="B658">
        <v>100</v>
      </c>
      <c r="C658">
        <v>30</v>
      </c>
      <c r="D658">
        <v>85</v>
      </c>
      <c r="E658">
        <v>0</v>
      </c>
      <c r="F658">
        <v>43.85</v>
      </c>
      <c r="G658">
        <v>-44.75</v>
      </c>
      <c r="H658">
        <v>10.48</v>
      </c>
    </row>
    <row r="659" spans="1:8" x14ac:dyDescent="0.25">
      <c r="A659">
        <v>644</v>
      </c>
      <c r="B659">
        <v>100</v>
      </c>
      <c r="C659">
        <v>40</v>
      </c>
      <c r="D659">
        <v>85</v>
      </c>
      <c r="E659">
        <v>0</v>
      </c>
      <c r="F659">
        <v>41.04</v>
      </c>
      <c r="G659">
        <v>-37.82</v>
      </c>
      <c r="H659">
        <v>8.16</v>
      </c>
    </row>
    <row r="660" spans="1:8" x14ac:dyDescent="0.25">
      <c r="A660">
        <v>645</v>
      </c>
      <c r="B660">
        <v>100</v>
      </c>
      <c r="C660">
        <v>55</v>
      </c>
      <c r="D660">
        <v>85</v>
      </c>
      <c r="E660">
        <v>0</v>
      </c>
      <c r="F660">
        <v>36.64</v>
      </c>
      <c r="G660">
        <v>-27.31</v>
      </c>
      <c r="H660">
        <v>4.5199999999999996</v>
      </c>
    </row>
    <row r="661" spans="1:8" x14ac:dyDescent="0.25">
      <c r="A661">
        <v>646</v>
      </c>
      <c r="B661">
        <v>100</v>
      </c>
      <c r="C661">
        <v>70</v>
      </c>
      <c r="D661">
        <v>85</v>
      </c>
      <c r="E661">
        <v>0</v>
      </c>
      <c r="F661">
        <v>31.72</v>
      </c>
      <c r="G661">
        <v>-16.03</v>
      </c>
      <c r="H661">
        <v>0.45</v>
      </c>
    </row>
    <row r="662" spans="1:8" x14ac:dyDescent="0.25">
      <c r="A662">
        <v>647</v>
      </c>
      <c r="B662">
        <v>100</v>
      </c>
      <c r="C662">
        <v>85</v>
      </c>
      <c r="D662">
        <v>85</v>
      </c>
      <c r="E662">
        <v>0</v>
      </c>
      <c r="F662">
        <v>27.01</v>
      </c>
      <c r="G662">
        <v>-5.79</v>
      </c>
      <c r="H662">
        <v>-3.18</v>
      </c>
    </row>
    <row r="663" spans="1:8" x14ac:dyDescent="0.25">
      <c r="A663">
        <v>648</v>
      </c>
      <c r="B663">
        <v>100</v>
      </c>
      <c r="C663">
        <v>100</v>
      </c>
      <c r="D663">
        <v>85</v>
      </c>
      <c r="E663">
        <v>0</v>
      </c>
      <c r="F663">
        <v>23.59</v>
      </c>
      <c r="G663">
        <v>1.5</v>
      </c>
      <c r="H663">
        <v>-5.75</v>
      </c>
    </row>
    <row r="664" spans="1:8" x14ac:dyDescent="0.25">
      <c r="A664">
        <v>649</v>
      </c>
      <c r="B664">
        <v>0</v>
      </c>
      <c r="C664">
        <v>0</v>
      </c>
      <c r="D664">
        <v>100</v>
      </c>
      <c r="E664">
        <v>0</v>
      </c>
      <c r="F664">
        <v>89</v>
      </c>
      <c r="G664">
        <v>-4</v>
      </c>
      <c r="H664">
        <v>93</v>
      </c>
    </row>
    <row r="665" spans="1:8" x14ac:dyDescent="0.25">
      <c r="A665">
        <v>650</v>
      </c>
      <c r="B665">
        <v>0</v>
      </c>
      <c r="C665">
        <v>10</v>
      </c>
      <c r="D665">
        <v>100</v>
      </c>
      <c r="E665">
        <v>0</v>
      </c>
      <c r="F665">
        <v>84.44</v>
      </c>
      <c r="G665">
        <v>2.78</v>
      </c>
      <c r="H665">
        <v>87.22</v>
      </c>
    </row>
    <row r="666" spans="1:8" x14ac:dyDescent="0.25">
      <c r="A666">
        <v>651</v>
      </c>
      <c r="B666">
        <v>0</v>
      </c>
      <c r="C666">
        <v>20</v>
      </c>
      <c r="D666">
        <v>100</v>
      </c>
      <c r="E666">
        <v>0</v>
      </c>
      <c r="F666">
        <v>80.180000000000007</v>
      </c>
      <c r="G666">
        <v>9.35</v>
      </c>
      <c r="H666">
        <v>82.04</v>
      </c>
    </row>
    <row r="667" spans="1:8" x14ac:dyDescent="0.25">
      <c r="A667">
        <v>652</v>
      </c>
      <c r="B667">
        <v>0</v>
      </c>
      <c r="C667">
        <v>30</v>
      </c>
      <c r="D667">
        <v>100</v>
      </c>
      <c r="E667">
        <v>0</v>
      </c>
      <c r="F667">
        <v>75.78</v>
      </c>
      <c r="G667">
        <v>16.27</v>
      </c>
      <c r="H667">
        <v>76.819999999999993</v>
      </c>
    </row>
    <row r="668" spans="1:8" x14ac:dyDescent="0.25">
      <c r="A668">
        <v>653</v>
      </c>
      <c r="B668">
        <v>0</v>
      </c>
      <c r="C668">
        <v>40</v>
      </c>
      <c r="D668">
        <v>100</v>
      </c>
      <c r="E668">
        <v>0</v>
      </c>
      <c r="F668">
        <v>71.36</v>
      </c>
      <c r="G668">
        <v>23.52</v>
      </c>
      <c r="H668">
        <v>71.84</v>
      </c>
    </row>
    <row r="669" spans="1:8" x14ac:dyDescent="0.25">
      <c r="A669">
        <v>654</v>
      </c>
      <c r="B669">
        <v>0</v>
      </c>
      <c r="C669">
        <v>55</v>
      </c>
      <c r="D669">
        <v>100</v>
      </c>
      <c r="E669">
        <v>0</v>
      </c>
      <c r="F669">
        <v>64.67</v>
      </c>
      <c r="G669">
        <v>34.81</v>
      </c>
      <c r="H669">
        <v>64.48</v>
      </c>
    </row>
    <row r="670" spans="1:8" x14ac:dyDescent="0.25">
      <c r="A670">
        <v>655</v>
      </c>
      <c r="B670">
        <v>0</v>
      </c>
      <c r="C670">
        <v>70</v>
      </c>
      <c r="D670">
        <v>100</v>
      </c>
      <c r="E670">
        <v>0</v>
      </c>
      <c r="F670">
        <v>57.98</v>
      </c>
      <c r="G670">
        <v>46.89</v>
      </c>
      <c r="H670">
        <v>57.54</v>
      </c>
    </row>
    <row r="671" spans="1:8" x14ac:dyDescent="0.25">
      <c r="A671">
        <v>656</v>
      </c>
      <c r="B671">
        <v>0</v>
      </c>
      <c r="C671">
        <v>85</v>
      </c>
      <c r="D671">
        <v>100</v>
      </c>
      <c r="E671">
        <v>0</v>
      </c>
      <c r="F671">
        <v>51.67</v>
      </c>
      <c r="G671">
        <v>58.94</v>
      </c>
      <c r="H671">
        <v>51.76</v>
      </c>
    </row>
    <row r="672" spans="1:8" x14ac:dyDescent="0.25">
      <c r="A672">
        <v>657</v>
      </c>
      <c r="B672">
        <v>0</v>
      </c>
      <c r="C672">
        <v>100</v>
      </c>
      <c r="D672">
        <v>100</v>
      </c>
      <c r="E672">
        <v>0</v>
      </c>
      <c r="F672">
        <v>47</v>
      </c>
      <c r="G672">
        <v>68</v>
      </c>
      <c r="H672">
        <v>48</v>
      </c>
    </row>
    <row r="673" spans="1:8" x14ac:dyDescent="0.25">
      <c r="A673">
        <v>658</v>
      </c>
      <c r="B673">
        <v>10</v>
      </c>
      <c r="C673">
        <v>0</v>
      </c>
      <c r="D673">
        <v>100</v>
      </c>
      <c r="E673">
        <v>0</v>
      </c>
      <c r="F673">
        <v>85.21</v>
      </c>
      <c r="G673">
        <v>-8.91</v>
      </c>
      <c r="H673">
        <v>86.14</v>
      </c>
    </row>
    <row r="674" spans="1:8" x14ac:dyDescent="0.25">
      <c r="A674">
        <v>659</v>
      </c>
      <c r="B674">
        <v>10</v>
      </c>
      <c r="C674">
        <v>10</v>
      </c>
      <c r="D674">
        <v>100</v>
      </c>
      <c r="E674">
        <v>0</v>
      </c>
      <c r="F674">
        <v>80.86</v>
      </c>
      <c r="G674">
        <v>-2.5</v>
      </c>
      <c r="H674">
        <v>80.790000000000006</v>
      </c>
    </row>
    <row r="675" spans="1:8" x14ac:dyDescent="0.25">
      <c r="A675">
        <v>660</v>
      </c>
      <c r="B675">
        <v>10</v>
      </c>
      <c r="C675">
        <v>20</v>
      </c>
      <c r="D675">
        <v>100</v>
      </c>
      <c r="E675">
        <v>0</v>
      </c>
      <c r="F675">
        <v>76.64</v>
      </c>
      <c r="G675">
        <v>4.01</v>
      </c>
      <c r="H675">
        <v>75.709999999999994</v>
      </c>
    </row>
    <row r="676" spans="1:8" x14ac:dyDescent="0.25">
      <c r="A676">
        <v>661</v>
      </c>
      <c r="B676">
        <v>10</v>
      </c>
      <c r="C676">
        <v>30</v>
      </c>
      <c r="D676">
        <v>100</v>
      </c>
      <c r="E676">
        <v>0</v>
      </c>
      <c r="F676">
        <v>72.3</v>
      </c>
      <c r="G676">
        <v>10.89</v>
      </c>
      <c r="H676">
        <v>70.61</v>
      </c>
    </row>
    <row r="677" spans="1:8" x14ac:dyDescent="0.25">
      <c r="A677">
        <v>662</v>
      </c>
      <c r="B677">
        <v>10</v>
      </c>
      <c r="C677">
        <v>40</v>
      </c>
      <c r="D677">
        <v>100</v>
      </c>
      <c r="E677">
        <v>0</v>
      </c>
      <c r="F677">
        <v>67.94</v>
      </c>
      <c r="G677">
        <v>18.09</v>
      </c>
      <c r="H677">
        <v>65.680000000000007</v>
      </c>
    </row>
    <row r="678" spans="1:8" x14ac:dyDescent="0.25">
      <c r="A678">
        <v>663</v>
      </c>
      <c r="B678">
        <v>10</v>
      </c>
      <c r="C678">
        <v>55</v>
      </c>
      <c r="D678">
        <v>100</v>
      </c>
      <c r="E678">
        <v>0</v>
      </c>
      <c r="F678">
        <v>61.41</v>
      </c>
      <c r="G678">
        <v>29.3</v>
      </c>
      <c r="H678">
        <v>58.47</v>
      </c>
    </row>
    <row r="679" spans="1:8" x14ac:dyDescent="0.25">
      <c r="A679">
        <v>664</v>
      </c>
      <c r="B679">
        <v>10</v>
      </c>
      <c r="C679">
        <v>70</v>
      </c>
      <c r="D679">
        <v>100</v>
      </c>
      <c r="E679">
        <v>0</v>
      </c>
      <c r="F679">
        <v>54.91</v>
      </c>
      <c r="G679">
        <v>41.39</v>
      </c>
      <c r="H679">
        <v>51.73</v>
      </c>
    </row>
    <row r="680" spans="1:8" x14ac:dyDescent="0.25">
      <c r="A680">
        <v>665</v>
      </c>
      <c r="B680">
        <v>10</v>
      </c>
      <c r="C680">
        <v>85</v>
      </c>
      <c r="D680">
        <v>100</v>
      </c>
      <c r="E680">
        <v>0</v>
      </c>
      <c r="F680">
        <v>48.96</v>
      </c>
      <c r="G680">
        <v>53.17</v>
      </c>
      <c r="H680">
        <v>46.04</v>
      </c>
    </row>
    <row r="681" spans="1:8" x14ac:dyDescent="0.25">
      <c r="A681">
        <v>666</v>
      </c>
      <c r="B681">
        <v>10</v>
      </c>
      <c r="C681">
        <v>100</v>
      </c>
      <c r="D681">
        <v>100</v>
      </c>
      <c r="E681">
        <v>0</v>
      </c>
      <c r="F681">
        <v>44.72</v>
      </c>
      <c r="G681">
        <v>61.8</v>
      </c>
      <c r="H681">
        <v>42.29</v>
      </c>
    </row>
    <row r="682" spans="1:8" x14ac:dyDescent="0.25">
      <c r="A682">
        <v>667</v>
      </c>
      <c r="B682">
        <v>20</v>
      </c>
      <c r="C682">
        <v>0</v>
      </c>
      <c r="D682">
        <v>100</v>
      </c>
      <c r="E682">
        <v>0</v>
      </c>
      <c r="F682">
        <v>81.53</v>
      </c>
      <c r="G682">
        <v>-13.75</v>
      </c>
      <c r="H682">
        <v>79.52</v>
      </c>
    </row>
    <row r="683" spans="1:8" x14ac:dyDescent="0.25">
      <c r="A683">
        <v>668</v>
      </c>
      <c r="B683">
        <v>20</v>
      </c>
      <c r="C683">
        <v>10</v>
      </c>
      <c r="D683">
        <v>100</v>
      </c>
      <c r="E683">
        <v>0</v>
      </c>
      <c r="F683">
        <v>77.25</v>
      </c>
      <c r="G683">
        <v>-7.58</v>
      </c>
      <c r="H683">
        <v>74.319999999999993</v>
      </c>
    </row>
    <row r="684" spans="1:8" x14ac:dyDescent="0.25">
      <c r="A684">
        <v>669</v>
      </c>
      <c r="B684">
        <v>20</v>
      </c>
      <c r="C684">
        <v>20</v>
      </c>
      <c r="D684">
        <v>100</v>
      </c>
      <c r="E684">
        <v>0</v>
      </c>
      <c r="F684">
        <v>73.06</v>
      </c>
      <c r="G684">
        <v>-1.4</v>
      </c>
      <c r="H684">
        <v>69.28</v>
      </c>
    </row>
    <row r="685" spans="1:8" x14ac:dyDescent="0.25">
      <c r="A685">
        <v>670</v>
      </c>
      <c r="B685">
        <v>20</v>
      </c>
      <c r="C685">
        <v>30</v>
      </c>
      <c r="D685">
        <v>100</v>
      </c>
      <c r="E685">
        <v>0</v>
      </c>
      <c r="F685">
        <v>68.819999999999993</v>
      </c>
      <c r="G685">
        <v>5.4</v>
      </c>
      <c r="H685">
        <v>64.33</v>
      </c>
    </row>
    <row r="686" spans="1:8" x14ac:dyDescent="0.25">
      <c r="A686">
        <v>671</v>
      </c>
      <c r="B686">
        <v>20</v>
      </c>
      <c r="C686">
        <v>40</v>
      </c>
      <c r="D686">
        <v>100</v>
      </c>
      <c r="E686">
        <v>0</v>
      </c>
      <c r="F686">
        <v>64.540000000000006</v>
      </c>
      <c r="G686">
        <v>12.57</v>
      </c>
      <c r="H686">
        <v>59.54</v>
      </c>
    </row>
    <row r="687" spans="1:8" x14ac:dyDescent="0.25">
      <c r="A687">
        <v>672</v>
      </c>
      <c r="B687">
        <v>20</v>
      </c>
      <c r="C687">
        <v>55</v>
      </c>
      <c r="D687">
        <v>100</v>
      </c>
      <c r="E687">
        <v>0</v>
      </c>
      <c r="F687">
        <v>58.2</v>
      </c>
      <c r="G687">
        <v>23.68</v>
      </c>
      <c r="H687">
        <v>52.53</v>
      </c>
    </row>
    <row r="688" spans="1:8" x14ac:dyDescent="0.25">
      <c r="A688">
        <v>673</v>
      </c>
      <c r="B688">
        <v>20</v>
      </c>
      <c r="C688">
        <v>70</v>
      </c>
      <c r="D688">
        <v>100</v>
      </c>
      <c r="E688">
        <v>0</v>
      </c>
      <c r="F688">
        <v>51.91</v>
      </c>
      <c r="G688">
        <v>35.770000000000003</v>
      </c>
      <c r="H688">
        <v>45.92</v>
      </c>
    </row>
    <row r="689" spans="1:8" x14ac:dyDescent="0.25">
      <c r="A689">
        <v>674</v>
      </c>
      <c r="B689">
        <v>20</v>
      </c>
      <c r="C689">
        <v>85</v>
      </c>
      <c r="D689">
        <v>100</v>
      </c>
      <c r="E689">
        <v>0</v>
      </c>
      <c r="F689">
        <v>46.29</v>
      </c>
      <c r="G689">
        <v>47.35</v>
      </c>
      <c r="H689">
        <v>40.36</v>
      </c>
    </row>
    <row r="690" spans="1:8" x14ac:dyDescent="0.25">
      <c r="A690">
        <v>675</v>
      </c>
      <c r="B690">
        <v>20</v>
      </c>
      <c r="C690">
        <v>100</v>
      </c>
      <c r="D690">
        <v>100</v>
      </c>
      <c r="E690">
        <v>0</v>
      </c>
      <c r="F690">
        <v>42.36</v>
      </c>
      <c r="G690">
        <v>55.68</v>
      </c>
      <c r="H690">
        <v>36.630000000000003</v>
      </c>
    </row>
    <row r="691" spans="1:8" x14ac:dyDescent="0.25">
      <c r="A691">
        <v>676</v>
      </c>
      <c r="B691">
        <v>30</v>
      </c>
      <c r="C691">
        <v>0</v>
      </c>
      <c r="D691">
        <v>100</v>
      </c>
      <c r="E691">
        <v>0</v>
      </c>
      <c r="F691">
        <v>77.78</v>
      </c>
      <c r="G691">
        <v>-19.02</v>
      </c>
      <c r="H691">
        <v>72.83</v>
      </c>
    </row>
    <row r="692" spans="1:8" x14ac:dyDescent="0.25">
      <c r="A692">
        <v>677</v>
      </c>
      <c r="B692">
        <v>30</v>
      </c>
      <c r="C692">
        <v>10</v>
      </c>
      <c r="D692">
        <v>100</v>
      </c>
      <c r="E692">
        <v>0</v>
      </c>
      <c r="F692">
        <v>73.650000000000006</v>
      </c>
      <c r="G692">
        <v>-12.95</v>
      </c>
      <c r="H692">
        <v>67.88</v>
      </c>
    </row>
    <row r="693" spans="1:8" x14ac:dyDescent="0.25">
      <c r="A693">
        <v>678</v>
      </c>
      <c r="B693">
        <v>30</v>
      </c>
      <c r="C693">
        <v>20</v>
      </c>
      <c r="D693">
        <v>100</v>
      </c>
      <c r="E693">
        <v>0</v>
      </c>
      <c r="F693">
        <v>69.61</v>
      </c>
      <c r="G693">
        <v>-6.85</v>
      </c>
      <c r="H693">
        <v>63.11</v>
      </c>
    </row>
    <row r="694" spans="1:8" x14ac:dyDescent="0.25">
      <c r="A694">
        <v>679</v>
      </c>
      <c r="B694">
        <v>30</v>
      </c>
      <c r="C694">
        <v>30</v>
      </c>
      <c r="D694">
        <v>100</v>
      </c>
      <c r="E694">
        <v>0</v>
      </c>
      <c r="F694">
        <v>65.44</v>
      </c>
      <c r="G694">
        <v>-0.26</v>
      </c>
      <c r="H694">
        <v>58.26</v>
      </c>
    </row>
    <row r="695" spans="1:8" x14ac:dyDescent="0.25">
      <c r="A695">
        <v>680</v>
      </c>
      <c r="B695">
        <v>30</v>
      </c>
      <c r="C695">
        <v>40</v>
      </c>
      <c r="D695">
        <v>100</v>
      </c>
      <c r="E695">
        <v>0</v>
      </c>
      <c r="F695">
        <v>61.27</v>
      </c>
      <c r="G695">
        <v>6.88</v>
      </c>
      <c r="H695">
        <v>53.6</v>
      </c>
    </row>
    <row r="696" spans="1:8" x14ac:dyDescent="0.25">
      <c r="A696">
        <v>681</v>
      </c>
      <c r="B696">
        <v>30</v>
      </c>
      <c r="C696">
        <v>55</v>
      </c>
      <c r="D696">
        <v>100</v>
      </c>
      <c r="E696">
        <v>0</v>
      </c>
      <c r="F696">
        <v>55.14</v>
      </c>
      <c r="G696">
        <v>17.87</v>
      </c>
      <c r="H696">
        <v>46.84</v>
      </c>
    </row>
    <row r="697" spans="1:8" x14ac:dyDescent="0.25">
      <c r="A697">
        <v>682</v>
      </c>
      <c r="B697">
        <v>30</v>
      </c>
      <c r="C697">
        <v>70</v>
      </c>
      <c r="D697">
        <v>100</v>
      </c>
      <c r="E697">
        <v>0</v>
      </c>
      <c r="F697">
        <v>49.07</v>
      </c>
      <c r="G697">
        <v>29.95</v>
      </c>
      <c r="H697">
        <v>40.39</v>
      </c>
    </row>
    <row r="698" spans="1:8" x14ac:dyDescent="0.25">
      <c r="A698">
        <v>683</v>
      </c>
      <c r="B698">
        <v>30</v>
      </c>
      <c r="C698">
        <v>85</v>
      </c>
      <c r="D698">
        <v>100</v>
      </c>
      <c r="E698">
        <v>0</v>
      </c>
      <c r="F698">
        <v>43.69</v>
      </c>
      <c r="G698">
        <v>41.37</v>
      </c>
      <c r="H698">
        <v>34.97</v>
      </c>
    </row>
    <row r="699" spans="1:8" x14ac:dyDescent="0.25">
      <c r="A699">
        <v>684</v>
      </c>
      <c r="B699">
        <v>30</v>
      </c>
      <c r="C699">
        <v>100</v>
      </c>
      <c r="D699">
        <v>100</v>
      </c>
      <c r="E699">
        <v>0</v>
      </c>
      <c r="F699">
        <v>39.99</v>
      </c>
      <c r="G699">
        <v>49.48</v>
      </c>
      <c r="H699">
        <v>31.33</v>
      </c>
    </row>
    <row r="700" spans="1:8" x14ac:dyDescent="0.25">
      <c r="A700">
        <v>685</v>
      </c>
      <c r="B700">
        <v>40</v>
      </c>
      <c r="C700">
        <v>0</v>
      </c>
      <c r="D700">
        <v>100</v>
      </c>
      <c r="E700">
        <v>0</v>
      </c>
      <c r="F700">
        <v>73.930000000000007</v>
      </c>
      <c r="G700">
        <v>-24.83</v>
      </c>
      <c r="H700">
        <v>66.08</v>
      </c>
    </row>
    <row r="701" spans="1:8" x14ac:dyDescent="0.25">
      <c r="A701">
        <v>686</v>
      </c>
      <c r="B701">
        <v>40</v>
      </c>
      <c r="C701">
        <v>10</v>
      </c>
      <c r="D701">
        <v>100</v>
      </c>
      <c r="E701">
        <v>0</v>
      </c>
      <c r="F701">
        <v>70.010000000000005</v>
      </c>
      <c r="G701">
        <v>-18.64</v>
      </c>
      <c r="H701">
        <v>61.54</v>
      </c>
    </row>
    <row r="702" spans="1:8" x14ac:dyDescent="0.25">
      <c r="A702">
        <v>687</v>
      </c>
      <c r="B702">
        <v>40</v>
      </c>
      <c r="C702">
        <v>20</v>
      </c>
      <c r="D702">
        <v>100</v>
      </c>
      <c r="E702">
        <v>0</v>
      </c>
      <c r="F702">
        <v>66.17</v>
      </c>
      <c r="G702">
        <v>-12.51</v>
      </c>
      <c r="H702">
        <v>57.06</v>
      </c>
    </row>
    <row r="703" spans="1:8" x14ac:dyDescent="0.25">
      <c r="A703">
        <v>688</v>
      </c>
      <c r="B703">
        <v>40</v>
      </c>
      <c r="C703">
        <v>30</v>
      </c>
      <c r="D703">
        <v>100</v>
      </c>
      <c r="E703">
        <v>0</v>
      </c>
      <c r="F703">
        <v>62.21</v>
      </c>
      <c r="G703">
        <v>-5.94</v>
      </c>
      <c r="H703">
        <v>52.51</v>
      </c>
    </row>
    <row r="704" spans="1:8" x14ac:dyDescent="0.25">
      <c r="A704">
        <v>689</v>
      </c>
      <c r="B704">
        <v>40</v>
      </c>
      <c r="C704">
        <v>40</v>
      </c>
      <c r="D704">
        <v>100</v>
      </c>
      <c r="E704">
        <v>0</v>
      </c>
      <c r="F704">
        <v>58.2</v>
      </c>
      <c r="G704">
        <v>1.0900000000000001</v>
      </c>
      <c r="H704">
        <v>48</v>
      </c>
    </row>
    <row r="705" spans="1:8" x14ac:dyDescent="0.25">
      <c r="A705">
        <v>690</v>
      </c>
      <c r="B705">
        <v>40</v>
      </c>
      <c r="C705">
        <v>55</v>
      </c>
      <c r="D705">
        <v>100</v>
      </c>
      <c r="E705">
        <v>0</v>
      </c>
      <c r="F705">
        <v>52.28</v>
      </c>
      <c r="G705">
        <v>12</v>
      </c>
      <c r="H705">
        <v>41.5</v>
      </c>
    </row>
    <row r="706" spans="1:8" x14ac:dyDescent="0.25">
      <c r="A706">
        <v>691</v>
      </c>
      <c r="B706">
        <v>40</v>
      </c>
      <c r="C706">
        <v>70</v>
      </c>
      <c r="D706">
        <v>100</v>
      </c>
      <c r="E706">
        <v>0</v>
      </c>
      <c r="F706">
        <v>46.4</v>
      </c>
      <c r="G706">
        <v>24.01</v>
      </c>
      <c r="H706">
        <v>35.229999999999997</v>
      </c>
    </row>
    <row r="707" spans="1:8" x14ac:dyDescent="0.25">
      <c r="A707">
        <v>692</v>
      </c>
      <c r="B707">
        <v>40</v>
      </c>
      <c r="C707">
        <v>85</v>
      </c>
      <c r="D707">
        <v>100</v>
      </c>
      <c r="E707">
        <v>0</v>
      </c>
      <c r="F707">
        <v>41.22</v>
      </c>
      <c r="G707">
        <v>35.28</v>
      </c>
      <c r="H707">
        <v>29.95</v>
      </c>
    </row>
    <row r="708" spans="1:8" x14ac:dyDescent="0.25">
      <c r="A708">
        <v>693</v>
      </c>
      <c r="B708">
        <v>40</v>
      </c>
      <c r="C708">
        <v>100</v>
      </c>
      <c r="D708">
        <v>100</v>
      </c>
      <c r="E708">
        <v>0</v>
      </c>
      <c r="F708">
        <v>37.65</v>
      </c>
      <c r="G708">
        <v>43.25</v>
      </c>
      <c r="H708">
        <v>26.39</v>
      </c>
    </row>
    <row r="709" spans="1:8" x14ac:dyDescent="0.25">
      <c r="A709">
        <v>694</v>
      </c>
      <c r="B709">
        <v>55</v>
      </c>
      <c r="C709">
        <v>0</v>
      </c>
      <c r="D709">
        <v>100</v>
      </c>
      <c r="E709">
        <v>0</v>
      </c>
      <c r="F709">
        <v>68.03</v>
      </c>
      <c r="G709">
        <v>-34.15</v>
      </c>
      <c r="H709">
        <v>55.75</v>
      </c>
    </row>
    <row r="710" spans="1:8" x14ac:dyDescent="0.25">
      <c r="A710">
        <v>695</v>
      </c>
      <c r="B710">
        <v>55</v>
      </c>
      <c r="C710">
        <v>10</v>
      </c>
      <c r="D710">
        <v>100</v>
      </c>
      <c r="E710">
        <v>0</v>
      </c>
      <c r="F710">
        <v>64.47</v>
      </c>
      <c r="G710">
        <v>-27.86</v>
      </c>
      <c r="H710">
        <v>51.77</v>
      </c>
    </row>
    <row r="711" spans="1:8" x14ac:dyDescent="0.25">
      <c r="A711">
        <v>696</v>
      </c>
      <c r="B711">
        <v>55</v>
      </c>
      <c r="C711">
        <v>20</v>
      </c>
      <c r="D711">
        <v>100</v>
      </c>
      <c r="E711">
        <v>0</v>
      </c>
      <c r="F711">
        <v>60.98</v>
      </c>
      <c r="G711">
        <v>-21.7</v>
      </c>
      <c r="H711">
        <v>47.85</v>
      </c>
    </row>
    <row r="712" spans="1:8" x14ac:dyDescent="0.25">
      <c r="A712">
        <v>697</v>
      </c>
      <c r="B712">
        <v>55</v>
      </c>
      <c r="C712">
        <v>30</v>
      </c>
      <c r="D712">
        <v>100</v>
      </c>
      <c r="E712">
        <v>0</v>
      </c>
      <c r="F712">
        <v>57.35</v>
      </c>
      <c r="G712">
        <v>-15.09</v>
      </c>
      <c r="H712">
        <v>43.78</v>
      </c>
    </row>
    <row r="713" spans="1:8" x14ac:dyDescent="0.25">
      <c r="A713">
        <v>698</v>
      </c>
      <c r="B713">
        <v>55</v>
      </c>
      <c r="C713">
        <v>40</v>
      </c>
      <c r="D713">
        <v>100</v>
      </c>
      <c r="E713">
        <v>0</v>
      </c>
      <c r="F713">
        <v>53.63</v>
      </c>
      <c r="G713">
        <v>-8.09</v>
      </c>
      <c r="H713">
        <v>39.67</v>
      </c>
    </row>
    <row r="714" spans="1:8" x14ac:dyDescent="0.25">
      <c r="A714">
        <v>699</v>
      </c>
      <c r="B714">
        <v>55</v>
      </c>
      <c r="C714">
        <v>55</v>
      </c>
      <c r="D714">
        <v>100</v>
      </c>
      <c r="E714">
        <v>0</v>
      </c>
      <c r="F714">
        <v>48.07</v>
      </c>
      <c r="G714">
        <v>2.73</v>
      </c>
      <c r="H714">
        <v>33.700000000000003</v>
      </c>
    </row>
    <row r="715" spans="1:8" x14ac:dyDescent="0.25">
      <c r="A715">
        <v>700</v>
      </c>
      <c r="B715">
        <v>55</v>
      </c>
      <c r="C715">
        <v>70</v>
      </c>
      <c r="D715">
        <v>100</v>
      </c>
      <c r="E715">
        <v>0</v>
      </c>
      <c r="F715">
        <v>42.48</v>
      </c>
      <c r="G715">
        <v>14.58</v>
      </c>
      <c r="H715">
        <v>27.68</v>
      </c>
    </row>
    <row r="716" spans="1:8" x14ac:dyDescent="0.25">
      <c r="A716">
        <v>701</v>
      </c>
      <c r="B716">
        <v>55</v>
      </c>
      <c r="C716">
        <v>85</v>
      </c>
      <c r="D716">
        <v>100</v>
      </c>
      <c r="E716">
        <v>0</v>
      </c>
      <c r="F716">
        <v>37.520000000000003</v>
      </c>
      <c r="G716">
        <v>25.64</v>
      </c>
      <c r="H716">
        <v>22.59</v>
      </c>
    </row>
    <row r="717" spans="1:8" x14ac:dyDescent="0.25">
      <c r="A717">
        <v>702</v>
      </c>
      <c r="B717">
        <v>55</v>
      </c>
      <c r="C717">
        <v>100</v>
      </c>
      <c r="D717">
        <v>100</v>
      </c>
      <c r="E717">
        <v>0</v>
      </c>
      <c r="F717">
        <v>34.04</v>
      </c>
      <c r="G717">
        <v>33.54</v>
      </c>
      <c r="H717">
        <v>19.239999999999998</v>
      </c>
    </row>
    <row r="718" spans="1:8" x14ac:dyDescent="0.25">
      <c r="A718">
        <v>703</v>
      </c>
      <c r="B718">
        <v>70</v>
      </c>
      <c r="C718">
        <v>0</v>
      </c>
      <c r="D718">
        <v>100</v>
      </c>
      <c r="E718">
        <v>0</v>
      </c>
      <c r="F718">
        <v>61.66</v>
      </c>
      <c r="G718">
        <v>-45.12</v>
      </c>
      <c r="H718">
        <v>44.87</v>
      </c>
    </row>
    <row r="719" spans="1:8" x14ac:dyDescent="0.25">
      <c r="A719">
        <v>704</v>
      </c>
      <c r="B719">
        <v>70</v>
      </c>
      <c r="C719">
        <v>10</v>
      </c>
      <c r="D719">
        <v>100</v>
      </c>
      <c r="E719">
        <v>0</v>
      </c>
      <c r="F719">
        <v>58.62</v>
      </c>
      <c r="G719">
        <v>-38.64</v>
      </c>
      <c r="H719">
        <v>41.61</v>
      </c>
    </row>
    <row r="720" spans="1:8" x14ac:dyDescent="0.25">
      <c r="A720">
        <v>705</v>
      </c>
      <c r="B720">
        <v>70</v>
      </c>
      <c r="C720">
        <v>20</v>
      </c>
      <c r="D720">
        <v>100</v>
      </c>
      <c r="E720">
        <v>0</v>
      </c>
      <c r="F720">
        <v>55.6</v>
      </c>
      <c r="G720">
        <v>-32.33</v>
      </c>
      <c r="H720">
        <v>38.32</v>
      </c>
    </row>
    <row r="721" spans="1:8" x14ac:dyDescent="0.25">
      <c r="A721">
        <v>706</v>
      </c>
      <c r="B721">
        <v>70</v>
      </c>
      <c r="C721">
        <v>30</v>
      </c>
      <c r="D721">
        <v>100</v>
      </c>
      <c r="E721">
        <v>0</v>
      </c>
      <c r="F721">
        <v>52.38</v>
      </c>
      <c r="G721">
        <v>-25.64</v>
      </c>
      <c r="H721">
        <v>34.840000000000003</v>
      </c>
    </row>
    <row r="722" spans="1:8" x14ac:dyDescent="0.25">
      <c r="A722">
        <v>707</v>
      </c>
      <c r="B722">
        <v>70</v>
      </c>
      <c r="C722">
        <v>40</v>
      </c>
      <c r="D722">
        <v>100</v>
      </c>
      <c r="E722">
        <v>0</v>
      </c>
      <c r="F722">
        <v>49.01</v>
      </c>
      <c r="G722">
        <v>-18.600000000000001</v>
      </c>
      <c r="H722">
        <v>31.24</v>
      </c>
    </row>
    <row r="723" spans="1:8" x14ac:dyDescent="0.25">
      <c r="A723">
        <v>708</v>
      </c>
      <c r="B723">
        <v>70</v>
      </c>
      <c r="C723">
        <v>55</v>
      </c>
      <c r="D723">
        <v>100</v>
      </c>
      <c r="E723">
        <v>0</v>
      </c>
      <c r="F723">
        <v>43.86</v>
      </c>
      <c r="G723">
        <v>-7.86</v>
      </c>
      <c r="H723">
        <v>25.87</v>
      </c>
    </row>
    <row r="724" spans="1:8" x14ac:dyDescent="0.25">
      <c r="A724">
        <v>709</v>
      </c>
      <c r="B724">
        <v>70</v>
      </c>
      <c r="C724">
        <v>70</v>
      </c>
      <c r="D724">
        <v>100</v>
      </c>
      <c r="E724">
        <v>0</v>
      </c>
      <c r="F724">
        <v>38.53</v>
      </c>
      <c r="G724">
        <v>3.8</v>
      </c>
      <c r="H724">
        <v>20.25</v>
      </c>
    </row>
    <row r="725" spans="1:8" x14ac:dyDescent="0.25">
      <c r="A725">
        <v>710</v>
      </c>
      <c r="B725">
        <v>70</v>
      </c>
      <c r="C725">
        <v>85</v>
      </c>
      <c r="D725">
        <v>100</v>
      </c>
      <c r="E725">
        <v>0</v>
      </c>
      <c r="F725">
        <v>33.67</v>
      </c>
      <c r="G725">
        <v>14.64</v>
      </c>
      <c r="H725">
        <v>15.4</v>
      </c>
    </row>
    <row r="726" spans="1:8" x14ac:dyDescent="0.25">
      <c r="A726">
        <v>711</v>
      </c>
      <c r="B726">
        <v>70</v>
      </c>
      <c r="C726">
        <v>100</v>
      </c>
      <c r="D726">
        <v>100</v>
      </c>
      <c r="E726">
        <v>0</v>
      </c>
      <c r="F726">
        <v>30.23</v>
      </c>
      <c r="G726">
        <v>22.39</v>
      </c>
      <c r="H726">
        <v>12.16</v>
      </c>
    </row>
    <row r="727" spans="1:8" x14ac:dyDescent="0.25">
      <c r="A727">
        <v>712</v>
      </c>
      <c r="B727">
        <v>85</v>
      </c>
      <c r="C727">
        <v>0</v>
      </c>
      <c r="D727">
        <v>100</v>
      </c>
      <c r="E727">
        <v>0</v>
      </c>
      <c r="F727">
        <v>55.24</v>
      </c>
      <c r="G727">
        <v>-56.83</v>
      </c>
      <c r="H727">
        <v>34.14</v>
      </c>
    </row>
    <row r="728" spans="1:8" x14ac:dyDescent="0.25">
      <c r="A728">
        <v>713</v>
      </c>
      <c r="B728">
        <v>85</v>
      </c>
      <c r="C728">
        <v>10</v>
      </c>
      <c r="D728">
        <v>100</v>
      </c>
      <c r="E728">
        <v>0</v>
      </c>
      <c r="F728">
        <v>52.71</v>
      </c>
      <c r="G728">
        <v>-50.3</v>
      </c>
      <c r="H728">
        <v>31.45</v>
      </c>
    </row>
    <row r="729" spans="1:8" x14ac:dyDescent="0.25">
      <c r="A729">
        <v>714</v>
      </c>
      <c r="B729">
        <v>85</v>
      </c>
      <c r="C729">
        <v>20</v>
      </c>
      <c r="D729">
        <v>100</v>
      </c>
      <c r="E729">
        <v>0</v>
      </c>
      <c r="F729">
        <v>50.14</v>
      </c>
      <c r="G729">
        <v>-43.99</v>
      </c>
      <c r="H729">
        <v>28.7</v>
      </c>
    </row>
    <row r="730" spans="1:8" x14ac:dyDescent="0.25">
      <c r="A730">
        <v>715</v>
      </c>
      <c r="B730">
        <v>85</v>
      </c>
      <c r="C730">
        <v>30</v>
      </c>
      <c r="D730">
        <v>100</v>
      </c>
      <c r="E730">
        <v>0</v>
      </c>
      <c r="F730">
        <v>47.33</v>
      </c>
      <c r="G730">
        <v>-37.29</v>
      </c>
      <c r="H730">
        <v>25.75</v>
      </c>
    </row>
    <row r="731" spans="1:8" x14ac:dyDescent="0.25">
      <c r="A731">
        <v>716</v>
      </c>
      <c r="B731">
        <v>85</v>
      </c>
      <c r="C731">
        <v>40</v>
      </c>
      <c r="D731">
        <v>100</v>
      </c>
      <c r="E731">
        <v>0</v>
      </c>
      <c r="F731">
        <v>44.33</v>
      </c>
      <c r="G731">
        <v>-30.29</v>
      </c>
      <c r="H731">
        <v>22.65</v>
      </c>
    </row>
    <row r="732" spans="1:8" x14ac:dyDescent="0.25">
      <c r="A732">
        <v>717</v>
      </c>
      <c r="B732">
        <v>85</v>
      </c>
      <c r="C732">
        <v>55</v>
      </c>
      <c r="D732">
        <v>100</v>
      </c>
      <c r="E732">
        <v>0</v>
      </c>
      <c r="F732">
        <v>39.659999999999997</v>
      </c>
      <c r="G732">
        <v>-19.64</v>
      </c>
      <c r="H732">
        <v>17.989999999999998</v>
      </c>
    </row>
    <row r="733" spans="1:8" x14ac:dyDescent="0.25">
      <c r="A733">
        <v>718</v>
      </c>
      <c r="B733">
        <v>85</v>
      </c>
      <c r="C733">
        <v>70</v>
      </c>
      <c r="D733">
        <v>100</v>
      </c>
      <c r="E733">
        <v>0</v>
      </c>
      <c r="F733">
        <v>34.54</v>
      </c>
      <c r="G733">
        <v>-8.14</v>
      </c>
      <c r="H733">
        <v>12.86</v>
      </c>
    </row>
    <row r="734" spans="1:8" x14ac:dyDescent="0.25">
      <c r="A734">
        <v>719</v>
      </c>
      <c r="B734">
        <v>85</v>
      </c>
      <c r="C734">
        <v>85</v>
      </c>
      <c r="D734">
        <v>100</v>
      </c>
      <c r="E734">
        <v>0</v>
      </c>
      <c r="F734">
        <v>29.71</v>
      </c>
      <c r="G734">
        <v>2.41</v>
      </c>
      <c r="H734">
        <v>8.3000000000000007</v>
      </c>
    </row>
    <row r="735" spans="1:8" x14ac:dyDescent="0.25">
      <c r="A735">
        <v>720</v>
      </c>
      <c r="B735">
        <v>85</v>
      </c>
      <c r="C735">
        <v>100</v>
      </c>
      <c r="D735">
        <v>100</v>
      </c>
      <c r="E735">
        <v>0</v>
      </c>
      <c r="F735">
        <v>26.21</v>
      </c>
      <c r="G735">
        <v>9.8800000000000008</v>
      </c>
      <c r="H735">
        <v>5.2</v>
      </c>
    </row>
    <row r="736" spans="1:8" x14ac:dyDescent="0.25">
      <c r="A736">
        <v>721</v>
      </c>
      <c r="B736">
        <v>100</v>
      </c>
      <c r="C736">
        <v>0</v>
      </c>
      <c r="D736">
        <v>100</v>
      </c>
      <c r="E736">
        <v>0</v>
      </c>
      <c r="F736">
        <v>50</v>
      </c>
      <c r="G736">
        <v>-66</v>
      </c>
      <c r="H736">
        <v>26</v>
      </c>
    </row>
    <row r="737" spans="1:8" x14ac:dyDescent="0.25">
      <c r="A737">
        <v>722</v>
      </c>
      <c r="B737">
        <v>100</v>
      </c>
      <c r="C737">
        <v>10</v>
      </c>
      <c r="D737">
        <v>100</v>
      </c>
      <c r="E737">
        <v>0</v>
      </c>
      <c r="F737">
        <v>48.01</v>
      </c>
      <c r="G737">
        <v>-59.66</v>
      </c>
      <c r="H737">
        <v>23.64</v>
      </c>
    </row>
    <row r="738" spans="1:8" x14ac:dyDescent="0.25">
      <c r="A738">
        <v>723</v>
      </c>
      <c r="B738">
        <v>100</v>
      </c>
      <c r="C738">
        <v>20</v>
      </c>
      <c r="D738">
        <v>100</v>
      </c>
      <c r="E738">
        <v>0</v>
      </c>
      <c r="F738">
        <v>45.87</v>
      </c>
      <c r="G738">
        <v>-53.35</v>
      </c>
      <c r="H738">
        <v>21.26</v>
      </c>
    </row>
    <row r="739" spans="1:8" x14ac:dyDescent="0.25">
      <c r="A739">
        <v>724</v>
      </c>
      <c r="B739">
        <v>100</v>
      </c>
      <c r="C739">
        <v>30</v>
      </c>
      <c r="D739">
        <v>100</v>
      </c>
      <c r="E739">
        <v>0</v>
      </c>
      <c r="F739">
        <v>43.41</v>
      </c>
      <c r="G739">
        <v>-46.68</v>
      </c>
      <c r="H739">
        <v>18.72</v>
      </c>
    </row>
    <row r="740" spans="1:8" x14ac:dyDescent="0.25">
      <c r="A740">
        <v>725</v>
      </c>
      <c r="B740">
        <v>100</v>
      </c>
      <c r="C740">
        <v>40</v>
      </c>
      <c r="D740">
        <v>100</v>
      </c>
      <c r="E740">
        <v>0</v>
      </c>
      <c r="F740">
        <v>40.71</v>
      </c>
      <c r="G740">
        <v>-39.67</v>
      </c>
      <c r="H740">
        <v>16.04</v>
      </c>
    </row>
    <row r="741" spans="1:8" x14ac:dyDescent="0.25">
      <c r="A741">
        <v>726</v>
      </c>
      <c r="B741">
        <v>100</v>
      </c>
      <c r="C741">
        <v>55</v>
      </c>
      <c r="D741">
        <v>100</v>
      </c>
      <c r="E741">
        <v>0</v>
      </c>
      <c r="F741">
        <v>36.39</v>
      </c>
      <c r="G741">
        <v>-29.01</v>
      </c>
      <c r="H741">
        <v>11.97</v>
      </c>
    </row>
    <row r="742" spans="1:8" x14ac:dyDescent="0.25">
      <c r="A742">
        <v>727</v>
      </c>
      <c r="B742">
        <v>100</v>
      </c>
      <c r="C742">
        <v>70</v>
      </c>
      <c r="D742">
        <v>100</v>
      </c>
      <c r="E742">
        <v>0</v>
      </c>
      <c r="F742">
        <v>31.4</v>
      </c>
      <c r="G742">
        <v>-17.63</v>
      </c>
      <c r="H742">
        <v>7.18</v>
      </c>
    </row>
    <row r="743" spans="1:8" x14ac:dyDescent="0.25">
      <c r="A743">
        <v>728</v>
      </c>
      <c r="B743">
        <v>100</v>
      </c>
      <c r="C743">
        <v>85</v>
      </c>
      <c r="D743">
        <v>100</v>
      </c>
      <c r="E743">
        <v>0</v>
      </c>
      <c r="F743">
        <v>26.57</v>
      </c>
      <c r="G743">
        <v>-7.4</v>
      </c>
      <c r="H743">
        <v>3</v>
      </c>
    </row>
    <row r="744" spans="1:8" x14ac:dyDescent="0.25">
      <c r="A744">
        <v>729</v>
      </c>
      <c r="B744">
        <v>100</v>
      </c>
      <c r="C744">
        <v>100</v>
      </c>
      <c r="D744">
        <v>100</v>
      </c>
      <c r="E744">
        <v>0</v>
      </c>
      <c r="F744">
        <v>23</v>
      </c>
      <c r="G744">
        <v>0</v>
      </c>
      <c r="H744">
        <v>0</v>
      </c>
    </row>
    <row r="745" spans="1:8" x14ac:dyDescent="0.25">
      <c r="A745">
        <v>730</v>
      </c>
      <c r="B745">
        <v>0</v>
      </c>
      <c r="C745">
        <v>0</v>
      </c>
      <c r="D745">
        <v>0</v>
      </c>
      <c r="E745">
        <v>20</v>
      </c>
      <c r="F745">
        <v>81.17</v>
      </c>
      <c r="G745">
        <v>0.76</v>
      </c>
      <c r="H745">
        <v>-3.5</v>
      </c>
    </row>
    <row r="746" spans="1:8" x14ac:dyDescent="0.25">
      <c r="A746">
        <v>731</v>
      </c>
      <c r="B746">
        <v>0</v>
      </c>
      <c r="C746">
        <v>10</v>
      </c>
      <c r="D746">
        <v>0</v>
      </c>
      <c r="E746">
        <v>20</v>
      </c>
      <c r="F746">
        <v>76.78</v>
      </c>
      <c r="G746">
        <v>6.51</v>
      </c>
      <c r="H746">
        <v>-4.41</v>
      </c>
    </row>
    <row r="747" spans="1:8" x14ac:dyDescent="0.25">
      <c r="A747">
        <v>732</v>
      </c>
      <c r="B747">
        <v>0</v>
      </c>
      <c r="C747">
        <v>20</v>
      </c>
      <c r="D747">
        <v>0</v>
      </c>
      <c r="E747">
        <v>20</v>
      </c>
      <c r="F747">
        <v>72.72</v>
      </c>
      <c r="G747">
        <v>12</v>
      </c>
      <c r="H747">
        <v>-5.07</v>
      </c>
    </row>
    <row r="748" spans="1:8" x14ac:dyDescent="0.25">
      <c r="A748">
        <v>733</v>
      </c>
      <c r="B748">
        <v>0</v>
      </c>
      <c r="C748">
        <v>40</v>
      </c>
      <c r="D748">
        <v>0</v>
      </c>
      <c r="E748">
        <v>20</v>
      </c>
      <c r="F748">
        <v>64.2</v>
      </c>
      <c r="G748">
        <v>24.02</v>
      </c>
      <c r="H748">
        <v>-6.22</v>
      </c>
    </row>
    <row r="749" spans="1:8" x14ac:dyDescent="0.25">
      <c r="A749">
        <v>734</v>
      </c>
      <c r="B749">
        <v>0</v>
      </c>
      <c r="C749">
        <v>70</v>
      </c>
      <c r="D749">
        <v>0</v>
      </c>
      <c r="E749">
        <v>20</v>
      </c>
      <c r="F749">
        <v>51.39</v>
      </c>
      <c r="G749">
        <v>44.8</v>
      </c>
      <c r="H749">
        <v>-5.97</v>
      </c>
    </row>
    <row r="750" spans="1:8" x14ac:dyDescent="0.25">
      <c r="A750">
        <v>735</v>
      </c>
      <c r="B750">
        <v>0</v>
      </c>
      <c r="C750">
        <v>100</v>
      </c>
      <c r="D750">
        <v>0</v>
      </c>
      <c r="E750">
        <v>20</v>
      </c>
      <c r="F750">
        <v>41.3</v>
      </c>
      <c r="G750">
        <v>63.56</v>
      </c>
      <c r="H750">
        <v>-3.99</v>
      </c>
    </row>
    <row r="751" spans="1:8" x14ac:dyDescent="0.25">
      <c r="A751">
        <v>736</v>
      </c>
      <c r="B751">
        <v>10</v>
      </c>
      <c r="C751">
        <v>0</v>
      </c>
      <c r="D751">
        <v>0</v>
      </c>
      <c r="E751">
        <v>20</v>
      </c>
      <c r="F751">
        <v>77.739999999999995</v>
      </c>
      <c r="G751">
        <v>-2.2000000000000002</v>
      </c>
      <c r="H751">
        <v>-7.7</v>
      </c>
    </row>
    <row r="752" spans="1:8" x14ac:dyDescent="0.25">
      <c r="A752">
        <v>737</v>
      </c>
      <c r="B752">
        <v>10</v>
      </c>
      <c r="C752">
        <v>10</v>
      </c>
      <c r="D752">
        <v>0</v>
      </c>
      <c r="E752">
        <v>20</v>
      </c>
      <c r="F752">
        <v>73.599999999999994</v>
      </c>
      <c r="G752">
        <v>3.39</v>
      </c>
      <c r="H752">
        <v>-8.42</v>
      </c>
    </row>
    <row r="753" spans="1:8" x14ac:dyDescent="0.25">
      <c r="A753">
        <v>738</v>
      </c>
      <c r="B753">
        <v>10</v>
      </c>
      <c r="C753">
        <v>20</v>
      </c>
      <c r="D753">
        <v>0</v>
      </c>
      <c r="E753">
        <v>20</v>
      </c>
      <c r="F753">
        <v>69.709999999999994</v>
      </c>
      <c r="G753">
        <v>8.86</v>
      </c>
      <c r="H753">
        <v>-8.98</v>
      </c>
    </row>
    <row r="754" spans="1:8" x14ac:dyDescent="0.25">
      <c r="A754">
        <v>739</v>
      </c>
      <c r="B754">
        <v>10</v>
      </c>
      <c r="C754">
        <v>40</v>
      </c>
      <c r="D754">
        <v>0</v>
      </c>
      <c r="E754">
        <v>20</v>
      </c>
      <c r="F754">
        <v>61.47</v>
      </c>
      <c r="G754">
        <v>20.36</v>
      </c>
      <c r="H754">
        <v>-10.119999999999999</v>
      </c>
    </row>
    <row r="755" spans="1:8" x14ac:dyDescent="0.25">
      <c r="A755">
        <v>740</v>
      </c>
      <c r="B755">
        <v>10</v>
      </c>
      <c r="C755">
        <v>70</v>
      </c>
      <c r="D755">
        <v>0</v>
      </c>
      <c r="E755">
        <v>20</v>
      </c>
      <c r="F755">
        <v>49.18</v>
      </c>
      <c r="G755">
        <v>40.67</v>
      </c>
      <c r="H755">
        <v>-9.66</v>
      </c>
    </row>
    <row r="756" spans="1:8" x14ac:dyDescent="0.25">
      <c r="A756">
        <v>741</v>
      </c>
      <c r="B756">
        <v>10</v>
      </c>
      <c r="C756">
        <v>100</v>
      </c>
      <c r="D756">
        <v>0</v>
      </c>
      <c r="E756">
        <v>20</v>
      </c>
      <c r="F756">
        <v>39.46</v>
      </c>
      <c r="G756">
        <v>58.97</v>
      </c>
      <c r="H756">
        <v>-7.73</v>
      </c>
    </row>
    <row r="757" spans="1:8" x14ac:dyDescent="0.25">
      <c r="A757">
        <v>742</v>
      </c>
      <c r="B757">
        <v>20</v>
      </c>
      <c r="C757">
        <v>0</v>
      </c>
      <c r="D757">
        <v>0</v>
      </c>
      <c r="E757">
        <v>20</v>
      </c>
      <c r="F757">
        <v>74.39</v>
      </c>
      <c r="G757">
        <v>-5.09</v>
      </c>
      <c r="H757">
        <v>-11.66</v>
      </c>
    </row>
    <row r="758" spans="1:8" x14ac:dyDescent="0.25">
      <c r="A758">
        <v>743</v>
      </c>
      <c r="B758">
        <v>20</v>
      </c>
      <c r="C758">
        <v>10</v>
      </c>
      <c r="D758">
        <v>0</v>
      </c>
      <c r="E758">
        <v>20</v>
      </c>
      <c r="F758">
        <v>70.459999999999994</v>
      </c>
      <c r="G758">
        <v>0.27</v>
      </c>
      <c r="H758">
        <v>-12.33</v>
      </c>
    </row>
    <row r="759" spans="1:8" x14ac:dyDescent="0.25">
      <c r="A759">
        <v>744</v>
      </c>
      <c r="B759">
        <v>20</v>
      </c>
      <c r="C759">
        <v>20</v>
      </c>
      <c r="D759">
        <v>0</v>
      </c>
      <c r="E759">
        <v>20</v>
      </c>
      <c r="F759">
        <v>66.69</v>
      </c>
      <c r="G759">
        <v>5.6</v>
      </c>
      <c r="H759">
        <v>-12.86</v>
      </c>
    </row>
    <row r="760" spans="1:8" x14ac:dyDescent="0.25">
      <c r="A760">
        <v>745</v>
      </c>
      <c r="B760">
        <v>20</v>
      </c>
      <c r="C760">
        <v>40</v>
      </c>
      <c r="D760">
        <v>0</v>
      </c>
      <c r="E760">
        <v>20</v>
      </c>
      <c r="F760">
        <v>58.78</v>
      </c>
      <c r="G760">
        <v>16.899999999999999</v>
      </c>
      <c r="H760">
        <v>-13.82</v>
      </c>
    </row>
    <row r="761" spans="1:8" x14ac:dyDescent="0.25">
      <c r="A761">
        <v>746</v>
      </c>
      <c r="B761">
        <v>20</v>
      </c>
      <c r="C761">
        <v>70</v>
      </c>
      <c r="D761">
        <v>0</v>
      </c>
      <c r="E761">
        <v>20</v>
      </c>
      <c r="F761">
        <v>46.96</v>
      </c>
      <c r="G761">
        <v>36.47</v>
      </c>
      <c r="H761">
        <v>-13.35</v>
      </c>
    </row>
    <row r="762" spans="1:8" x14ac:dyDescent="0.25">
      <c r="A762">
        <v>747</v>
      </c>
      <c r="B762">
        <v>20</v>
      </c>
      <c r="C762">
        <v>100</v>
      </c>
      <c r="D762">
        <v>0</v>
      </c>
      <c r="E762">
        <v>20</v>
      </c>
      <c r="F762">
        <v>37.549999999999997</v>
      </c>
      <c r="G762">
        <v>54.19</v>
      </c>
      <c r="H762">
        <v>-11.57</v>
      </c>
    </row>
    <row r="763" spans="1:8" x14ac:dyDescent="0.25">
      <c r="A763">
        <v>748</v>
      </c>
      <c r="B763">
        <v>40</v>
      </c>
      <c r="C763">
        <v>0</v>
      </c>
      <c r="D763">
        <v>0</v>
      </c>
      <c r="E763">
        <v>20</v>
      </c>
      <c r="F763">
        <v>67.61</v>
      </c>
      <c r="G763">
        <v>-11.29</v>
      </c>
      <c r="H763">
        <v>-19.89</v>
      </c>
    </row>
    <row r="764" spans="1:8" x14ac:dyDescent="0.25">
      <c r="A764">
        <v>749</v>
      </c>
      <c r="B764">
        <v>40</v>
      </c>
      <c r="C764">
        <v>10</v>
      </c>
      <c r="D764">
        <v>0</v>
      </c>
      <c r="E764">
        <v>20</v>
      </c>
      <c r="F764">
        <v>63.97</v>
      </c>
      <c r="G764">
        <v>-6.01</v>
      </c>
      <c r="H764">
        <v>-20.3</v>
      </c>
    </row>
    <row r="765" spans="1:8" x14ac:dyDescent="0.25">
      <c r="A765">
        <v>750</v>
      </c>
      <c r="B765">
        <v>40</v>
      </c>
      <c r="C765">
        <v>20</v>
      </c>
      <c r="D765">
        <v>0</v>
      </c>
      <c r="E765">
        <v>20</v>
      </c>
      <c r="F765">
        <v>60.48</v>
      </c>
      <c r="G765">
        <v>-0.94</v>
      </c>
      <c r="H765">
        <v>-20.71</v>
      </c>
    </row>
    <row r="766" spans="1:8" x14ac:dyDescent="0.25">
      <c r="A766">
        <v>751</v>
      </c>
      <c r="B766">
        <v>40</v>
      </c>
      <c r="C766">
        <v>40</v>
      </c>
      <c r="D766">
        <v>0</v>
      </c>
      <c r="E766">
        <v>20</v>
      </c>
      <c r="F766">
        <v>53.41</v>
      </c>
      <c r="G766">
        <v>9.7100000000000009</v>
      </c>
      <c r="H766">
        <v>-21.06</v>
      </c>
    </row>
    <row r="767" spans="1:8" x14ac:dyDescent="0.25">
      <c r="A767">
        <v>752</v>
      </c>
      <c r="B767">
        <v>40</v>
      </c>
      <c r="C767">
        <v>70</v>
      </c>
      <c r="D767">
        <v>0</v>
      </c>
      <c r="E767">
        <v>20</v>
      </c>
      <c r="F767">
        <v>42.49</v>
      </c>
      <c r="G767">
        <v>28.02</v>
      </c>
      <c r="H767">
        <v>-20.52</v>
      </c>
    </row>
    <row r="768" spans="1:8" x14ac:dyDescent="0.25">
      <c r="A768">
        <v>753</v>
      </c>
      <c r="B768">
        <v>40</v>
      </c>
      <c r="C768">
        <v>100</v>
      </c>
      <c r="D768">
        <v>0</v>
      </c>
      <c r="E768">
        <v>20</v>
      </c>
      <c r="F768">
        <v>33.659999999999997</v>
      </c>
      <c r="G768">
        <v>44.64</v>
      </c>
      <c r="H768">
        <v>-19.03</v>
      </c>
    </row>
    <row r="769" spans="1:8" x14ac:dyDescent="0.25">
      <c r="A769">
        <v>754</v>
      </c>
      <c r="B769">
        <v>70</v>
      </c>
      <c r="C769">
        <v>0</v>
      </c>
      <c r="D769">
        <v>0</v>
      </c>
      <c r="E769">
        <v>20</v>
      </c>
      <c r="F769">
        <v>57.23</v>
      </c>
      <c r="G769">
        <v>-22.05</v>
      </c>
      <c r="H769">
        <v>-32.11</v>
      </c>
    </row>
    <row r="770" spans="1:8" x14ac:dyDescent="0.25">
      <c r="A770">
        <v>755</v>
      </c>
      <c r="B770">
        <v>70</v>
      </c>
      <c r="C770">
        <v>10</v>
      </c>
      <c r="D770">
        <v>0</v>
      </c>
      <c r="E770">
        <v>20</v>
      </c>
      <c r="F770">
        <v>54.16</v>
      </c>
      <c r="G770">
        <v>-17.11</v>
      </c>
      <c r="H770">
        <v>-32.1</v>
      </c>
    </row>
    <row r="771" spans="1:8" x14ac:dyDescent="0.25">
      <c r="A771">
        <v>756</v>
      </c>
      <c r="B771">
        <v>70</v>
      </c>
      <c r="C771">
        <v>20</v>
      </c>
      <c r="D771">
        <v>0</v>
      </c>
      <c r="E771">
        <v>20</v>
      </c>
      <c r="F771">
        <v>51.17</v>
      </c>
      <c r="G771">
        <v>-12.25</v>
      </c>
      <c r="H771">
        <v>-32.11</v>
      </c>
    </row>
    <row r="772" spans="1:8" x14ac:dyDescent="0.25">
      <c r="A772">
        <v>757</v>
      </c>
      <c r="B772">
        <v>70</v>
      </c>
      <c r="C772">
        <v>40</v>
      </c>
      <c r="D772">
        <v>0</v>
      </c>
      <c r="E772">
        <v>20</v>
      </c>
      <c r="F772">
        <v>45.1</v>
      </c>
      <c r="G772">
        <v>-2.25</v>
      </c>
      <c r="H772">
        <v>-31.81</v>
      </c>
    </row>
    <row r="773" spans="1:8" x14ac:dyDescent="0.25">
      <c r="A773">
        <v>758</v>
      </c>
      <c r="B773">
        <v>70</v>
      </c>
      <c r="C773">
        <v>70</v>
      </c>
      <c r="D773">
        <v>0</v>
      </c>
      <c r="E773">
        <v>20</v>
      </c>
      <c r="F773">
        <v>35.71</v>
      </c>
      <c r="G773">
        <v>14.57</v>
      </c>
      <c r="H773">
        <v>-30.89</v>
      </c>
    </row>
    <row r="774" spans="1:8" x14ac:dyDescent="0.25">
      <c r="A774">
        <v>759</v>
      </c>
      <c r="B774">
        <v>70</v>
      </c>
      <c r="C774">
        <v>100</v>
      </c>
      <c r="D774">
        <v>0</v>
      </c>
      <c r="E774">
        <v>20</v>
      </c>
      <c r="F774">
        <v>27.96</v>
      </c>
      <c r="G774">
        <v>29.75</v>
      </c>
      <c r="H774">
        <v>-29.7</v>
      </c>
    </row>
    <row r="775" spans="1:8" x14ac:dyDescent="0.25">
      <c r="A775">
        <v>760</v>
      </c>
      <c r="B775">
        <v>100</v>
      </c>
      <c r="C775">
        <v>0</v>
      </c>
      <c r="D775">
        <v>0</v>
      </c>
      <c r="E775">
        <v>20</v>
      </c>
      <c r="F775">
        <v>48.21</v>
      </c>
      <c r="G775">
        <v>-32.49</v>
      </c>
      <c r="H775">
        <v>-42.5</v>
      </c>
    </row>
    <row r="776" spans="1:8" x14ac:dyDescent="0.25">
      <c r="A776">
        <v>761</v>
      </c>
      <c r="B776">
        <v>100</v>
      </c>
      <c r="C776">
        <v>10</v>
      </c>
      <c r="D776">
        <v>0</v>
      </c>
      <c r="E776">
        <v>20</v>
      </c>
      <c r="F776">
        <v>45.67</v>
      </c>
      <c r="G776">
        <v>-27.89</v>
      </c>
      <c r="H776">
        <v>-42.05</v>
      </c>
    </row>
    <row r="777" spans="1:8" x14ac:dyDescent="0.25">
      <c r="A777">
        <v>762</v>
      </c>
      <c r="B777">
        <v>100</v>
      </c>
      <c r="C777">
        <v>20</v>
      </c>
      <c r="D777">
        <v>0</v>
      </c>
      <c r="E777">
        <v>20</v>
      </c>
      <c r="F777">
        <v>43.13</v>
      </c>
      <c r="G777">
        <v>-23.3</v>
      </c>
      <c r="H777">
        <v>-41.61</v>
      </c>
    </row>
    <row r="778" spans="1:8" x14ac:dyDescent="0.25">
      <c r="A778">
        <v>763</v>
      </c>
      <c r="B778">
        <v>100</v>
      </c>
      <c r="C778">
        <v>40</v>
      </c>
      <c r="D778">
        <v>0</v>
      </c>
      <c r="E778">
        <v>20</v>
      </c>
      <c r="F778">
        <v>37.83</v>
      </c>
      <c r="G778">
        <v>-13.6</v>
      </c>
      <c r="H778">
        <v>-40.81</v>
      </c>
    </row>
    <row r="779" spans="1:8" x14ac:dyDescent="0.25">
      <c r="A779">
        <v>764</v>
      </c>
      <c r="B779">
        <v>100</v>
      </c>
      <c r="C779">
        <v>70</v>
      </c>
      <c r="D779">
        <v>0</v>
      </c>
      <c r="E779">
        <v>20</v>
      </c>
      <c r="F779">
        <v>29.78</v>
      </c>
      <c r="G779">
        <v>2.11</v>
      </c>
      <c r="H779">
        <v>-39.49</v>
      </c>
    </row>
    <row r="780" spans="1:8" x14ac:dyDescent="0.25">
      <c r="A780">
        <v>765</v>
      </c>
      <c r="B780">
        <v>100</v>
      </c>
      <c r="C780">
        <v>100</v>
      </c>
      <c r="D780">
        <v>0</v>
      </c>
      <c r="E780">
        <v>20</v>
      </c>
      <c r="F780">
        <v>23.07</v>
      </c>
      <c r="G780">
        <v>16.18</v>
      </c>
      <c r="H780">
        <v>-38.549999999999997</v>
      </c>
    </row>
    <row r="781" spans="1:8" x14ac:dyDescent="0.25">
      <c r="A781">
        <v>766</v>
      </c>
      <c r="B781">
        <v>0</v>
      </c>
      <c r="C781">
        <v>0</v>
      </c>
      <c r="D781">
        <v>10</v>
      </c>
      <c r="E781">
        <v>20</v>
      </c>
      <c r="F781">
        <v>80.48</v>
      </c>
      <c r="G781">
        <v>-0.19</v>
      </c>
      <c r="H781">
        <v>3.88</v>
      </c>
    </row>
    <row r="782" spans="1:8" x14ac:dyDescent="0.25">
      <c r="A782">
        <v>767</v>
      </c>
      <c r="B782">
        <v>0</v>
      </c>
      <c r="C782">
        <v>10</v>
      </c>
      <c r="D782">
        <v>10</v>
      </c>
      <c r="E782">
        <v>20</v>
      </c>
      <c r="F782">
        <v>76.239999999999995</v>
      </c>
      <c r="G782">
        <v>5.64</v>
      </c>
      <c r="H782">
        <v>2.5499999999999998</v>
      </c>
    </row>
    <row r="783" spans="1:8" x14ac:dyDescent="0.25">
      <c r="A783">
        <v>768</v>
      </c>
      <c r="B783">
        <v>0</v>
      </c>
      <c r="C783">
        <v>20</v>
      </c>
      <c r="D783">
        <v>10</v>
      </c>
      <c r="E783">
        <v>20</v>
      </c>
      <c r="F783">
        <v>72.23</v>
      </c>
      <c r="G783">
        <v>11.24</v>
      </c>
      <c r="H783">
        <v>1.47</v>
      </c>
    </row>
    <row r="784" spans="1:8" x14ac:dyDescent="0.25">
      <c r="A784">
        <v>769</v>
      </c>
      <c r="B784">
        <v>0</v>
      </c>
      <c r="C784">
        <v>40</v>
      </c>
      <c r="D784">
        <v>10</v>
      </c>
      <c r="E784">
        <v>20</v>
      </c>
      <c r="F784">
        <v>63.93</v>
      </c>
      <c r="G784">
        <v>23.19</v>
      </c>
      <c r="H784">
        <v>-0.05</v>
      </c>
    </row>
    <row r="785" spans="1:8" x14ac:dyDescent="0.25">
      <c r="A785">
        <v>770</v>
      </c>
      <c r="B785">
        <v>0</v>
      </c>
      <c r="C785">
        <v>70</v>
      </c>
      <c r="D785">
        <v>10</v>
      </c>
      <c r="E785">
        <v>20</v>
      </c>
      <c r="F785">
        <v>51.34</v>
      </c>
      <c r="G785">
        <v>44.02</v>
      </c>
      <c r="H785">
        <v>-0.87</v>
      </c>
    </row>
    <row r="786" spans="1:8" x14ac:dyDescent="0.25">
      <c r="A786">
        <v>771</v>
      </c>
      <c r="B786">
        <v>0</v>
      </c>
      <c r="C786">
        <v>100</v>
      </c>
      <c r="D786">
        <v>10</v>
      </c>
      <c r="E786">
        <v>20</v>
      </c>
      <c r="F786">
        <v>41.46</v>
      </c>
      <c r="G786">
        <v>62.73</v>
      </c>
      <c r="H786">
        <v>0.23</v>
      </c>
    </row>
    <row r="787" spans="1:8" x14ac:dyDescent="0.25">
      <c r="A787">
        <v>772</v>
      </c>
      <c r="B787">
        <v>10</v>
      </c>
      <c r="C787">
        <v>0</v>
      </c>
      <c r="D787">
        <v>10</v>
      </c>
      <c r="E787">
        <v>20</v>
      </c>
      <c r="F787">
        <v>77.12</v>
      </c>
      <c r="G787">
        <v>-3.41</v>
      </c>
      <c r="H787">
        <v>-0.36</v>
      </c>
    </row>
    <row r="788" spans="1:8" x14ac:dyDescent="0.25">
      <c r="A788">
        <v>773</v>
      </c>
      <c r="B788">
        <v>10</v>
      </c>
      <c r="C788">
        <v>10</v>
      </c>
      <c r="D788">
        <v>10</v>
      </c>
      <c r="E788">
        <v>20</v>
      </c>
      <c r="F788">
        <v>72.930000000000007</v>
      </c>
      <c r="G788">
        <v>1.73</v>
      </c>
      <c r="H788">
        <v>-1.55</v>
      </c>
    </row>
    <row r="789" spans="1:8" x14ac:dyDescent="0.25">
      <c r="A789">
        <v>774</v>
      </c>
      <c r="B789">
        <v>10</v>
      </c>
      <c r="C789">
        <v>20</v>
      </c>
      <c r="D789">
        <v>10</v>
      </c>
      <c r="E789">
        <v>20</v>
      </c>
      <c r="F789">
        <v>68.900000000000006</v>
      </c>
      <c r="G789">
        <v>7.45</v>
      </c>
      <c r="H789">
        <v>-2.52</v>
      </c>
    </row>
    <row r="790" spans="1:8" x14ac:dyDescent="0.25">
      <c r="A790">
        <v>775</v>
      </c>
      <c r="B790">
        <v>10</v>
      </c>
      <c r="C790">
        <v>40</v>
      </c>
      <c r="D790">
        <v>10</v>
      </c>
      <c r="E790">
        <v>20</v>
      </c>
      <c r="F790">
        <v>60.74</v>
      </c>
      <c r="G790">
        <v>19.43</v>
      </c>
      <c r="H790">
        <v>-4.09</v>
      </c>
    </row>
    <row r="791" spans="1:8" x14ac:dyDescent="0.25">
      <c r="A791">
        <v>776</v>
      </c>
      <c r="B791">
        <v>10</v>
      </c>
      <c r="C791">
        <v>70</v>
      </c>
      <c r="D791">
        <v>10</v>
      </c>
      <c r="E791">
        <v>20</v>
      </c>
      <c r="F791">
        <v>48.73</v>
      </c>
      <c r="G791">
        <v>39.89</v>
      </c>
      <c r="H791">
        <v>-4.68</v>
      </c>
    </row>
    <row r="792" spans="1:8" x14ac:dyDescent="0.25">
      <c r="A792">
        <v>777</v>
      </c>
      <c r="B792">
        <v>10</v>
      </c>
      <c r="C792">
        <v>100</v>
      </c>
      <c r="D792">
        <v>10</v>
      </c>
      <c r="E792">
        <v>20</v>
      </c>
      <c r="F792">
        <v>39.44</v>
      </c>
      <c r="G792">
        <v>57.78</v>
      </c>
      <c r="H792">
        <v>-3.61</v>
      </c>
    </row>
    <row r="793" spans="1:8" x14ac:dyDescent="0.25">
      <c r="A793">
        <v>778</v>
      </c>
      <c r="B793">
        <v>20</v>
      </c>
      <c r="C793">
        <v>0</v>
      </c>
      <c r="D793">
        <v>10</v>
      </c>
      <c r="E793">
        <v>20</v>
      </c>
      <c r="F793">
        <v>73.819999999999993</v>
      </c>
      <c r="G793">
        <v>-6.53</v>
      </c>
      <c r="H793">
        <v>-4.53</v>
      </c>
    </row>
    <row r="794" spans="1:8" x14ac:dyDescent="0.25">
      <c r="A794">
        <v>779</v>
      </c>
      <c r="B794">
        <v>20</v>
      </c>
      <c r="C794">
        <v>10</v>
      </c>
      <c r="D794">
        <v>10</v>
      </c>
      <c r="E794">
        <v>20</v>
      </c>
      <c r="F794">
        <v>69.66</v>
      </c>
      <c r="G794">
        <v>-1.67</v>
      </c>
      <c r="H794">
        <v>-5.76</v>
      </c>
    </row>
    <row r="795" spans="1:8" x14ac:dyDescent="0.25">
      <c r="A795">
        <v>780</v>
      </c>
      <c r="B795">
        <v>20</v>
      </c>
      <c r="C795">
        <v>20</v>
      </c>
      <c r="D795">
        <v>10</v>
      </c>
      <c r="E795">
        <v>20</v>
      </c>
      <c r="F795">
        <v>65.78</v>
      </c>
      <c r="G795">
        <v>3.87</v>
      </c>
      <c r="H795">
        <v>-6.66</v>
      </c>
    </row>
    <row r="796" spans="1:8" x14ac:dyDescent="0.25">
      <c r="A796">
        <v>781</v>
      </c>
      <c r="B796">
        <v>20</v>
      </c>
      <c r="C796">
        <v>40</v>
      </c>
      <c r="D796">
        <v>10</v>
      </c>
      <c r="E796">
        <v>20</v>
      </c>
      <c r="F796">
        <v>57.97</v>
      </c>
      <c r="G796">
        <v>15.67</v>
      </c>
      <c r="H796">
        <v>-8.0500000000000007</v>
      </c>
    </row>
    <row r="797" spans="1:8" x14ac:dyDescent="0.25">
      <c r="A797">
        <v>782</v>
      </c>
      <c r="B797">
        <v>20</v>
      </c>
      <c r="C797">
        <v>70</v>
      </c>
      <c r="D797">
        <v>10</v>
      </c>
      <c r="E797">
        <v>20</v>
      </c>
      <c r="F797">
        <v>46.42</v>
      </c>
      <c r="G797">
        <v>35.520000000000003</v>
      </c>
      <c r="H797">
        <v>-8.49</v>
      </c>
    </row>
    <row r="798" spans="1:8" x14ac:dyDescent="0.25">
      <c r="A798">
        <v>783</v>
      </c>
      <c r="B798">
        <v>20</v>
      </c>
      <c r="C798">
        <v>100</v>
      </c>
      <c r="D798">
        <v>10</v>
      </c>
      <c r="E798">
        <v>20</v>
      </c>
      <c r="F798">
        <v>37.47</v>
      </c>
      <c r="G798">
        <v>52.91</v>
      </c>
      <c r="H798">
        <v>-7.49</v>
      </c>
    </row>
    <row r="799" spans="1:8" x14ac:dyDescent="0.25">
      <c r="A799">
        <v>784</v>
      </c>
      <c r="B799">
        <v>40</v>
      </c>
      <c r="C799">
        <v>0</v>
      </c>
      <c r="D799">
        <v>10</v>
      </c>
      <c r="E799">
        <v>20</v>
      </c>
      <c r="F799">
        <v>67.14</v>
      </c>
      <c r="G799">
        <v>-13.11</v>
      </c>
      <c r="H799">
        <v>-12.68</v>
      </c>
    </row>
    <row r="800" spans="1:8" x14ac:dyDescent="0.25">
      <c r="A800">
        <v>785</v>
      </c>
      <c r="B800">
        <v>40</v>
      </c>
      <c r="C800">
        <v>10</v>
      </c>
      <c r="D800">
        <v>10</v>
      </c>
      <c r="E800">
        <v>20</v>
      </c>
      <c r="F800">
        <v>63.46</v>
      </c>
      <c r="G800">
        <v>-8.09</v>
      </c>
      <c r="H800">
        <v>-13.51</v>
      </c>
    </row>
    <row r="801" spans="1:8" x14ac:dyDescent="0.25">
      <c r="A801">
        <v>786</v>
      </c>
      <c r="B801">
        <v>40</v>
      </c>
      <c r="C801">
        <v>20</v>
      </c>
      <c r="D801">
        <v>10</v>
      </c>
      <c r="E801">
        <v>20</v>
      </c>
      <c r="F801">
        <v>59.92</v>
      </c>
      <c r="G801">
        <v>-2.81</v>
      </c>
      <c r="H801">
        <v>-14.23</v>
      </c>
    </row>
    <row r="802" spans="1:8" x14ac:dyDescent="0.25">
      <c r="A802">
        <v>787</v>
      </c>
      <c r="B802">
        <v>40</v>
      </c>
      <c r="C802">
        <v>40</v>
      </c>
      <c r="D802">
        <v>10</v>
      </c>
      <c r="E802">
        <v>20</v>
      </c>
      <c r="F802">
        <v>52.69</v>
      </c>
      <c r="G802">
        <v>8.32</v>
      </c>
      <c r="H802">
        <v>-15.3</v>
      </c>
    </row>
    <row r="803" spans="1:8" x14ac:dyDescent="0.25">
      <c r="A803">
        <v>788</v>
      </c>
      <c r="B803">
        <v>40</v>
      </c>
      <c r="C803">
        <v>70</v>
      </c>
      <c r="D803">
        <v>10</v>
      </c>
      <c r="E803">
        <v>20</v>
      </c>
      <c r="F803">
        <v>41.98</v>
      </c>
      <c r="G803">
        <v>26.97</v>
      </c>
      <c r="H803">
        <v>-15.71</v>
      </c>
    </row>
    <row r="804" spans="1:8" x14ac:dyDescent="0.25">
      <c r="A804">
        <v>789</v>
      </c>
      <c r="B804">
        <v>40</v>
      </c>
      <c r="C804">
        <v>100</v>
      </c>
      <c r="D804">
        <v>10</v>
      </c>
      <c r="E804">
        <v>20</v>
      </c>
      <c r="F804">
        <v>33.58</v>
      </c>
      <c r="G804">
        <v>43.31</v>
      </c>
      <c r="H804">
        <v>-14.92</v>
      </c>
    </row>
    <row r="805" spans="1:8" x14ac:dyDescent="0.25">
      <c r="A805">
        <v>790</v>
      </c>
      <c r="B805">
        <v>70</v>
      </c>
      <c r="C805">
        <v>0</v>
      </c>
      <c r="D805">
        <v>10</v>
      </c>
      <c r="E805">
        <v>20</v>
      </c>
      <c r="F805">
        <v>56.83</v>
      </c>
      <c r="G805">
        <v>-24.66</v>
      </c>
      <c r="H805">
        <v>-25.27</v>
      </c>
    </row>
    <row r="806" spans="1:8" x14ac:dyDescent="0.25">
      <c r="A806">
        <v>791</v>
      </c>
      <c r="B806">
        <v>70</v>
      </c>
      <c r="C806">
        <v>10</v>
      </c>
      <c r="D806">
        <v>10</v>
      </c>
      <c r="E806">
        <v>20</v>
      </c>
      <c r="F806">
        <v>53.92</v>
      </c>
      <c r="G806">
        <v>-19.53</v>
      </c>
      <c r="H806">
        <v>-25.3</v>
      </c>
    </row>
    <row r="807" spans="1:8" x14ac:dyDescent="0.25">
      <c r="A807">
        <v>792</v>
      </c>
      <c r="B807">
        <v>70</v>
      </c>
      <c r="C807">
        <v>20</v>
      </c>
      <c r="D807">
        <v>10</v>
      </c>
      <c r="E807">
        <v>20</v>
      </c>
      <c r="F807">
        <v>50.89</v>
      </c>
      <c r="G807">
        <v>-14.49</v>
      </c>
      <c r="H807">
        <v>-25.62</v>
      </c>
    </row>
    <row r="808" spans="1:8" x14ac:dyDescent="0.25">
      <c r="A808">
        <v>793</v>
      </c>
      <c r="B808">
        <v>70</v>
      </c>
      <c r="C808">
        <v>40</v>
      </c>
      <c r="D808">
        <v>10</v>
      </c>
      <c r="E808">
        <v>20</v>
      </c>
      <c r="F808">
        <v>44.75</v>
      </c>
      <c r="G808">
        <v>-4.09</v>
      </c>
      <c r="H808">
        <v>-26.1</v>
      </c>
    </row>
    <row r="809" spans="1:8" x14ac:dyDescent="0.25">
      <c r="A809">
        <v>794</v>
      </c>
      <c r="B809">
        <v>70</v>
      </c>
      <c r="C809">
        <v>70</v>
      </c>
      <c r="D809">
        <v>10</v>
      </c>
      <c r="E809">
        <v>20</v>
      </c>
      <c r="F809">
        <v>35.340000000000003</v>
      </c>
      <c r="G809">
        <v>13.27</v>
      </c>
      <c r="H809">
        <v>-26.1</v>
      </c>
    </row>
    <row r="810" spans="1:8" x14ac:dyDescent="0.25">
      <c r="A810">
        <v>795</v>
      </c>
      <c r="B810">
        <v>70</v>
      </c>
      <c r="C810">
        <v>100</v>
      </c>
      <c r="D810">
        <v>10</v>
      </c>
      <c r="E810">
        <v>20</v>
      </c>
      <c r="F810">
        <v>27.9</v>
      </c>
      <c r="G810">
        <v>28.17</v>
      </c>
      <c r="H810">
        <v>-25.57</v>
      </c>
    </row>
    <row r="811" spans="1:8" x14ac:dyDescent="0.25">
      <c r="A811">
        <v>796</v>
      </c>
      <c r="B811">
        <v>100</v>
      </c>
      <c r="C811">
        <v>0</v>
      </c>
      <c r="D811">
        <v>10</v>
      </c>
      <c r="E811">
        <v>20</v>
      </c>
      <c r="F811">
        <v>47.84</v>
      </c>
      <c r="G811">
        <v>-35.83</v>
      </c>
      <c r="H811">
        <v>-36.020000000000003</v>
      </c>
    </row>
    <row r="812" spans="1:8" x14ac:dyDescent="0.25">
      <c r="A812">
        <v>797</v>
      </c>
      <c r="B812">
        <v>100</v>
      </c>
      <c r="C812">
        <v>10</v>
      </c>
      <c r="D812">
        <v>10</v>
      </c>
      <c r="E812">
        <v>20</v>
      </c>
      <c r="F812">
        <v>45.34</v>
      </c>
      <c r="G812">
        <v>-31.07</v>
      </c>
      <c r="H812">
        <v>-35.840000000000003</v>
      </c>
    </row>
    <row r="813" spans="1:8" x14ac:dyDescent="0.25">
      <c r="A813">
        <v>798</v>
      </c>
      <c r="B813">
        <v>100</v>
      </c>
      <c r="C813">
        <v>20</v>
      </c>
      <c r="D813">
        <v>10</v>
      </c>
      <c r="E813">
        <v>20</v>
      </c>
      <c r="F813">
        <v>42.79</v>
      </c>
      <c r="G813">
        <v>-26.25</v>
      </c>
      <c r="H813">
        <v>-35.72</v>
      </c>
    </row>
    <row r="814" spans="1:8" x14ac:dyDescent="0.25">
      <c r="A814">
        <v>799</v>
      </c>
      <c r="B814">
        <v>100</v>
      </c>
      <c r="C814">
        <v>40</v>
      </c>
      <c r="D814">
        <v>10</v>
      </c>
      <c r="E814">
        <v>20</v>
      </c>
      <c r="F814">
        <v>37.520000000000003</v>
      </c>
      <c r="G814">
        <v>-16.23</v>
      </c>
      <c r="H814">
        <v>-35.39</v>
      </c>
    </row>
    <row r="815" spans="1:8" x14ac:dyDescent="0.25">
      <c r="A815">
        <v>800</v>
      </c>
      <c r="B815">
        <v>100</v>
      </c>
      <c r="C815">
        <v>70</v>
      </c>
      <c r="D815">
        <v>10</v>
      </c>
      <c r="E815">
        <v>20</v>
      </c>
      <c r="F815">
        <v>29.46</v>
      </c>
      <c r="G815">
        <v>0.08</v>
      </c>
      <c r="H815">
        <v>-34.92</v>
      </c>
    </row>
    <row r="816" spans="1:8" x14ac:dyDescent="0.25">
      <c r="A816">
        <v>801</v>
      </c>
      <c r="B816">
        <v>100</v>
      </c>
      <c r="C816">
        <v>100</v>
      </c>
      <c r="D816">
        <v>10</v>
      </c>
      <c r="E816">
        <v>20</v>
      </c>
      <c r="F816">
        <v>22.96</v>
      </c>
      <c r="G816">
        <v>14.07</v>
      </c>
      <c r="H816">
        <v>-34.61</v>
      </c>
    </row>
    <row r="817" spans="1:8" x14ac:dyDescent="0.25">
      <c r="A817">
        <v>802</v>
      </c>
      <c r="B817">
        <v>0</v>
      </c>
      <c r="C817">
        <v>0</v>
      </c>
      <c r="D817">
        <v>20</v>
      </c>
      <c r="E817">
        <v>20</v>
      </c>
      <c r="F817">
        <v>79.819999999999993</v>
      </c>
      <c r="G817">
        <v>-0.97</v>
      </c>
      <c r="H817">
        <v>11.04</v>
      </c>
    </row>
    <row r="818" spans="1:8" x14ac:dyDescent="0.25">
      <c r="A818">
        <v>803</v>
      </c>
      <c r="B818">
        <v>0</v>
      </c>
      <c r="C818">
        <v>10</v>
      </c>
      <c r="D818">
        <v>20</v>
      </c>
      <c r="E818">
        <v>20</v>
      </c>
      <c r="F818">
        <v>75.709999999999994</v>
      </c>
      <c r="G818">
        <v>4.75</v>
      </c>
      <c r="H818">
        <v>9.6</v>
      </c>
    </row>
    <row r="819" spans="1:8" x14ac:dyDescent="0.25">
      <c r="A819">
        <v>804</v>
      </c>
      <c r="B819">
        <v>0</v>
      </c>
      <c r="C819">
        <v>20</v>
      </c>
      <c r="D819">
        <v>20</v>
      </c>
      <c r="E819">
        <v>20</v>
      </c>
      <c r="F819">
        <v>71.739999999999995</v>
      </c>
      <c r="G819">
        <v>10.34</v>
      </c>
      <c r="H819">
        <v>8.2200000000000006</v>
      </c>
    </row>
    <row r="820" spans="1:8" x14ac:dyDescent="0.25">
      <c r="A820">
        <v>805</v>
      </c>
      <c r="B820">
        <v>0</v>
      </c>
      <c r="C820">
        <v>40</v>
      </c>
      <c r="D820">
        <v>20</v>
      </c>
      <c r="E820">
        <v>20</v>
      </c>
      <c r="F820">
        <v>63.57</v>
      </c>
      <c r="G820">
        <v>22.49</v>
      </c>
      <c r="H820">
        <v>6.09</v>
      </c>
    </row>
    <row r="821" spans="1:8" x14ac:dyDescent="0.25">
      <c r="A821">
        <v>806</v>
      </c>
      <c r="B821">
        <v>0</v>
      </c>
      <c r="C821">
        <v>70</v>
      </c>
      <c r="D821">
        <v>20</v>
      </c>
      <c r="E821">
        <v>20</v>
      </c>
      <c r="F821">
        <v>51.27</v>
      </c>
      <c r="G821">
        <v>43.15</v>
      </c>
      <c r="H821">
        <v>4.3899999999999997</v>
      </c>
    </row>
    <row r="822" spans="1:8" x14ac:dyDescent="0.25">
      <c r="A822">
        <v>807</v>
      </c>
      <c r="B822">
        <v>0</v>
      </c>
      <c r="C822">
        <v>100</v>
      </c>
      <c r="D822">
        <v>20</v>
      </c>
      <c r="E822">
        <v>20</v>
      </c>
      <c r="F822">
        <v>41.57</v>
      </c>
      <c r="G822">
        <v>61.71</v>
      </c>
      <c r="H822">
        <v>4.66</v>
      </c>
    </row>
    <row r="823" spans="1:8" x14ac:dyDescent="0.25">
      <c r="A823">
        <v>808</v>
      </c>
      <c r="B823">
        <v>10</v>
      </c>
      <c r="C823">
        <v>0</v>
      </c>
      <c r="D823">
        <v>20</v>
      </c>
      <c r="E823">
        <v>20</v>
      </c>
      <c r="F823">
        <v>76.569999999999993</v>
      </c>
      <c r="G823">
        <v>-4.32</v>
      </c>
      <c r="H823">
        <v>6.81</v>
      </c>
    </row>
    <row r="824" spans="1:8" x14ac:dyDescent="0.25">
      <c r="A824">
        <v>809</v>
      </c>
      <c r="B824">
        <v>10</v>
      </c>
      <c r="C824">
        <v>10</v>
      </c>
      <c r="D824">
        <v>20</v>
      </c>
      <c r="E824">
        <v>20</v>
      </c>
      <c r="F824">
        <v>72.41</v>
      </c>
      <c r="G824">
        <v>0.71</v>
      </c>
      <c r="H824">
        <v>5.54</v>
      </c>
    </row>
    <row r="825" spans="1:8" x14ac:dyDescent="0.25">
      <c r="A825">
        <v>810</v>
      </c>
      <c r="B825">
        <v>10</v>
      </c>
      <c r="C825">
        <v>20</v>
      </c>
      <c r="D825">
        <v>20</v>
      </c>
      <c r="E825">
        <v>20</v>
      </c>
      <c r="F825">
        <v>68.47</v>
      </c>
      <c r="G825">
        <v>6.37</v>
      </c>
      <c r="H825">
        <v>4.18</v>
      </c>
    </row>
    <row r="826" spans="1:8" x14ac:dyDescent="0.25">
      <c r="A826">
        <v>811</v>
      </c>
      <c r="B826">
        <v>10</v>
      </c>
      <c r="C826">
        <v>40</v>
      </c>
      <c r="D826">
        <v>20</v>
      </c>
      <c r="E826">
        <v>20</v>
      </c>
      <c r="F826">
        <v>60.4</v>
      </c>
      <c r="G826">
        <v>18.53</v>
      </c>
      <c r="H826">
        <v>2</v>
      </c>
    </row>
    <row r="827" spans="1:8" x14ac:dyDescent="0.25">
      <c r="A827">
        <v>812</v>
      </c>
      <c r="B827">
        <v>10</v>
      </c>
      <c r="C827">
        <v>70</v>
      </c>
      <c r="D827">
        <v>20</v>
      </c>
      <c r="E827">
        <v>20</v>
      </c>
      <c r="F827">
        <v>48.58</v>
      </c>
      <c r="G827">
        <v>38.9</v>
      </c>
      <c r="H827">
        <v>0.41</v>
      </c>
    </row>
    <row r="828" spans="1:8" x14ac:dyDescent="0.25">
      <c r="A828">
        <v>813</v>
      </c>
      <c r="B828">
        <v>10</v>
      </c>
      <c r="C828">
        <v>100</v>
      </c>
      <c r="D828">
        <v>20</v>
      </c>
      <c r="E828">
        <v>20</v>
      </c>
      <c r="F828">
        <v>39.479999999999997</v>
      </c>
      <c r="G828">
        <v>56.73</v>
      </c>
      <c r="H828">
        <v>0.69</v>
      </c>
    </row>
    <row r="829" spans="1:8" x14ac:dyDescent="0.25">
      <c r="A829">
        <v>814</v>
      </c>
      <c r="B829">
        <v>20</v>
      </c>
      <c r="C829">
        <v>0</v>
      </c>
      <c r="D829">
        <v>20</v>
      </c>
      <c r="E829">
        <v>20</v>
      </c>
      <c r="F829">
        <v>73.3</v>
      </c>
      <c r="G829">
        <v>-7.63</v>
      </c>
      <c r="H829">
        <v>2.5299999999999998</v>
      </c>
    </row>
    <row r="830" spans="1:8" x14ac:dyDescent="0.25">
      <c r="A830">
        <v>815</v>
      </c>
      <c r="B830">
        <v>20</v>
      </c>
      <c r="C830">
        <v>10</v>
      </c>
      <c r="D830">
        <v>20</v>
      </c>
      <c r="E830">
        <v>20</v>
      </c>
      <c r="F830">
        <v>69.16</v>
      </c>
      <c r="G830">
        <v>-2.86</v>
      </c>
      <c r="H830">
        <v>1.19</v>
      </c>
    </row>
    <row r="831" spans="1:8" x14ac:dyDescent="0.25">
      <c r="A831">
        <v>816</v>
      </c>
      <c r="B831">
        <v>20</v>
      </c>
      <c r="C831">
        <v>20</v>
      </c>
      <c r="D831">
        <v>20</v>
      </c>
      <c r="E831">
        <v>20</v>
      </c>
      <c r="F831">
        <v>65.349999999999994</v>
      </c>
      <c r="G831">
        <v>2.7</v>
      </c>
      <c r="H831">
        <v>-0.09</v>
      </c>
    </row>
    <row r="832" spans="1:8" x14ac:dyDescent="0.25">
      <c r="A832">
        <v>817</v>
      </c>
      <c r="B832">
        <v>20</v>
      </c>
      <c r="C832">
        <v>40</v>
      </c>
      <c r="D832">
        <v>20</v>
      </c>
      <c r="E832">
        <v>20</v>
      </c>
      <c r="F832">
        <v>57.43</v>
      </c>
      <c r="G832">
        <v>14.57</v>
      </c>
      <c r="H832">
        <v>-2.14</v>
      </c>
    </row>
    <row r="833" spans="1:8" x14ac:dyDescent="0.25">
      <c r="A833">
        <v>818</v>
      </c>
      <c r="B833">
        <v>20</v>
      </c>
      <c r="C833">
        <v>70</v>
      </c>
      <c r="D833">
        <v>20</v>
      </c>
      <c r="E833">
        <v>20</v>
      </c>
      <c r="F833">
        <v>45.99</v>
      </c>
      <c r="G833">
        <v>34.54</v>
      </c>
      <c r="H833">
        <v>-3.62</v>
      </c>
    </row>
    <row r="834" spans="1:8" x14ac:dyDescent="0.25">
      <c r="A834">
        <v>819</v>
      </c>
      <c r="B834">
        <v>20</v>
      </c>
      <c r="C834">
        <v>100</v>
      </c>
      <c r="D834">
        <v>20</v>
      </c>
      <c r="E834">
        <v>20</v>
      </c>
      <c r="F834">
        <v>37.39</v>
      </c>
      <c r="G834">
        <v>51.64</v>
      </c>
      <c r="H834">
        <v>-3.39</v>
      </c>
    </row>
    <row r="835" spans="1:8" x14ac:dyDescent="0.25">
      <c r="A835">
        <v>820</v>
      </c>
      <c r="B835">
        <v>40</v>
      </c>
      <c r="C835">
        <v>0</v>
      </c>
      <c r="D835">
        <v>20</v>
      </c>
      <c r="E835">
        <v>20</v>
      </c>
      <c r="F835">
        <v>66.69</v>
      </c>
      <c r="G835">
        <v>-14.73</v>
      </c>
      <c r="H835">
        <v>-5.84</v>
      </c>
    </row>
    <row r="836" spans="1:8" x14ac:dyDescent="0.25">
      <c r="A836">
        <v>821</v>
      </c>
      <c r="B836">
        <v>40</v>
      </c>
      <c r="C836">
        <v>10</v>
      </c>
      <c r="D836">
        <v>20</v>
      </c>
      <c r="E836">
        <v>20</v>
      </c>
      <c r="F836">
        <v>63.03</v>
      </c>
      <c r="G836">
        <v>-9.6999999999999993</v>
      </c>
      <c r="H836">
        <v>-6.77</v>
      </c>
    </row>
    <row r="837" spans="1:8" x14ac:dyDescent="0.25">
      <c r="A837">
        <v>822</v>
      </c>
      <c r="B837">
        <v>40</v>
      </c>
      <c r="C837">
        <v>20</v>
      </c>
      <c r="D837">
        <v>20</v>
      </c>
      <c r="E837">
        <v>20</v>
      </c>
      <c r="F837">
        <v>59.47</v>
      </c>
      <c r="G837">
        <v>-4.45</v>
      </c>
      <c r="H837">
        <v>-7.82</v>
      </c>
    </row>
    <row r="838" spans="1:8" x14ac:dyDescent="0.25">
      <c r="A838">
        <v>823</v>
      </c>
      <c r="B838">
        <v>40</v>
      </c>
      <c r="C838">
        <v>40</v>
      </c>
      <c r="D838">
        <v>20</v>
      </c>
      <c r="E838">
        <v>20</v>
      </c>
      <c r="F838">
        <v>52.15</v>
      </c>
      <c r="G838">
        <v>7.01</v>
      </c>
      <c r="H838">
        <v>-9.69</v>
      </c>
    </row>
    <row r="839" spans="1:8" x14ac:dyDescent="0.25">
      <c r="A839">
        <v>824</v>
      </c>
      <c r="B839">
        <v>40</v>
      </c>
      <c r="C839">
        <v>70</v>
      </c>
      <c r="D839">
        <v>20</v>
      </c>
      <c r="E839">
        <v>20</v>
      </c>
      <c r="F839">
        <v>41.55</v>
      </c>
      <c r="G839">
        <v>25.85</v>
      </c>
      <c r="H839">
        <v>-11</v>
      </c>
    </row>
    <row r="840" spans="1:8" x14ac:dyDescent="0.25">
      <c r="A840">
        <v>825</v>
      </c>
      <c r="B840">
        <v>40</v>
      </c>
      <c r="C840">
        <v>100</v>
      </c>
      <c r="D840">
        <v>20</v>
      </c>
      <c r="E840">
        <v>20</v>
      </c>
      <c r="F840">
        <v>33.47</v>
      </c>
      <c r="G840">
        <v>41.96</v>
      </c>
      <c r="H840">
        <v>-10.89</v>
      </c>
    </row>
    <row r="841" spans="1:8" x14ac:dyDescent="0.25">
      <c r="A841">
        <v>826</v>
      </c>
      <c r="B841">
        <v>70</v>
      </c>
      <c r="C841">
        <v>0</v>
      </c>
      <c r="D841">
        <v>20</v>
      </c>
      <c r="E841">
        <v>20</v>
      </c>
      <c r="F841">
        <v>56.48</v>
      </c>
      <c r="G841">
        <v>-26.96</v>
      </c>
      <c r="H841">
        <v>-18.59</v>
      </c>
    </row>
    <row r="842" spans="1:8" x14ac:dyDescent="0.25">
      <c r="A842">
        <v>827</v>
      </c>
      <c r="B842">
        <v>70</v>
      </c>
      <c r="C842">
        <v>10</v>
      </c>
      <c r="D842">
        <v>20</v>
      </c>
      <c r="E842">
        <v>20</v>
      </c>
      <c r="F842">
        <v>53.55</v>
      </c>
      <c r="G842">
        <v>-21.77</v>
      </c>
      <c r="H842">
        <v>-18.86</v>
      </c>
    </row>
    <row r="843" spans="1:8" x14ac:dyDescent="0.25">
      <c r="A843">
        <v>828</v>
      </c>
      <c r="B843">
        <v>70</v>
      </c>
      <c r="C843">
        <v>20</v>
      </c>
      <c r="D843">
        <v>20</v>
      </c>
      <c r="E843">
        <v>20</v>
      </c>
      <c r="F843">
        <v>50.59</v>
      </c>
      <c r="G843">
        <v>-16.63</v>
      </c>
      <c r="H843">
        <v>-19.29</v>
      </c>
    </row>
    <row r="844" spans="1:8" x14ac:dyDescent="0.25">
      <c r="A844">
        <v>829</v>
      </c>
      <c r="B844">
        <v>70</v>
      </c>
      <c r="C844">
        <v>40</v>
      </c>
      <c r="D844">
        <v>20</v>
      </c>
      <c r="E844">
        <v>20</v>
      </c>
      <c r="F844">
        <v>44.38</v>
      </c>
      <c r="G844">
        <v>-5.88</v>
      </c>
      <c r="H844">
        <v>-20.51</v>
      </c>
    </row>
    <row r="845" spans="1:8" x14ac:dyDescent="0.25">
      <c r="A845">
        <v>830</v>
      </c>
      <c r="B845">
        <v>70</v>
      </c>
      <c r="C845">
        <v>70</v>
      </c>
      <c r="D845">
        <v>20</v>
      </c>
      <c r="E845">
        <v>20</v>
      </c>
      <c r="F845">
        <v>35.01</v>
      </c>
      <c r="G845">
        <v>11.87</v>
      </c>
      <c r="H845">
        <v>-21.43</v>
      </c>
    </row>
    <row r="846" spans="1:8" x14ac:dyDescent="0.25">
      <c r="A846">
        <v>831</v>
      </c>
      <c r="B846">
        <v>70</v>
      </c>
      <c r="C846">
        <v>100</v>
      </c>
      <c r="D846">
        <v>20</v>
      </c>
      <c r="E846">
        <v>20</v>
      </c>
      <c r="F846">
        <v>27.81</v>
      </c>
      <c r="G846">
        <v>26.64</v>
      </c>
      <c r="H846">
        <v>-21.54</v>
      </c>
    </row>
    <row r="847" spans="1:8" x14ac:dyDescent="0.25">
      <c r="A847">
        <v>832</v>
      </c>
      <c r="B847">
        <v>100</v>
      </c>
      <c r="C847">
        <v>0</v>
      </c>
      <c r="D847">
        <v>20</v>
      </c>
      <c r="E847">
        <v>20</v>
      </c>
      <c r="F847">
        <v>47.53</v>
      </c>
      <c r="G847">
        <v>-38.93</v>
      </c>
      <c r="H847">
        <v>-29.46</v>
      </c>
    </row>
    <row r="848" spans="1:8" x14ac:dyDescent="0.25">
      <c r="A848">
        <v>833</v>
      </c>
      <c r="B848">
        <v>100</v>
      </c>
      <c r="C848">
        <v>10</v>
      </c>
      <c r="D848">
        <v>20</v>
      </c>
      <c r="E848">
        <v>20</v>
      </c>
      <c r="F848">
        <v>45.01</v>
      </c>
      <c r="G848">
        <v>-34.049999999999997</v>
      </c>
      <c r="H848">
        <v>-29.55</v>
      </c>
    </row>
    <row r="849" spans="1:8" x14ac:dyDescent="0.25">
      <c r="A849">
        <v>834</v>
      </c>
      <c r="B849">
        <v>100</v>
      </c>
      <c r="C849">
        <v>20</v>
      </c>
      <c r="D849">
        <v>20</v>
      </c>
      <c r="E849">
        <v>20</v>
      </c>
      <c r="F849">
        <v>42.49</v>
      </c>
      <c r="G849">
        <v>-29.16</v>
      </c>
      <c r="H849">
        <v>-29.75</v>
      </c>
    </row>
    <row r="850" spans="1:8" x14ac:dyDescent="0.25">
      <c r="A850">
        <v>835</v>
      </c>
      <c r="B850">
        <v>100</v>
      </c>
      <c r="C850">
        <v>40</v>
      </c>
      <c r="D850">
        <v>20</v>
      </c>
      <c r="E850">
        <v>20</v>
      </c>
      <c r="F850">
        <v>37.18</v>
      </c>
      <c r="G850">
        <v>-18.71</v>
      </c>
      <c r="H850">
        <v>-30.07</v>
      </c>
    </row>
    <row r="851" spans="1:8" x14ac:dyDescent="0.25">
      <c r="A851">
        <v>836</v>
      </c>
      <c r="B851">
        <v>100</v>
      </c>
      <c r="C851">
        <v>70</v>
      </c>
      <c r="D851">
        <v>20</v>
      </c>
      <c r="E851">
        <v>20</v>
      </c>
      <c r="F851">
        <v>29.16</v>
      </c>
      <c r="G851">
        <v>-1.95</v>
      </c>
      <c r="H851">
        <v>-30.43</v>
      </c>
    </row>
    <row r="852" spans="1:8" x14ac:dyDescent="0.25">
      <c r="A852">
        <v>837</v>
      </c>
      <c r="B852">
        <v>100</v>
      </c>
      <c r="C852">
        <v>100</v>
      </c>
      <c r="D852">
        <v>20</v>
      </c>
      <c r="E852">
        <v>20</v>
      </c>
      <c r="F852">
        <v>22.92</v>
      </c>
      <c r="G852">
        <v>11.92</v>
      </c>
      <c r="H852">
        <v>-30.52</v>
      </c>
    </row>
    <row r="853" spans="1:8" x14ac:dyDescent="0.25">
      <c r="A853">
        <v>838</v>
      </c>
      <c r="B853">
        <v>0</v>
      </c>
      <c r="C853">
        <v>0</v>
      </c>
      <c r="D853">
        <v>40</v>
      </c>
      <c r="E853">
        <v>20</v>
      </c>
      <c r="F853">
        <v>78.61</v>
      </c>
      <c r="G853">
        <v>-2.46</v>
      </c>
      <c r="H853">
        <v>26.46</v>
      </c>
    </row>
    <row r="854" spans="1:8" x14ac:dyDescent="0.25">
      <c r="A854">
        <v>839</v>
      </c>
      <c r="B854">
        <v>0</v>
      </c>
      <c r="C854">
        <v>10</v>
      </c>
      <c r="D854">
        <v>40</v>
      </c>
      <c r="E854">
        <v>20</v>
      </c>
      <c r="F854">
        <v>74.52</v>
      </c>
      <c r="G854">
        <v>3.46</v>
      </c>
      <c r="H854">
        <v>24.22</v>
      </c>
    </row>
    <row r="855" spans="1:8" x14ac:dyDescent="0.25">
      <c r="A855">
        <v>840</v>
      </c>
      <c r="B855">
        <v>0</v>
      </c>
      <c r="C855">
        <v>20</v>
      </c>
      <c r="D855">
        <v>40</v>
      </c>
      <c r="E855">
        <v>20</v>
      </c>
      <c r="F855">
        <v>70.73</v>
      </c>
      <c r="G855">
        <v>9.19</v>
      </c>
      <c r="H855">
        <v>22.4</v>
      </c>
    </row>
    <row r="856" spans="1:8" x14ac:dyDescent="0.25">
      <c r="A856">
        <v>841</v>
      </c>
      <c r="B856">
        <v>0</v>
      </c>
      <c r="C856">
        <v>40</v>
      </c>
      <c r="D856">
        <v>40</v>
      </c>
      <c r="E856">
        <v>20</v>
      </c>
      <c r="F856">
        <v>62.91</v>
      </c>
      <c r="G856">
        <v>21.16</v>
      </c>
      <c r="H856">
        <v>18.760000000000002</v>
      </c>
    </row>
    <row r="857" spans="1:8" x14ac:dyDescent="0.25">
      <c r="A857">
        <v>842</v>
      </c>
      <c r="B857">
        <v>0</v>
      </c>
      <c r="C857">
        <v>70</v>
      </c>
      <c r="D857">
        <v>40</v>
      </c>
      <c r="E857">
        <v>20</v>
      </c>
      <c r="F857">
        <v>51.06</v>
      </c>
      <c r="G857">
        <v>41.71</v>
      </c>
      <c r="H857">
        <v>15</v>
      </c>
    </row>
    <row r="858" spans="1:8" x14ac:dyDescent="0.25">
      <c r="A858">
        <v>843</v>
      </c>
      <c r="B858">
        <v>0</v>
      </c>
      <c r="C858">
        <v>100</v>
      </c>
      <c r="D858">
        <v>40</v>
      </c>
      <c r="E858">
        <v>20</v>
      </c>
      <c r="F858">
        <v>41.66</v>
      </c>
      <c r="G858">
        <v>60.22</v>
      </c>
      <c r="H858">
        <v>13.63</v>
      </c>
    </row>
    <row r="859" spans="1:8" x14ac:dyDescent="0.25">
      <c r="A859">
        <v>844</v>
      </c>
      <c r="B859">
        <v>10</v>
      </c>
      <c r="C859">
        <v>0</v>
      </c>
      <c r="D859">
        <v>40</v>
      </c>
      <c r="E859">
        <v>20</v>
      </c>
      <c r="F859">
        <v>75.34</v>
      </c>
      <c r="G859">
        <v>-6.25</v>
      </c>
      <c r="H859">
        <v>21.78</v>
      </c>
    </row>
    <row r="860" spans="1:8" x14ac:dyDescent="0.25">
      <c r="A860">
        <v>845</v>
      </c>
      <c r="B860">
        <v>10</v>
      </c>
      <c r="C860">
        <v>10</v>
      </c>
      <c r="D860">
        <v>40</v>
      </c>
      <c r="E860">
        <v>20</v>
      </c>
      <c r="F860">
        <v>71.290000000000006</v>
      </c>
      <c r="G860">
        <v>-0.88</v>
      </c>
      <c r="H860">
        <v>19.71</v>
      </c>
    </row>
    <row r="861" spans="1:8" x14ac:dyDescent="0.25">
      <c r="A861">
        <v>846</v>
      </c>
      <c r="B861">
        <v>10</v>
      </c>
      <c r="C861">
        <v>20</v>
      </c>
      <c r="D861">
        <v>40</v>
      </c>
      <c r="E861">
        <v>20</v>
      </c>
      <c r="F861">
        <v>67.47</v>
      </c>
      <c r="G861">
        <v>4.87</v>
      </c>
      <c r="H861">
        <v>17.82</v>
      </c>
    </row>
    <row r="862" spans="1:8" x14ac:dyDescent="0.25">
      <c r="A862">
        <v>847</v>
      </c>
      <c r="B862">
        <v>10</v>
      </c>
      <c r="C862">
        <v>40</v>
      </c>
      <c r="D862">
        <v>40</v>
      </c>
      <c r="E862">
        <v>20</v>
      </c>
      <c r="F862">
        <v>59.68</v>
      </c>
      <c r="G862">
        <v>16.91</v>
      </c>
      <c r="H862">
        <v>14.18</v>
      </c>
    </row>
    <row r="863" spans="1:8" x14ac:dyDescent="0.25">
      <c r="A863">
        <v>848</v>
      </c>
      <c r="B863">
        <v>10</v>
      </c>
      <c r="C863">
        <v>70</v>
      </c>
      <c r="D863">
        <v>40</v>
      </c>
      <c r="E863">
        <v>20</v>
      </c>
      <c r="F863">
        <v>48.28</v>
      </c>
      <c r="G863">
        <v>37.25</v>
      </c>
      <c r="H863">
        <v>10.57</v>
      </c>
    </row>
    <row r="864" spans="1:8" x14ac:dyDescent="0.25">
      <c r="A864">
        <v>849</v>
      </c>
      <c r="B864">
        <v>10</v>
      </c>
      <c r="C864">
        <v>100</v>
      </c>
      <c r="D864">
        <v>40</v>
      </c>
      <c r="E864">
        <v>20</v>
      </c>
      <c r="F864">
        <v>39.479999999999997</v>
      </c>
      <c r="G864">
        <v>54.97</v>
      </c>
      <c r="H864">
        <v>9.2899999999999991</v>
      </c>
    </row>
    <row r="865" spans="1:8" x14ac:dyDescent="0.25">
      <c r="A865">
        <v>850</v>
      </c>
      <c r="B865">
        <v>20</v>
      </c>
      <c r="C865">
        <v>0</v>
      </c>
      <c r="D865">
        <v>40</v>
      </c>
      <c r="E865">
        <v>20</v>
      </c>
      <c r="F865">
        <v>72.2</v>
      </c>
      <c r="G865">
        <v>-9.98</v>
      </c>
      <c r="H865">
        <v>17.41</v>
      </c>
    </row>
    <row r="866" spans="1:8" x14ac:dyDescent="0.25">
      <c r="A866">
        <v>851</v>
      </c>
      <c r="B866">
        <v>20</v>
      </c>
      <c r="C866">
        <v>10</v>
      </c>
      <c r="D866">
        <v>40</v>
      </c>
      <c r="E866">
        <v>20</v>
      </c>
      <c r="F866">
        <v>68.14</v>
      </c>
      <c r="G866">
        <v>-4.82</v>
      </c>
      <c r="H866">
        <v>15.21</v>
      </c>
    </row>
    <row r="867" spans="1:8" x14ac:dyDescent="0.25">
      <c r="A867">
        <v>852</v>
      </c>
      <c r="B867">
        <v>20</v>
      </c>
      <c r="C867">
        <v>20</v>
      </c>
      <c r="D867">
        <v>40</v>
      </c>
      <c r="E867">
        <v>20</v>
      </c>
      <c r="F867">
        <v>64.31</v>
      </c>
      <c r="G867">
        <v>0.7</v>
      </c>
      <c r="H867">
        <v>13.29</v>
      </c>
    </row>
    <row r="868" spans="1:8" x14ac:dyDescent="0.25">
      <c r="A868">
        <v>853</v>
      </c>
      <c r="B868">
        <v>20</v>
      </c>
      <c r="C868">
        <v>40</v>
      </c>
      <c r="D868">
        <v>40</v>
      </c>
      <c r="E868">
        <v>20</v>
      </c>
      <c r="F868">
        <v>56.71</v>
      </c>
      <c r="G868">
        <v>12.64</v>
      </c>
      <c r="H868">
        <v>9.73</v>
      </c>
    </row>
    <row r="869" spans="1:8" x14ac:dyDescent="0.25">
      <c r="A869">
        <v>854</v>
      </c>
      <c r="B869">
        <v>20</v>
      </c>
      <c r="C869">
        <v>70</v>
      </c>
      <c r="D869">
        <v>40</v>
      </c>
      <c r="E869">
        <v>20</v>
      </c>
      <c r="F869">
        <v>45.61</v>
      </c>
      <c r="G869">
        <v>32.65</v>
      </c>
      <c r="H869">
        <v>6.2</v>
      </c>
    </row>
    <row r="870" spans="1:8" x14ac:dyDescent="0.25">
      <c r="A870">
        <v>855</v>
      </c>
      <c r="B870">
        <v>20</v>
      </c>
      <c r="C870">
        <v>100</v>
      </c>
      <c r="D870">
        <v>40</v>
      </c>
      <c r="E870">
        <v>20</v>
      </c>
      <c r="F870">
        <v>37.29</v>
      </c>
      <c r="G870">
        <v>49.75</v>
      </c>
      <c r="H870">
        <v>5.01</v>
      </c>
    </row>
    <row r="871" spans="1:8" x14ac:dyDescent="0.25">
      <c r="A871">
        <v>856</v>
      </c>
      <c r="B871">
        <v>40</v>
      </c>
      <c r="C871">
        <v>0</v>
      </c>
      <c r="D871">
        <v>40</v>
      </c>
      <c r="E871">
        <v>20</v>
      </c>
      <c r="F871">
        <v>65.72</v>
      </c>
      <c r="G871">
        <v>-17.73</v>
      </c>
      <c r="H871">
        <v>8.56</v>
      </c>
    </row>
    <row r="872" spans="1:8" x14ac:dyDescent="0.25">
      <c r="A872">
        <v>857</v>
      </c>
      <c r="B872">
        <v>40</v>
      </c>
      <c r="C872">
        <v>10</v>
      </c>
      <c r="D872">
        <v>40</v>
      </c>
      <c r="E872">
        <v>20</v>
      </c>
      <c r="F872">
        <v>62.1</v>
      </c>
      <c r="G872">
        <v>-12.55</v>
      </c>
      <c r="H872">
        <v>6.83</v>
      </c>
    </row>
    <row r="873" spans="1:8" x14ac:dyDescent="0.25">
      <c r="A873">
        <v>858</v>
      </c>
      <c r="B873">
        <v>40</v>
      </c>
      <c r="C873">
        <v>20</v>
      </c>
      <c r="D873">
        <v>40</v>
      </c>
      <c r="E873">
        <v>20</v>
      </c>
      <c r="F873">
        <v>58.59</v>
      </c>
      <c r="G873">
        <v>-7.26</v>
      </c>
      <c r="H873">
        <v>5.21</v>
      </c>
    </row>
    <row r="874" spans="1:8" x14ac:dyDescent="0.25">
      <c r="A874">
        <v>859</v>
      </c>
      <c r="B874">
        <v>40</v>
      </c>
      <c r="C874">
        <v>40</v>
      </c>
      <c r="D874">
        <v>40</v>
      </c>
      <c r="E874">
        <v>20</v>
      </c>
      <c r="F874">
        <v>51.57</v>
      </c>
      <c r="G874">
        <v>4.28</v>
      </c>
      <c r="H874">
        <v>1.74</v>
      </c>
    </row>
    <row r="875" spans="1:8" x14ac:dyDescent="0.25">
      <c r="A875">
        <v>860</v>
      </c>
      <c r="B875">
        <v>40</v>
      </c>
      <c r="C875">
        <v>70</v>
      </c>
      <c r="D875">
        <v>40</v>
      </c>
      <c r="E875">
        <v>20</v>
      </c>
      <c r="F875">
        <v>40.97</v>
      </c>
      <c r="G875">
        <v>23.6</v>
      </c>
      <c r="H875">
        <v>-1.57</v>
      </c>
    </row>
    <row r="876" spans="1:8" x14ac:dyDescent="0.25">
      <c r="A876">
        <v>861</v>
      </c>
      <c r="B876">
        <v>40</v>
      </c>
      <c r="C876">
        <v>100</v>
      </c>
      <c r="D876">
        <v>40</v>
      </c>
      <c r="E876">
        <v>20</v>
      </c>
      <c r="F876">
        <v>33.21</v>
      </c>
      <c r="G876">
        <v>39.61</v>
      </c>
      <c r="H876">
        <v>-2.84</v>
      </c>
    </row>
    <row r="877" spans="1:8" x14ac:dyDescent="0.25">
      <c r="A877">
        <v>862</v>
      </c>
      <c r="B877">
        <v>70</v>
      </c>
      <c r="C877">
        <v>0</v>
      </c>
      <c r="D877">
        <v>40</v>
      </c>
      <c r="E877">
        <v>20</v>
      </c>
      <c r="F877">
        <v>55.66</v>
      </c>
      <c r="G877">
        <v>-31.35</v>
      </c>
      <c r="H877">
        <v>-4.82</v>
      </c>
    </row>
    <row r="878" spans="1:8" x14ac:dyDescent="0.25">
      <c r="A878">
        <v>863</v>
      </c>
      <c r="B878">
        <v>70</v>
      </c>
      <c r="C878">
        <v>10</v>
      </c>
      <c r="D878">
        <v>40</v>
      </c>
      <c r="E878">
        <v>20</v>
      </c>
      <c r="F878">
        <v>52.77</v>
      </c>
      <c r="G878">
        <v>-25.91</v>
      </c>
      <c r="H878">
        <v>-5.93</v>
      </c>
    </row>
    <row r="879" spans="1:8" x14ac:dyDescent="0.25">
      <c r="A879">
        <v>864</v>
      </c>
      <c r="B879">
        <v>70</v>
      </c>
      <c r="C879">
        <v>20</v>
      </c>
      <c r="D879">
        <v>40</v>
      </c>
      <c r="E879">
        <v>20</v>
      </c>
      <c r="F879">
        <v>49.83</v>
      </c>
      <c r="G879">
        <v>-20.58</v>
      </c>
      <c r="H879">
        <v>-7.1</v>
      </c>
    </row>
    <row r="880" spans="1:8" x14ac:dyDescent="0.25">
      <c r="A880">
        <v>865</v>
      </c>
      <c r="B880">
        <v>70</v>
      </c>
      <c r="C880">
        <v>40</v>
      </c>
      <c r="D880">
        <v>40</v>
      </c>
      <c r="E880">
        <v>20</v>
      </c>
      <c r="F880">
        <v>43.64</v>
      </c>
      <c r="G880">
        <v>-9.36</v>
      </c>
      <c r="H880">
        <v>-9.73</v>
      </c>
    </row>
    <row r="881" spans="1:8" x14ac:dyDescent="0.25">
      <c r="A881">
        <v>866</v>
      </c>
      <c r="B881">
        <v>70</v>
      </c>
      <c r="C881">
        <v>70</v>
      </c>
      <c r="D881">
        <v>40</v>
      </c>
      <c r="E881">
        <v>20</v>
      </c>
      <c r="F881">
        <v>34.47</v>
      </c>
      <c r="G881">
        <v>8.94</v>
      </c>
      <c r="H881">
        <v>-12.3</v>
      </c>
    </row>
    <row r="882" spans="1:8" x14ac:dyDescent="0.25">
      <c r="A882">
        <v>867</v>
      </c>
      <c r="B882">
        <v>70</v>
      </c>
      <c r="C882">
        <v>100</v>
      </c>
      <c r="D882">
        <v>40</v>
      </c>
      <c r="E882">
        <v>20</v>
      </c>
      <c r="F882">
        <v>27.55</v>
      </c>
      <c r="G882">
        <v>23.84</v>
      </c>
      <c r="H882">
        <v>-13.55</v>
      </c>
    </row>
    <row r="883" spans="1:8" x14ac:dyDescent="0.25">
      <c r="A883">
        <v>868</v>
      </c>
      <c r="B883">
        <v>100</v>
      </c>
      <c r="C883">
        <v>0</v>
      </c>
      <c r="D883">
        <v>40</v>
      </c>
      <c r="E883">
        <v>20</v>
      </c>
      <c r="F883">
        <v>46.73</v>
      </c>
      <c r="G883">
        <v>-44.89</v>
      </c>
      <c r="H883">
        <v>-16.27</v>
      </c>
    </row>
    <row r="884" spans="1:8" x14ac:dyDescent="0.25">
      <c r="A884">
        <v>869</v>
      </c>
      <c r="B884">
        <v>100</v>
      </c>
      <c r="C884">
        <v>10</v>
      </c>
      <c r="D884">
        <v>40</v>
      </c>
      <c r="E884">
        <v>20</v>
      </c>
      <c r="F884">
        <v>44.25</v>
      </c>
      <c r="G884">
        <v>-39.590000000000003</v>
      </c>
      <c r="H884">
        <v>-17.079999999999998</v>
      </c>
    </row>
    <row r="885" spans="1:8" x14ac:dyDescent="0.25">
      <c r="A885">
        <v>870</v>
      </c>
      <c r="B885">
        <v>100</v>
      </c>
      <c r="C885">
        <v>20</v>
      </c>
      <c r="D885">
        <v>40</v>
      </c>
      <c r="E885">
        <v>20</v>
      </c>
      <c r="F885">
        <v>41.77</v>
      </c>
      <c r="G885">
        <v>-34.39</v>
      </c>
      <c r="H885">
        <v>-17.88</v>
      </c>
    </row>
    <row r="886" spans="1:8" x14ac:dyDescent="0.25">
      <c r="A886">
        <v>871</v>
      </c>
      <c r="B886">
        <v>100</v>
      </c>
      <c r="C886">
        <v>40</v>
      </c>
      <c r="D886">
        <v>40</v>
      </c>
      <c r="E886">
        <v>20</v>
      </c>
      <c r="F886">
        <v>36.53</v>
      </c>
      <c r="G886">
        <v>-23.29</v>
      </c>
      <c r="H886">
        <v>-19.420000000000002</v>
      </c>
    </row>
    <row r="887" spans="1:8" x14ac:dyDescent="0.25">
      <c r="A887">
        <v>872</v>
      </c>
      <c r="B887">
        <v>100</v>
      </c>
      <c r="C887">
        <v>70</v>
      </c>
      <c r="D887">
        <v>40</v>
      </c>
      <c r="E887">
        <v>20</v>
      </c>
      <c r="F887">
        <v>28.63</v>
      </c>
      <c r="G887">
        <v>-5.85</v>
      </c>
      <c r="H887">
        <v>-21.47</v>
      </c>
    </row>
    <row r="888" spans="1:8" x14ac:dyDescent="0.25">
      <c r="A888">
        <v>873</v>
      </c>
      <c r="B888">
        <v>100</v>
      </c>
      <c r="C888">
        <v>100</v>
      </c>
      <c r="D888">
        <v>40</v>
      </c>
      <c r="E888">
        <v>20</v>
      </c>
      <c r="F888">
        <v>22.51</v>
      </c>
      <c r="G888">
        <v>8.11</v>
      </c>
      <c r="H888">
        <v>-22.71</v>
      </c>
    </row>
    <row r="889" spans="1:8" x14ac:dyDescent="0.25">
      <c r="A889">
        <v>874</v>
      </c>
      <c r="B889">
        <v>0</v>
      </c>
      <c r="C889">
        <v>0</v>
      </c>
      <c r="D889">
        <v>70</v>
      </c>
      <c r="E889">
        <v>20</v>
      </c>
      <c r="F889">
        <v>77</v>
      </c>
      <c r="G889">
        <v>-3.91</v>
      </c>
      <c r="H889">
        <v>52.42</v>
      </c>
    </row>
    <row r="890" spans="1:8" x14ac:dyDescent="0.25">
      <c r="A890">
        <v>875</v>
      </c>
      <c r="B890">
        <v>0</v>
      </c>
      <c r="C890">
        <v>10</v>
      </c>
      <c r="D890">
        <v>70</v>
      </c>
      <c r="E890">
        <v>20</v>
      </c>
      <c r="F890">
        <v>73.13</v>
      </c>
      <c r="G890">
        <v>1.98</v>
      </c>
      <c r="H890">
        <v>49.05</v>
      </c>
    </row>
    <row r="891" spans="1:8" x14ac:dyDescent="0.25">
      <c r="A891">
        <v>876</v>
      </c>
      <c r="B891">
        <v>0</v>
      </c>
      <c r="C891">
        <v>20</v>
      </c>
      <c r="D891">
        <v>70</v>
      </c>
      <c r="E891">
        <v>20</v>
      </c>
      <c r="F891">
        <v>69.41</v>
      </c>
      <c r="G891">
        <v>7.82</v>
      </c>
      <c r="H891">
        <v>45.94</v>
      </c>
    </row>
    <row r="892" spans="1:8" x14ac:dyDescent="0.25">
      <c r="A892">
        <v>877</v>
      </c>
      <c r="B892">
        <v>0</v>
      </c>
      <c r="C892">
        <v>40</v>
      </c>
      <c r="D892">
        <v>70</v>
      </c>
      <c r="E892">
        <v>20</v>
      </c>
      <c r="F892">
        <v>61.82</v>
      </c>
      <c r="G892">
        <v>19.89</v>
      </c>
      <c r="H892">
        <v>39.82</v>
      </c>
    </row>
    <row r="893" spans="1:8" x14ac:dyDescent="0.25">
      <c r="A893">
        <v>878</v>
      </c>
      <c r="B893">
        <v>0</v>
      </c>
      <c r="C893">
        <v>70</v>
      </c>
      <c r="D893">
        <v>70</v>
      </c>
      <c r="E893">
        <v>20</v>
      </c>
      <c r="F893">
        <v>50.42</v>
      </c>
      <c r="G893">
        <v>40.04</v>
      </c>
      <c r="H893">
        <v>31.99</v>
      </c>
    </row>
    <row r="894" spans="1:8" x14ac:dyDescent="0.25">
      <c r="A894">
        <v>879</v>
      </c>
      <c r="B894">
        <v>0</v>
      </c>
      <c r="C894">
        <v>100</v>
      </c>
      <c r="D894">
        <v>70</v>
      </c>
      <c r="E894">
        <v>20</v>
      </c>
      <c r="F894">
        <v>41.35</v>
      </c>
      <c r="G894">
        <v>58.07</v>
      </c>
      <c r="H894">
        <v>27.09</v>
      </c>
    </row>
    <row r="895" spans="1:8" x14ac:dyDescent="0.25">
      <c r="A895">
        <v>880</v>
      </c>
      <c r="B895">
        <v>10</v>
      </c>
      <c r="C895">
        <v>0</v>
      </c>
      <c r="D895">
        <v>70</v>
      </c>
      <c r="E895">
        <v>20</v>
      </c>
      <c r="F895">
        <v>73.87</v>
      </c>
      <c r="G895">
        <v>-8.0399999999999991</v>
      </c>
      <c r="H895">
        <v>47.37</v>
      </c>
    </row>
    <row r="896" spans="1:8" x14ac:dyDescent="0.25">
      <c r="A896">
        <v>881</v>
      </c>
      <c r="B896">
        <v>10</v>
      </c>
      <c r="C896">
        <v>10</v>
      </c>
      <c r="D896">
        <v>70</v>
      </c>
      <c r="E896">
        <v>20</v>
      </c>
      <c r="F896">
        <v>69.94</v>
      </c>
      <c r="G896">
        <v>-2.5499999999999998</v>
      </c>
      <c r="H896">
        <v>44.19</v>
      </c>
    </row>
    <row r="897" spans="1:8" x14ac:dyDescent="0.25">
      <c r="A897">
        <v>882</v>
      </c>
      <c r="B897">
        <v>10</v>
      </c>
      <c r="C897">
        <v>20</v>
      </c>
      <c r="D897">
        <v>70</v>
      </c>
      <c r="E897">
        <v>20</v>
      </c>
      <c r="F897">
        <v>66.23</v>
      </c>
      <c r="G897">
        <v>3.23</v>
      </c>
      <c r="H897">
        <v>41.05</v>
      </c>
    </row>
    <row r="898" spans="1:8" x14ac:dyDescent="0.25">
      <c r="A898">
        <v>883</v>
      </c>
      <c r="B898">
        <v>10</v>
      </c>
      <c r="C898">
        <v>40</v>
      </c>
      <c r="D898">
        <v>70</v>
      </c>
      <c r="E898">
        <v>20</v>
      </c>
      <c r="F898">
        <v>58.75</v>
      </c>
      <c r="G898">
        <v>15.23</v>
      </c>
      <c r="H898">
        <v>35.01</v>
      </c>
    </row>
    <row r="899" spans="1:8" x14ac:dyDescent="0.25">
      <c r="A899">
        <v>884</v>
      </c>
      <c r="B899">
        <v>10</v>
      </c>
      <c r="C899">
        <v>70</v>
      </c>
      <c r="D899">
        <v>70</v>
      </c>
      <c r="E899">
        <v>20</v>
      </c>
      <c r="F899">
        <v>47.61</v>
      </c>
      <c r="G899">
        <v>35.33</v>
      </c>
      <c r="H899">
        <v>27.32</v>
      </c>
    </row>
    <row r="900" spans="1:8" x14ac:dyDescent="0.25">
      <c r="A900">
        <v>885</v>
      </c>
      <c r="B900">
        <v>10</v>
      </c>
      <c r="C900">
        <v>100</v>
      </c>
      <c r="D900">
        <v>70</v>
      </c>
      <c r="E900">
        <v>20</v>
      </c>
      <c r="F900">
        <v>39.14</v>
      </c>
      <c r="G900">
        <v>52.75</v>
      </c>
      <c r="H900">
        <v>22.7</v>
      </c>
    </row>
    <row r="901" spans="1:8" x14ac:dyDescent="0.25">
      <c r="A901">
        <v>886</v>
      </c>
      <c r="B901">
        <v>20</v>
      </c>
      <c r="C901">
        <v>0</v>
      </c>
      <c r="D901">
        <v>70</v>
      </c>
      <c r="E901">
        <v>20</v>
      </c>
      <c r="F901">
        <v>70.72</v>
      </c>
      <c r="G901">
        <v>-12.23</v>
      </c>
      <c r="H901">
        <v>42.32</v>
      </c>
    </row>
    <row r="902" spans="1:8" x14ac:dyDescent="0.25">
      <c r="A902">
        <v>887</v>
      </c>
      <c r="B902">
        <v>20</v>
      </c>
      <c r="C902">
        <v>10</v>
      </c>
      <c r="D902">
        <v>70</v>
      </c>
      <c r="E902">
        <v>20</v>
      </c>
      <c r="F902">
        <v>66.83</v>
      </c>
      <c r="G902">
        <v>-6.84</v>
      </c>
      <c r="H902">
        <v>39.14</v>
      </c>
    </row>
    <row r="903" spans="1:8" x14ac:dyDescent="0.25">
      <c r="A903">
        <v>888</v>
      </c>
      <c r="B903">
        <v>20</v>
      </c>
      <c r="C903">
        <v>20</v>
      </c>
      <c r="D903">
        <v>70</v>
      </c>
      <c r="E903">
        <v>20</v>
      </c>
      <c r="F903">
        <v>63.07</v>
      </c>
      <c r="G903">
        <v>-1.38</v>
      </c>
      <c r="H903">
        <v>36.090000000000003</v>
      </c>
    </row>
    <row r="904" spans="1:8" x14ac:dyDescent="0.25">
      <c r="A904">
        <v>889</v>
      </c>
      <c r="B904">
        <v>20</v>
      </c>
      <c r="C904">
        <v>40</v>
      </c>
      <c r="D904">
        <v>70</v>
      </c>
      <c r="E904">
        <v>20</v>
      </c>
      <c r="F904">
        <v>55.73</v>
      </c>
      <c r="G904">
        <v>10.57</v>
      </c>
      <c r="H904">
        <v>30.14</v>
      </c>
    </row>
    <row r="905" spans="1:8" x14ac:dyDescent="0.25">
      <c r="A905">
        <v>890</v>
      </c>
      <c r="B905">
        <v>20</v>
      </c>
      <c r="C905">
        <v>70</v>
      </c>
      <c r="D905">
        <v>70</v>
      </c>
      <c r="E905">
        <v>20</v>
      </c>
      <c r="F905">
        <v>44.9</v>
      </c>
      <c r="G905">
        <v>30.48</v>
      </c>
      <c r="H905">
        <v>22.64</v>
      </c>
    </row>
    <row r="906" spans="1:8" x14ac:dyDescent="0.25">
      <c r="A906">
        <v>891</v>
      </c>
      <c r="B906">
        <v>20</v>
      </c>
      <c r="C906">
        <v>100</v>
      </c>
      <c r="D906">
        <v>70</v>
      </c>
      <c r="E906">
        <v>20</v>
      </c>
      <c r="F906">
        <v>36.92</v>
      </c>
      <c r="G906">
        <v>47.39</v>
      </c>
      <c r="H906">
        <v>18.28</v>
      </c>
    </row>
    <row r="907" spans="1:8" x14ac:dyDescent="0.25">
      <c r="A907">
        <v>892</v>
      </c>
      <c r="B907">
        <v>40</v>
      </c>
      <c r="C907">
        <v>0</v>
      </c>
      <c r="D907">
        <v>70</v>
      </c>
      <c r="E907">
        <v>20</v>
      </c>
      <c r="F907">
        <v>64.33</v>
      </c>
      <c r="G907">
        <v>-21.01</v>
      </c>
      <c r="H907">
        <v>32.25</v>
      </c>
    </row>
    <row r="908" spans="1:8" x14ac:dyDescent="0.25">
      <c r="A908">
        <v>893</v>
      </c>
      <c r="B908">
        <v>40</v>
      </c>
      <c r="C908">
        <v>10</v>
      </c>
      <c r="D908">
        <v>70</v>
      </c>
      <c r="E908">
        <v>20</v>
      </c>
      <c r="F908">
        <v>60.81</v>
      </c>
      <c r="G908">
        <v>-15.56</v>
      </c>
      <c r="H908">
        <v>29.54</v>
      </c>
    </row>
    <row r="909" spans="1:8" x14ac:dyDescent="0.25">
      <c r="A909">
        <v>894</v>
      </c>
      <c r="B909">
        <v>40</v>
      </c>
      <c r="C909">
        <v>20</v>
      </c>
      <c r="D909">
        <v>70</v>
      </c>
      <c r="E909">
        <v>20</v>
      </c>
      <c r="F909">
        <v>57.35</v>
      </c>
      <c r="G909">
        <v>-10.14</v>
      </c>
      <c r="H909">
        <v>26.8</v>
      </c>
    </row>
    <row r="910" spans="1:8" x14ac:dyDescent="0.25">
      <c r="A910">
        <v>895</v>
      </c>
      <c r="B910">
        <v>40</v>
      </c>
      <c r="C910">
        <v>40</v>
      </c>
      <c r="D910">
        <v>70</v>
      </c>
      <c r="E910">
        <v>20</v>
      </c>
      <c r="F910">
        <v>50.35</v>
      </c>
      <c r="G910">
        <v>1.53</v>
      </c>
      <c r="H910">
        <v>21.28</v>
      </c>
    </row>
    <row r="911" spans="1:8" x14ac:dyDescent="0.25">
      <c r="A911">
        <v>896</v>
      </c>
      <c r="B911">
        <v>40</v>
      </c>
      <c r="C911">
        <v>70</v>
      </c>
      <c r="D911">
        <v>70</v>
      </c>
      <c r="E911">
        <v>20</v>
      </c>
      <c r="F911">
        <v>40.200000000000003</v>
      </c>
      <c r="G911">
        <v>20.88</v>
      </c>
      <c r="H911">
        <v>14.25</v>
      </c>
    </row>
    <row r="912" spans="1:8" x14ac:dyDescent="0.25">
      <c r="A912">
        <v>897</v>
      </c>
      <c r="B912">
        <v>40</v>
      </c>
      <c r="C912">
        <v>100</v>
      </c>
      <c r="D912">
        <v>70</v>
      </c>
      <c r="E912">
        <v>20</v>
      </c>
      <c r="F912">
        <v>32.770000000000003</v>
      </c>
      <c r="G912">
        <v>36.869999999999997</v>
      </c>
      <c r="H912">
        <v>10.1</v>
      </c>
    </row>
    <row r="913" spans="1:8" x14ac:dyDescent="0.25">
      <c r="A913">
        <v>898</v>
      </c>
      <c r="B913">
        <v>70</v>
      </c>
      <c r="C913">
        <v>0</v>
      </c>
      <c r="D913">
        <v>70</v>
      </c>
      <c r="E913">
        <v>20</v>
      </c>
      <c r="F913">
        <v>54.41</v>
      </c>
      <c r="G913">
        <v>-36.43</v>
      </c>
      <c r="H913">
        <v>17.059999999999999</v>
      </c>
    </row>
    <row r="914" spans="1:8" x14ac:dyDescent="0.25">
      <c r="A914">
        <v>899</v>
      </c>
      <c r="B914">
        <v>70</v>
      </c>
      <c r="C914">
        <v>10</v>
      </c>
      <c r="D914">
        <v>70</v>
      </c>
      <c r="E914">
        <v>20</v>
      </c>
      <c r="F914">
        <v>51.57</v>
      </c>
      <c r="G914">
        <v>-30.78</v>
      </c>
      <c r="H914">
        <v>15.2</v>
      </c>
    </row>
    <row r="915" spans="1:8" x14ac:dyDescent="0.25">
      <c r="A915">
        <v>900</v>
      </c>
      <c r="B915">
        <v>70</v>
      </c>
      <c r="C915">
        <v>20</v>
      </c>
      <c r="D915">
        <v>70</v>
      </c>
      <c r="E915">
        <v>20</v>
      </c>
      <c r="F915">
        <v>48.7</v>
      </c>
      <c r="G915">
        <v>-25.21</v>
      </c>
      <c r="H915">
        <v>13.16</v>
      </c>
    </row>
    <row r="916" spans="1:8" x14ac:dyDescent="0.25">
      <c r="A916">
        <v>901</v>
      </c>
      <c r="B916">
        <v>70</v>
      </c>
      <c r="C916">
        <v>40</v>
      </c>
      <c r="D916">
        <v>70</v>
      </c>
      <c r="E916">
        <v>20</v>
      </c>
      <c r="F916">
        <v>42.66</v>
      </c>
      <c r="G916">
        <v>-13.5</v>
      </c>
      <c r="H916">
        <v>8.7100000000000009</v>
      </c>
    </row>
    <row r="917" spans="1:8" x14ac:dyDescent="0.25">
      <c r="A917">
        <v>902</v>
      </c>
      <c r="B917">
        <v>70</v>
      </c>
      <c r="C917">
        <v>70</v>
      </c>
      <c r="D917">
        <v>70</v>
      </c>
      <c r="E917">
        <v>20</v>
      </c>
      <c r="F917">
        <v>33.75</v>
      </c>
      <c r="G917">
        <v>5.43</v>
      </c>
      <c r="H917">
        <v>2.93</v>
      </c>
    </row>
    <row r="918" spans="1:8" x14ac:dyDescent="0.25">
      <c r="A918">
        <v>903</v>
      </c>
      <c r="B918">
        <v>70</v>
      </c>
      <c r="C918">
        <v>100</v>
      </c>
      <c r="D918">
        <v>70</v>
      </c>
      <c r="E918">
        <v>20</v>
      </c>
      <c r="F918">
        <v>27</v>
      </c>
      <c r="G918">
        <v>20.25</v>
      </c>
      <c r="H918">
        <v>-1.06</v>
      </c>
    </row>
    <row r="919" spans="1:8" x14ac:dyDescent="0.25">
      <c r="A919">
        <v>904</v>
      </c>
      <c r="B919">
        <v>100</v>
      </c>
      <c r="C919">
        <v>0</v>
      </c>
      <c r="D919">
        <v>70</v>
      </c>
      <c r="E919">
        <v>20</v>
      </c>
      <c r="F919">
        <v>45.51</v>
      </c>
      <c r="G919">
        <v>-51.97</v>
      </c>
      <c r="H919">
        <v>3.91</v>
      </c>
    </row>
    <row r="920" spans="1:8" x14ac:dyDescent="0.25">
      <c r="A920">
        <v>905</v>
      </c>
      <c r="B920">
        <v>100</v>
      </c>
      <c r="C920">
        <v>10</v>
      </c>
      <c r="D920">
        <v>70</v>
      </c>
      <c r="E920">
        <v>20</v>
      </c>
      <c r="F920">
        <v>43.13</v>
      </c>
      <c r="G920">
        <v>-46.4</v>
      </c>
      <c r="H920">
        <v>2.46</v>
      </c>
    </row>
    <row r="921" spans="1:8" x14ac:dyDescent="0.25">
      <c r="A921">
        <v>906</v>
      </c>
      <c r="B921">
        <v>100</v>
      </c>
      <c r="C921">
        <v>20</v>
      </c>
      <c r="D921">
        <v>70</v>
      </c>
      <c r="E921">
        <v>20</v>
      </c>
      <c r="F921">
        <v>40.76</v>
      </c>
      <c r="G921">
        <v>-40.94</v>
      </c>
      <c r="H921">
        <v>0.94</v>
      </c>
    </row>
    <row r="922" spans="1:8" x14ac:dyDescent="0.25">
      <c r="A922">
        <v>907</v>
      </c>
      <c r="B922">
        <v>100</v>
      </c>
      <c r="C922">
        <v>40</v>
      </c>
      <c r="D922">
        <v>70</v>
      </c>
      <c r="E922">
        <v>20</v>
      </c>
      <c r="F922">
        <v>35.71</v>
      </c>
      <c r="G922">
        <v>-29.27</v>
      </c>
      <c r="H922">
        <v>-2.31</v>
      </c>
    </row>
    <row r="923" spans="1:8" x14ac:dyDescent="0.25">
      <c r="A923">
        <v>908</v>
      </c>
      <c r="B923">
        <v>100</v>
      </c>
      <c r="C923">
        <v>70</v>
      </c>
      <c r="D923">
        <v>70</v>
      </c>
      <c r="E923">
        <v>20</v>
      </c>
      <c r="F923">
        <v>27.95</v>
      </c>
      <c r="G923">
        <v>-11.15</v>
      </c>
      <c r="H923">
        <v>-7.1</v>
      </c>
    </row>
    <row r="924" spans="1:8" x14ac:dyDescent="0.25">
      <c r="A924">
        <v>909</v>
      </c>
      <c r="B924">
        <v>100</v>
      </c>
      <c r="C924">
        <v>100</v>
      </c>
      <c r="D924">
        <v>70</v>
      </c>
      <c r="E924">
        <v>20</v>
      </c>
      <c r="F924">
        <v>21.79</v>
      </c>
      <c r="G924">
        <v>3.17</v>
      </c>
      <c r="H924">
        <v>-10.5</v>
      </c>
    </row>
    <row r="925" spans="1:8" x14ac:dyDescent="0.25">
      <c r="A925">
        <v>910</v>
      </c>
      <c r="B925">
        <v>0</v>
      </c>
      <c r="C925">
        <v>0</v>
      </c>
      <c r="D925">
        <v>100</v>
      </c>
      <c r="E925">
        <v>20</v>
      </c>
      <c r="F925">
        <v>75.81</v>
      </c>
      <c r="G925">
        <v>-4.38</v>
      </c>
      <c r="H925">
        <v>78.06</v>
      </c>
    </row>
    <row r="926" spans="1:8" x14ac:dyDescent="0.25">
      <c r="A926">
        <v>911</v>
      </c>
      <c r="B926">
        <v>0</v>
      </c>
      <c r="C926">
        <v>10</v>
      </c>
      <c r="D926">
        <v>100</v>
      </c>
      <c r="E926">
        <v>20</v>
      </c>
      <c r="F926">
        <v>72.06</v>
      </c>
      <c r="G926">
        <v>1.38</v>
      </c>
      <c r="H926">
        <v>73.540000000000006</v>
      </c>
    </row>
    <row r="927" spans="1:8" x14ac:dyDescent="0.25">
      <c r="A927">
        <v>912</v>
      </c>
      <c r="B927">
        <v>0</v>
      </c>
      <c r="C927">
        <v>20</v>
      </c>
      <c r="D927">
        <v>100</v>
      </c>
      <c r="E927">
        <v>20</v>
      </c>
      <c r="F927">
        <v>68.33</v>
      </c>
      <c r="G927">
        <v>7.16</v>
      </c>
      <c r="H927">
        <v>69.09</v>
      </c>
    </row>
    <row r="928" spans="1:8" x14ac:dyDescent="0.25">
      <c r="A928">
        <v>913</v>
      </c>
      <c r="B928">
        <v>0</v>
      </c>
      <c r="C928">
        <v>40</v>
      </c>
      <c r="D928">
        <v>100</v>
      </c>
      <c r="E928">
        <v>20</v>
      </c>
      <c r="F928">
        <v>60.79</v>
      </c>
      <c r="G928">
        <v>19.39</v>
      </c>
      <c r="H928">
        <v>60.44</v>
      </c>
    </row>
    <row r="929" spans="1:8" x14ac:dyDescent="0.25">
      <c r="A929">
        <v>914</v>
      </c>
      <c r="B929">
        <v>0</v>
      </c>
      <c r="C929">
        <v>70</v>
      </c>
      <c r="D929">
        <v>100</v>
      </c>
      <c r="E929">
        <v>20</v>
      </c>
      <c r="F929">
        <v>49.56</v>
      </c>
      <c r="G929">
        <v>39.049999999999997</v>
      </c>
      <c r="H929">
        <v>48.25</v>
      </c>
    </row>
    <row r="930" spans="1:8" x14ac:dyDescent="0.25">
      <c r="A930">
        <v>915</v>
      </c>
      <c r="B930">
        <v>0</v>
      </c>
      <c r="C930">
        <v>100</v>
      </c>
      <c r="D930">
        <v>100</v>
      </c>
      <c r="E930">
        <v>20</v>
      </c>
      <c r="F930">
        <v>40.61</v>
      </c>
      <c r="G930">
        <v>56.54</v>
      </c>
      <c r="H930">
        <v>39.47</v>
      </c>
    </row>
    <row r="931" spans="1:8" x14ac:dyDescent="0.25">
      <c r="A931">
        <v>916</v>
      </c>
      <c r="B931">
        <v>10</v>
      </c>
      <c r="C931">
        <v>0</v>
      </c>
      <c r="D931">
        <v>100</v>
      </c>
      <c r="E931">
        <v>20</v>
      </c>
      <c r="F931">
        <v>72.75</v>
      </c>
      <c r="G931">
        <v>-8.64</v>
      </c>
      <c r="H931">
        <v>72.459999999999994</v>
      </c>
    </row>
    <row r="932" spans="1:8" x14ac:dyDescent="0.25">
      <c r="A932">
        <v>917</v>
      </c>
      <c r="B932">
        <v>10</v>
      </c>
      <c r="C932">
        <v>10</v>
      </c>
      <c r="D932">
        <v>100</v>
      </c>
      <c r="E932">
        <v>20</v>
      </c>
      <c r="F932">
        <v>69</v>
      </c>
      <c r="G932">
        <v>-3.2</v>
      </c>
      <c r="H932">
        <v>67.95</v>
      </c>
    </row>
    <row r="933" spans="1:8" x14ac:dyDescent="0.25">
      <c r="A933">
        <v>918</v>
      </c>
      <c r="B933">
        <v>10</v>
      </c>
      <c r="C933">
        <v>20</v>
      </c>
      <c r="D933">
        <v>100</v>
      </c>
      <c r="E933">
        <v>20</v>
      </c>
      <c r="F933">
        <v>65.319999999999993</v>
      </c>
      <c r="G933">
        <v>2.5299999999999998</v>
      </c>
      <c r="H933">
        <v>63.61</v>
      </c>
    </row>
    <row r="934" spans="1:8" x14ac:dyDescent="0.25">
      <c r="A934">
        <v>919</v>
      </c>
      <c r="B934">
        <v>10</v>
      </c>
      <c r="C934">
        <v>40</v>
      </c>
      <c r="D934">
        <v>100</v>
      </c>
      <c r="E934">
        <v>20</v>
      </c>
      <c r="F934">
        <v>57.86</v>
      </c>
      <c r="G934">
        <v>14.55</v>
      </c>
      <c r="H934">
        <v>55.01</v>
      </c>
    </row>
    <row r="935" spans="1:8" x14ac:dyDescent="0.25">
      <c r="A935">
        <v>920</v>
      </c>
      <c r="B935">
        <v>10</v>
      </c>
      <c r="C935">
        <v>70</v>
      </c>
      <c r="D935">
        <v>100</v>
      </c>
      <c r="E935">
        <v>20</v>
      </c>
      <c r="F935">
        <v>46.91</v>
      </c>
      <c r="G935">
        <v>34.270000000000003</v>
      </c>
      <c r="H935">
        <v>43.18</v>
      </c>
    </row>
    <row r="936" spans="1:8" x14ac:dyDescent="0.25">
      <c r="A936">
        <v>921</v>
      </c>
      <c r="B936">
        <v>10</v>
      </c>
      <c r="C936">
        <v>100</v>
      </c>
      <c r="D936">
        <v>100</v>
      </c>
      <c r="E936">
        <v>20</v>
      </c>
      <c r="F936">
        <v>38.51</v>
      </c>
      <c r="G936">
        <v>51.41</v>
      </c>
      <c r="H936">
        <v>35</v>
      </c>
    </row>
    <row r="937" spans="1:8" x14ac:dyDescent="0.25">
      <c r="A937">
        <v>922</v>
      </c>
      <c r="B937">
        <v>20</v>
      </c>
      <c r="C937">
        <v>0</v>
      </c>
      <c r="D937">
        <v>100</v>
      </c>
      <c r="E937">
        <v>20</v>
      </c>
      <c r="F937">
        <v>69.56</v>
      </c>
      <c r="G937">
        <v>-13.02</v>
      </c>
      <c r="H937">
        <v>66.66</v>
      </c>
    </row>
    <row r="938" spans="1:8" x14ac:dyDescent="0.25">
      <c r="A938">
        <v>923</v>
      </c>
      <c r="B938">
        <v>20</v>
      </c>
      <c r="C938">
        <v>10</v>
      </c>
      <c r="D938">
        <v>100</v>
      </c>
      <c r="E938">
        <v>20</v>
      </c>
      <c r="F938">
        <v>65.87</v>
      </c>
      <c r="G938">
        <v>-7.67</v>
      </c>
      <c r="H938">
        <v>62.25</v>
      </c>
    </row>
    <row r="939" spans="1:8" x14ac:dyDescent="0.25">
      <c r="A939">
        <v>924</v>
      </c>
      <c r="B939">
        <v>20</v>
      </c>
      <c r="C939">
        <v>20</v>
      </c>
      <c r="D939">
        <v>100</v>
      </c>
      <c r="E939">
        <v>20</v>
      </c>
      <c r="F939">
        <v>62.24</v>
      </c>
      <c r="G939">
        <v>-2.25</v>
      </c>
      <c r="H939">
        <v>57.91</v>
      </c>
    </row>
    <row r="940" spans="1:8" x14ac:dyDescent="0.25">
      <c r="A940">
        <v>925</v>
      </c>
      <c r="B940">
        <v>20</v>
      </c>
      <c r="C940">
        <v>40</v>
      </c>
      <c r="D940">
        <v>100</v>
      </c>
      <c r="E940">
        <v>20</v>
      </c>
      <c r="F940">
        <v>54.93</v>
      </c>
      <c r="G940">
        <v>9.74</v>
      </c>
      <c r="H940">
        <v>49.59</v>
      </c>
    </row>
    <row r="941" spans="1:8" x14ac:dyDescent="0.25">
      <c r="A941">
        <v>926</v>
      </c>
      <c r="B941">
        <v>20</v>
      </c>
      <c r="C941">
        <v>70</v>
      </c>
      <c r="D941">
        <v>100</v>
      </c>
      <c r="E941">
        <v>20</v>
      </c>
      <c r="F941">
        <v>44.3</v>
      </c>
      <c r="G941">
        <v>29.35</v>
      </c>
      <c r="H941">
        <v>38.14</v>
      </c>
    </row>
    <row r="942" spans="1:8" x14ac:dyDescent="0.25">
      <c r="A942">
        <v>927</v>
      </c>
      <c r="B942">
        <v>20</v>
      </c>
      <c r="C942">
        <v>100</v>
      </c>
      <c r="D942">
        <v>100</v>
      </c>
      <c r="E942">
        <v>20</v>
      </c>
      <c r="F942">
        <v>36.340000000000003</v>
      </c>
      <c r="G942">
        <v>45.93</v>
      </c>
      <c r="H942">
        <v>30.18</v>
      </c>
    </row>
    <row r="943" spans="1:8" x14ac:dyDescent="0.25">
      <c r="A943">
        <v>928</v>
      </c>
      <c r="B943">
        <v>40</v>
      </c>
      <c r="C943">
        <v>0</v>
      </c>
      <c r="D943">
        <v>100</v>
      </c>
      <c r="E943">
        <v>20</v>
      </c>
      <c r="F943">
        <v>63.12</v>
      </c>
      <c r="G943">
        <v>-22.54</v>
      </c>
      <c r="H943">
        <v>55.19</v>
      </c>
    </row>
    <row r="944" spans="1:8" x14ac:dyDescent="0.25">
      <c r="A944">
        <v>929</v>
      </c>
      <c r="B944">
        <v>40</v>
      </c>
      <c r="C944">
        <v>10</v>
      </c>
      <c r="D944">
        <v>100</v>
      </c>
      <c r="E944">
        <v>20</v>
      </c>
      <c r="F944">
        <v>59.73</v>
      </c>
      <c r="G944">
        <v>-17</v>
      </c>
      <c r="H944">
        <v>51.27</v>
      </c>
    </row>
    <row r="945" spans="1:8" x14ac:dyDescent="0.25">
      <c r="A945">
        <v>930</v>
      </c>
      <c r="B945">
        <v>40</v>
      </c>
      <c r="C945">
        <v>20</v>
      </c>
      <c r="D945">
        <v>100</v>
      </c>
      <c r="E945">
        <v>20</v>
      </c>
      <c r="F945">
        <v>56.39</v>
      </c>
      <c r="G945">
        <v>-11.62</v>
      </c>
      <c r="H945">
        <v>47.39</v>
      </c>
    </row>
    <row r="946" spans="1:8" x14ac:dyDescent="0.25">
      <c r="A946">
        <v>931</v>
      </c>
      <c r="B946">
        <v>40</v>
      </c>
      <c r="C946">
        <v>40</v>
      </c>
      <c r="D946">
        <v>100</v>
      </c>
      <c r="E946">
        <v>20</v>
      </c>
      <c r="F946">
        <v>49.46</v>
      </c>
      <c r="G946">
        <v>7.0000000000000007E-2</v>
      </c>
      <c r="H946">
        <v>39.57</v>
      </c>
    </row>
    <row r="947" spans="1:8" x14ac:dyDescent="0.25">
      <c r="A947">
        <v>932</v>
      </c>
      <c r="B947">
        <v>40</v>
      </c>
      <c r="C947">
        <v>70</v>
      </c>
      <c r="D947">
        <v>100</v>
      </c>
      <c r="E947">
        <v>20</v>
      </c>
      <c r="F947">
        <v>39.53</v>
      </c>
      <c r="G947">
        <v>19.309999999999999</v>
      </c>
      <c r="H947">
        <v>28.94</v>
      </c>
    </row>
    <row r="948" spans="1:8" x14ac:dyDescent="0.25">
      <c r="A948">
        <v>933</v>
      </c>
      <c r="B948">
        <v>40</v>
      </c>
      <c r="C948">
        <v>100</v>
      </c>
      <c r="D948">
        <v>100</v>
      </c>
      <c r="E948">
        <v>20</v>
      </c>
      <c r="F948">
        <v>32.22</v>
      </c>
      <c r="G948">
        <v>35.36</v>
      </c>
      <c r="H948">
        <v>21.66</v>
      </c>
    </row>
    <row r="949" spans="1:8" x14ac:dyDescent="0.25">
      <c r="A949">
        <v>934</v>
      </c>
      <c r="B949">
        <v>70</v>
      </c>
      <c r="C949">
        <v>0</v>
      </c>
      <c r="D949">
        <v>100</v>
      </c>
      <c r="E949">
        <v>20</v>
      </c>
      <c r="F949">
        <v>53.21</v>
      </c>
      <c r="G949">
        <v>-39.17</v>
      </c>
      <c r="H949">
        <v>37.72</v>
      </c>
    </row>
    <row r="950" spans="1:8" x14ac:dyDescent="0.25">
      <c r="A950">
        <v>935</v>
      </c>
      <c r="B950">
        <v>70</v>
      </c>
      <c r="C950">
        <v>10</v>
      </c>
      <c r="D950">
        <v>100</v>
      </c>
      <c r="E950">
        <v>20</v>
      </c>
      <c r="F950">
        <v>50.47</v>
      </c>
      <c r="G950">
        <v>-33.49</v>
      </c>
      <c r="H950">
        <v>34.78</v>
      </c>
    </row>
    <row r="951" spans="1:8" x14ac:dyDescent="0.25">
      <c r="A951">
        <v>936</v>
      </c>
      <c r="B951">
        <v>70</v>
      </c>
      <c r="C951">
        <v>20</v>
      </c>
      <c r="D951">
        <v>100</v>
      </c>
      <c r="E951">
        <v>20</v>
      </c>
      <c r="F951">
        <v>47.71</v>
      </c>
      <c r="G951">
        <v>-27.91</v>
      </c>
      <c r="H951">
        <v>31.8</v>
      </c>
    </row>
    <row r="952" spans="1:8" x14ac:dyDescent="0.25">
      <c r="A952">
        <v>937</v>
      </c>
      <c r="B952">
        <v>70</v>
      </c>
      <c r="C952">
        <v>40</v>
      </c>
      <c r="D952">
        <v>100</v>
      </c>
      <c r="E952">
        <v>20</v>
      </c>
      <c r="F952">
        <v>41.86</v>
      </c>
      <c r="G952">
        <v>-16.02</v>
      </c>
      <c r="H952">
        <v>25.57</v>
      </c>
    </row>
    <row r="953" spans="1:8" x14ac:dyDescent="0.25">
      <c r="A953">
        <v>938</v>
      </c>
      <c r="B953">
        <v>70</v>
      </c>
      <c r="C953">
        <v>70</v>
      </c>
      <c r="D953">
        <v>100</v>
      </c>
      <c r="E953">
        <v>20</v>
      </c>
      <c r="F953">
        <v>33.06</v>
      </c>
      <c r="G953">
        <v>2.73</v>
      </c>
      <c r="H953">
        <v>16.5</v>
      </c>
    </row>
    <row r="954" spans="1:8" x14ac:dyDescent="0.25">
      <c r="A954">
        <v>939</v>
      </c>
      <c r="B954">
        <v>70</v>
      </c>
      <c r="C954">
        <v>100</v>
      </c>
      <c r="D954">
        <v>100</v>
      </c>
      <c r="E954">
        <v>20</v>
      </c>
      <c r="F954">
        <v>26.38</v>
      </c>
      <c r="G954">
        <v>18.059999999999999</v>
      </c>
      <c r="H954">
        <v>10.14</v>
      </c>
    </row>
    <row r="955" spans="1:8" x14ac:dyDescent="0.25">
      <c r="A955">
        <v>940</v>
      </c>
      <c r="B955">
        <v>100</v>
      </c>
      <c r="C955">
        <v>0</v>
      </c>
      <c r="D955">
        <v>100</v>
      </c>
      <c r="E955">
        <v>20</v>
      </c>
      <c r="F955">
        <v>44.35</v>
      </c>
      <c r="G955">
        <v>-56.2</v>
      </c>
      <c r="H955">
        <v>22.36</v>
      </c>
    </row>
    <row r="956" spans="1:8" x14ac:dyDescent="0.25">
      <c r="A956">
        <v>941</v>
      </c>
      <c r="B956">
        <v>100</v>
      </c>
      <c r="C956">
        <v>10</v>
      </c>
      <c r="D956">
        <v>100</v>
      </c>
      <c r="E956">
        <v>20</v>
      </c>
      <c r="F956">
        <v>42.14</v>
      </c>
      <c r="G956">
        <v>-50.71</v>
      </c>
      <c r="H956">
        <v>20.18</v>
      </c>
    </row>
    <row r="957" spans="1:8" x14ac:dyDescent="0.25">
      <c r="A957">
        <v>942</v>
      </c>
      <c r="B957">
        <v>100</v>
      </c>
      <c r="C957">
        <v>20</v>
      </c>
      <c r="D957">
        <v>100</v>
      </c>
      <c r="E957">
        <v>20</v>
      </c>
      <c r="F957">
        <v>39.94</v>
      </c>
      <c r="G957">
        <v>-44.96</v>
      </c>
      <c r="H957">
        <v>17.899999999999999</v>
      </c>
    </row>
    <row r="958" spans="1:8" x14ac:dyDescent="0.25">
      <c r="A958">
        <v>943</v>
      </c>
      <c r="B958">
        <v>100</v>
      </c>
      <c r="C958">
        <v>40</v>
      </c>
      <c r="D958">
        <v>100</v>
      </c>
      <c r="E958">
        <v>20</v>
      </c>
      <c r="F958">
        <v>35.06</v>
      </c>
      <c r="G958">
        <v>-33.18</v>
      </c>
      <c r="H958">
        <v>13.16</v>
      </c>
    </row>
    <row r="959" spans="1:8" x14ac:dyDescent="0.25">
      <c r="A959">
        <v>944</v>
      </c>
      <c r="B959">
        <v>100</v>
      </c>
      <c r="C959">
        <v>70</v>
      </c>
      <c r="D959">
        <v>100</v>
      </c>
      <c r="E959">
        <v>20</v>
      </c>
      <c r="F959">
        <v>27.31</v>
      </c>
      <c r="G959">
        <v>-14.69</v>
      </c>
      <c r="H959">
        <v>5.86</v>
      </c>
    </row>
    <row r="960" spans="1:8" x14ac:dyDescent="0.25">
      <c r="A960">
        <v>945</v>
      </c>
      <c r="B960">
        <v>100</v>
      </c>
      <c r="C960">
        <v>100</v>
      </c>
      <c r="D960">
        <v>100</v>
      </c>
      <c r="E960">
        <v>20</v>
      </c>
      <c r="F960">
        <v>20.87</v>
      </c>
      <c r="G960">
        <v>-0.15</v>
      </c>
      <c r="H960">
        <v>0.27</v>
      </c>
    </row>
    <row r="961" spans="1:8" x14ac:dyDescent="0.25">
      <c r="A961">
        <v>946</v>
      </c>
      <c r="B961">
        <v>0</v>
      </c>
      <c r="C961">
        <v>0</v>
      </c>
      <c r="D961">
        <v>0</v>
      </c>
      <c r="E961">
        <v>40</v>
      </c>
      <c r="F961">
        <v>67.400000000000006</v>
      </c>
      <c r="G961">
        <v>0.55000000000000004</v>
      </c>
      <c r="H961">
        <v>-2.9</v>
      </c>
    </row>
    <row r="962" spans="1:8" x14ac:dyDescent="0.25">
      <c r="A962">
        <v>947</v>
      </c>
      <c r="B962">
        <v>0</v>
      </c>
      <c r="C962">
        <v>20</v>
      </c>
      <c r="D962">
        <v>0</v>
      </c>
      <c r="E962">
        <v>40</v>
      </c>
      <c r="F962">
        <v>60.36</v>
      </c>
      <c r="G962">
        <v>10.09</v>
      </c>
      <c r="H962">
        <v>-4.13</v>
      </c>
    </row>
    <row r="963" spans="1:8" x14ac:dyDescent="0.25">
      <c r="A963">
        <v>948</v>
      </c>
      <c r="B963">
        <v>0</v>
      </c>
      <c r="C963">
        <v>40</v>
      </c>
      <c r="D963">
        <v>0</v>
      </c>
      <c r="E963">
        <v>40</v>
      </c>
      <c r="F963">
        <v>53.44</v>
      </c>
      <c r="G963">
        <v>19.899999999999999</v>
      </c>
      <c r="H963">
        <v>-4.93</v>
      </c>
    </row>
    <row r="964" spans="1:8" x14ac:dyDescent="0.25">
      <c r="A964">
        <v>949</v>
      </c>
      <c r="B964">
        <v>0</v>
      </c>
      <c r="C964">
        <v>70</v>
      </c>
      <c r="D964">
        <v>0</v>
      </c>
      <c r="E964">
        <v>40</v>
      </c>
      <c r="F964">
        <v>42.93</v>
      </c>
      <c r="G964">
        <v>36.909999999999997</v>
      </c>
      <c r="H964">
        <v>-4.88</v>
      </c>
    </row>
    <row r="965" spans="1:8" x14ac:dyDescent="0.25">
      <c r="A965">
        <v>950</v>
      </c>
      <c r="B965">
        <v>0</v>
      </c>
      <c r="C965">
        <v>100</v>
      </c>
      <c r="D965">
        <v>0</v>
      </c>
      <c r="E965">
        <v>40</v>
      </c>
      <c r="F965">
        <v>34.729999999999997</v>
      </c>
      <c r="G965">
        <v>52.41</v>
      </c>
      <c r="H965">
        <v>-3.59</v>
      </c>
    </row>
    <row r="966" spans="1:8" x14ac:dyDescent="0.25">
      <c r="A966">
        <v>951</v>
      </c>
      <c r="B966">
        <v>20</v>
      </c>
      <c r="C966">
        <v>0</v>
      </c>
      <c r="D966">
        <v>0</v>
      </c>
      <c r="E966">
        <v>40</v>
      </c>
      <c r="F966">
        <v>61.8</v>
      </c>
      <c r="G966">
        <v>-4.5199999999999996</v>
      </c>
      <c r="H966">
        <v>-9.83</v>
      </c>
    </row>
    <row r="967" spans="1:8" x14ac:dyDescent="0.25">
      <c r="A967">
        <v>952</v>
      </c>
      <c r="B967">
        <v>20</v>
      </c>
      <c r="C967">
        <v>20</v>
      </c>
      <c r="D967">
        <v>0</v>
      </c>
      <c r="E967">
        <v>40</v>
      </c>
      <c r="F967">
        <v>55.43</v>
      </c>
      <c r="G967">
        <v>4.57</v>
      </c>
      <c r="H967">
        <v>-10.66</v>
      </c>
    </row>
    <row r="968" spans="1:8" x14ac:dyDescent="0.25">
      <c r="A968">
        <v>953</v>
      </c>
      <c r="B968">
        <v>20</v>
      </c>
      <c r="C968">
        <v>40</v>
      </c>
      <c r="D968">
        <v>0</v>
      </c>
      <c r="E968">
        <v>40</v>
      </c>
      <c r="F968">
        <v>48.96</v>
      </c>
      <c r="G968">
        <v>14</v>
      </c>
      <c r="H968">
        <v>-11.32</v>
      </c>
    </row>
    <row r="969" spans="1:8" x14ac:dyDescent="0.25">
      <c r="A969">
        <v>954</v>
      </c>
      <c r="B969">
        <v>20</v>
      </c>
      <c r="C969">
        <v>70</v>
      </c>
      <c r="D969">
        <v>0</v>
      </c>
      <c r="E969">
        <v>40</v>
      </c>
      <c r="F969">
        <v>39.35</v>
      </c>
      <c r="G969">
        <v>30.29</v>
      </c>
      <c r="H969">
        <v>-10.95</v>
      </c>
    </row>
    <row r="970" spans="1:8" x14ac:dyDescent="0.25">
      <c r="A970">
        <v>955</v>
      </c>
      <c r="B970">
        <v>20</v>
      </c>
      <c r="C970">
        <v>100</v>
      </c>
      <c r="D970">
        <v>0</v>
      </c>
      <c r="E970">
        <v>40</v>
      </c>
      <c r="F970">
        <v>31.68</v>
      </c>
      <c r="G970">
        <v>44.79</v>
      </c>
      <c r="H970">
        <v>-9.75</v>
      </c>
    </row>
    <row r="971" spans="1:8" x14ac:dyDescent="0.25">
      <c r="A971">
        <v>956</v>
      </c>
      <c r="B971">
        <v>40</v>
      </c>
      <c r="C971">
        <v>0</v>
      </c>
      <c r="D971">
        <v>0</v>
      </c>
      <c r="E971">
        <v>40</v>
      </c>
      <c r="F971">
        <v>56.17</v>
      </c>
      <c r="G971">
        <v>-9.76</v>
      </c>
      <c r="H971">
        <v>-16.48</v>
      </c>
    </row>
    <row r="972" spans="1:8" x14ac:dyDescent="0.25">
      <c r="A972">
        <v>957</v>
      </c>
      <c r="B972">
        <v>40</v>
      </c>
      <c r="C972">
        <v>20</v>
      </c>
      <c r="D972">
        <v>0</v>
      </c>
      <c r="E972">
        <v>40</v>
      </c>
      <c r="F972">
        <v>50.3</v>
      </c>
      <c r="G972">
        <v>-0.87</v>
      </c>
      <c r="H972">
        <v>-17.11</v>
      </c>
    </row>
    <row r="973" spans="1:8" x14ac:dyDescent="0.25">
      <c r="A973">
        <v>958</v>
      </c>
      <c r="B973">
        <v>40</v>
      </c>
      <c r="C973">
        <v>40</v>
      </c>
      <c r="D973">
        <v>0</v>
      </c>
      <c r="E973">
        <v>40</v>
      </c>
      <c r="F973">
        <v>44.56</v>
      </c>
      <c r="G973">
        <v>8.08</v>
      </c>
      <c r="H973">
        <v>-17.39</v>
      </c>
    </row>
    <row r="974" spans="1:8" x14ac:dyDescent="0.25">
      <c r="A974">
        <v>959</v>
      </c>
      <c r="B974">
        <v>40</v>
      </c>
      <c r="C974">
        <v>70</v>
      </c>
      <c r="D974">
        <v>0</v>
      </c>
      <c r="E974">
        <v>40</v>
      </c>
      <c r="F974">
        <v>35.659999999999997</v>
      </c>
      <c r="G974">
        <v>23.24</v>
      </c>
      <c r="H974">
        <v>-16.920000000000002</v>
      </c>
    </row>
    <row r="975" spans="1:8" x14ac:dyDescent="0.25">
      <c r="A975">
        <v>960</v>
      </c>
      <c r="B975">
        <v>40</v>
      </c>
      <c r="C975">
        <v>100</v>
      </c>
      <c r="D975">
        <v>0</v>
      </c>
      <c r="E975">
        <v>40</v>
      </c>
      <c r="F975">
        <v>28.54</v>
      </c>
      <c r="G975">
        <v>36.979999999999997</v>
      </c>
      <c r="H975">
        <v>-15.54</v>
      </c>
    </row>
    <row r="976" spans="1:8" x14ac:dyDescent="0.25">
      <c r="A976">
        <v>961</v>
      </c>
      <c r="B976">
        <v>70</v>
      </c>
      <c r="C976">
        <v>0</v>
      </c>
      <c r="D976">
        <v>0</v>
      </c>
      <c r="E976">
        <v>40</v>
      </c>
      <c r="F976">
        <v>47.62</v>
      </c>
      <c r="G976">
        <v>-18.8</v>
      </c>
      <c r="H976">
        <v>-26.63</v>
      </c>
    </row>
    <row r="977" spans="1:8" x14ac:dyDescent="0.25">
      <c r="A977">
        <v>962</v>
      </c>
      <c r="B977">
        <v>70</v>
      </c>
      <c r="C977">
        <v>20</v>
      </c>
      <c r="D977">
        <v>0</v>
      </c>
      <c r="E977">
        <v>40</v>
      </c>
      <c r="F977">
        <v>42.61</v>
      </c>
      <c r="G977">
        <v>-10.31</v>
      </c>
      <c r="H977">
        <v>-26.68</v>
      </c>
    </row>
    <row r="978" spans="1:8" x14ac:dyDescent="0.25">
      <c r="A978">
        <v>963</v>
      </c>
      <c r="B978">
        <v>70</v>
      </c>
      <c r="C978">
        <v>40</v>
      </c>
      <c r="D978">
        <v>0</v>
      </c>
      <c r="E978">
        <v>40</v>
      </c>
      <c r="F978">
        <v>37.72</v>
      </c>
      <c r="G978">
        <v>-1.79</v>
      </c>
      <c r="H978">
        <v>-26.49</v>
      </c>
    </row>
    <row r="979" spans="1:8" x14ac:dyDescent="0.25">
      <c r="A979">
        <v>964</v>
      </c>
      <c r="B979">
        <v>70</v>
      </c>
      <c r="C979">
        <v>70</v>
      </c>
      <c r="D979">
        <v>0</v>
      </c>
      <c r="E979">
        <v>40</v>
      </c>
      <c r="F979">
        <v>30.14</v>
      </c>
      <c r="G979">
        <v>12.14</v>
      </c>
      <c r="H979">
        <v>-25.61</v>
      </c>
    </row>
    <row r="980" spans="1:8" x14ac:dyDescent="0.25">
      <c r="A980">
        <v>965</v>
      </c>
      <c r="B980">
        <v>70</v>
      </c>
      <c r="C980">
        <v>100</v>
      </c>
      <c r="D980">
        <v>0</v>
      </c>
      <c r="E980">
        <v>40</v>
      </c>
      <c r="F980">
        <v>24.02</v>
      </c>
      <c r="G980">
        <v>24.6</v>
      </c>
      <c r="H980">
        <v>-24.3</v>
      </c>
    </row>
    <row r="981" spans="1:8" x14ac:dyDescent="0.25">
      <c r="A981">
        <v>966</v>
      </c>
      <c r="B981">
        <v>100</v>
      </c>
      <c r="C981">
        <v>0</v>
      </c>
      <c r="D981">
        <v>0</v>
      </c>
      <c r="E981">
        <v>40</v>
      </c>
      <c r="F981">
        <v>40.47</v>
      </c>
      <c r="G981">
        <v>-27.78</v>
      </c>
      <c r="H981">
        <v>-35.21</v>
      </c>
    </row>
    <row r="982" spans="1:8" x14ac:dyDescent="0.25">
      <c r="A982">
        <v>967</v>
      </c>
      <c r="B982">
        <v>100</v>
      </c>
      <c r="C982">
        <v>20</v>
      </c>
      <c r="D982">
        <v>0</v>
      </c>
      <c r="E982">
        <v>40</v>
      </c>
      <c r="F982">
        <v>36.25</v>
      </c>
      <c r="G982">
        <v>-19.71</v>
      </c>
      <c r="H982">
        <v>-34.61</v>
      </c>
    </row>
    <row r="983" spans="1:8" x14ac:dyDescent="0.25">
      <c r="A983">
        <v>968</v>
      </c>
      <c r="B983">
        <v>100</v>
      </c>
      <c r="C983">
        <v>40</v>
      </c>
      <c r="D983">
        <v>0</v>
      </c>
      <c r="E983">
        <v>40</v>
      </c>
      <c r="F983">
        <v>31.88</v>
      </c>
      <c r="G983">
        <v>-11.32</v>
      </c>
      <c r="H983">
        <v>-33.979999999999997</v>
      </c>
    </row>
    <row r="984" spans="1:8" x14ac:dyDescent="0.25">
      <c r="A984">
        <v>969</v>
      </c>
      <c r="B984">
        <v>100</v>
      </c>
      <c r="C984">
        <v>70</v>
      </c>
      <c r="D984">
        <v>0</v>
      </c>
      <c r="E984">
        <v>40</v>
      </c>
      <c r="F984">
        <v>25.47</v>
      </c>
      <c r="G984">
        <v>1.82</v>
      </c>
      <c r="H984">
        <v>-32.619999999999997</v>
      </c>
    </row>
    <row r="985" spans="1:8" x14ac:dyDescent="0.25">
      <c r="A985">
        <v>970</v>
      </c>
      <c r="B985">
        <v>100</v>
      </c>
      <c r="C985">
        <v>100</v>
      </c>
      <c r="D985">
        <v>0</v>
      </c>
      <c r="E985">
        <v>40</v>
      </c>
      <c r="F985">
        <v>20.329999999999998</v>
      </c>
      <c r="G985">
        <v>13.31</v>
      </c>
      <c r="H985">
        <v>-31.27</v>
      </c>
    </row>
    <row r="986" spans="1:8" x14ac:dyDescent="0.25">
      <c r="A986">
        <v>971</v>
      </c>
      <c r="B986">
        <v>0</v>
      </c>
      <c r="C986">
        <v>0</v>
      </c>
      <c r="D986">
        <v>20</v>
      </c>
      <c r="E986">
        <v>40</v>
      </c>
      <c r="F986">
        <v>66.31</v>
      </c>
      <c r="G986">
        <v>-1.1599999999999999</v>
      </c>
      <c r="H986">
        <v>9.2200000000000006</v>
      </c>
    </row>
    <row r="987" spans="1:8" x14ac:dyDescent="0.25">
      <c r="A987">
        <v>972</v>
      </c>
      <c r="B987">
        <v>0</v>
      </c>
      <c r="C987">
        <v>20</v>
      </c>
      <c r="D987">
        <v>20</v>
      </c>
      <c r="E987">
        <v>40</v>
      </c>
      <c r="F987">
        <v>59.58</v>
      </c>
      <c r="G987">
        <v>8.15</v>
      </c>
      <c r="H987">
        <v>6.67</v>
      </c>
    </row>
    <row r="988" spans="1:8" x14ac:dyDescent="0.25">
      <c r="A988">
        <v>973</v>
      </c>
      <c r="B988">
        <v>0</v>
      </c>
      <c r="C988">
        <v>40</v>
      </c>
      <c r="D988">
        <v>20</v>
      </c>
      <c r="E988">
        <v>40</v>
      </c>
      <c r="F988">
        <v>52.88</v>
      </c>
      <c r="G988">
        <v>18.27</v>
      </c>
      <c r="H988">
        <v>5.13</v>
      </c>
    </row>
    <row r="989" spans="1:8" x14ac:dyDescent="0.25">
      <c r="A989">
        <v>974</v>
      </c>
      <c r="B989">
        <v>0</v>
      </c>
      <c r="C989">
        <v>70</v>
      </c>
      <c r="D989">
        <v>20</v>
      </c>
      <c r="E989">
        <v>40</v>
      </c>
      <c r="F989">
        <v>42.77</v>
      </c>
      <c r="G989">
        <v>35.28</v>
      </c>
      <c r="H989">
        <v>3.65</v>
      </c>
    </row>
    <row r="990" spans="1:8" x14ac:dyDescent="0.25">
      <c r="A990">
        <v>975</v>
      </c>
      <c r="B990">
        <v>0</v>
      </c>
      <c r="C990">
        <v>100</v>
      </c>
      <c r="D990">
        <v>20</v>
      </c>
      <c r="E990">
        <v>40</v>
      </c>
      <c r="F990">
        <v>34.92</v>
      </c>
      <c r="G990">
        <v>50.69</v>
      </c>
      <c r="H990">
        <v>3.68</v>
      </c>
    </row>
    <row r="991" spans="1:8" x14ac:dyDescent="0.25">
      <c r="A991">
        <v>976</v>
      </c>
      <c r="B991">
        <v>20</v>
      </c>
      <c r="C991">
        <v>0</v>
      </c>
      <c r="D991">
        <v>20</v>
      </c>
      <c r="E991">
        <v>40</v>
      </c>
      <c r="F991">
        <v>60.89</v>
      </c>
      <c r="G991">
        <v>-6.82</v>
      </c>
      <c r="H991">
        <v>1.99</v>
      </c>
    </row>
    <row r="992" spans="1:8" x14ac:dyDescent="0.25">
      <c r="A992">
        <v>977</v>
      </c>
      <c r="B992">
        <v>20</v>
      </c>
      <c r="C992">
        <v>20</v>
      </c>
      <c r="D992">
        <v>20</v>
      </c>
      <c r="E992">
        <v>40</v>
      </c>
      <c r="F992">
        <v>54.15</v>
      </c>
      <c r="G992">
        <v>1.95</v>
      </c>
      <c r="H992">
        <v>-0.2</v>
      </c>
    </row>
    <row r="993" spans="1:8" x14ac:dyDescent="0.25">
      <c r="A993">
        <v>978</v>
      </c>
      <c r="B993">
        <v>20</v>
      </c>
      <c r="C993">
        <v>40</v>
      </c>
      <c r="D993">
        <v>20</v>
      </c>
      <c r="E993">
        <v>40</v>
      </c>
      <c r="F993">
        <v>47.69</v>
      </c>
      <c r="G993">
        <v>11.79</v>
      </c>
      <c r="H993">
        <v>-1.77</v>
      </c>
    </row>
    <row r="994" spans="1:8" x14ac:dyDescent="0.25">
      <c r="A994">
        <v>979</v>
      </c>
      <c r="B994">
        <v>20</v>
      </c>
      <c r="C994">
        <v>70</v>
      </c>
      <c r="D994">
        <v>20</v>
      </c>
      <c r="E994">
        <v>40</v>
      </c>
      <c r="F994">
        <v>38.409999999999997</v>
      </c>
      <c r="G994">
        <v>28.33</v>
      </c>
      <c r="H994">
        <v>-2.88</v>
      </c>
    </row>
    <row r="995" spans="1:8" x14ac:dyDescent="0.25">
      <c r="A995">
        <v>980</v>
      </c>
      <c r="B995">
        <v>20</v>
      </c>
      <c r="C995">
        <v>100</v>
      </c>
      <c r="D995">
        <v>20</v>
      </c>
      <c r="E995">
        <v>40</v>
      </c>
      <c r="F995">
        <v>31.48</v>
      </c>
      <c r="G995">
        <v>42.27</v>
      </c>
      <c r="H995">
        <v>-2.81</v>
      </c>
    </row>
    <row r="996" spans="1:8" x14ac:dyDescent="0.25">
      <c r="A996">
        <v>981</v>
      </c>
      <c r="B996">
        <v>40</v>
      </c>
      <c r="C996">
        <v>0</v>
      </c>
      <c r="D996">
        <v>20</v>
      </c>
      <c r="E996">
        <v>40</v>
      </c>
      <c r="F996">
        <v>55.41</v>
      </c>
      <c r="G996">
        <v>-12.58</v>
      </c>
      <c r="H996">
        <v>-4.92</v>
      </c>
    </row>
    <row r="997" spans="1:8" x14ac:dyDescent="0.25">
      <c r="A997">
        <v>982</v>
      </c>
      <c r="B997">
        <v>40</v>
      </c>
      <c r="C997">
        <v>20</v>
      </c>
      <c r="D997">
        <v>20</v>
      </c>
      <c r="E997">
        <v>40</v>
      </c>
      <c r="F997">
        <v>49.3</v>
      </c>
      <c r="G997">
        <v>-3.88</v>
      </c>
      <c r="H997">
        <v>-6.57</v>
      </c>
    </row>
    <row r="998" spans="1:8" x14ac:dyDescent="0.25">
      <c r="A998">
        <v>983</v>
      </c>
      <c r="B998">
        <v>40</v>
      </c>
      <c r="C998">
        <v>40</v>
      </c>
      <c r="D998">
        <v>20</v>
      </c>
      <c r="E998">
        <v>40</v>
      </c>
      <c r="F998">
        <v>43.41</v>
      </c>
      <c r="G998">
        <v>5.56</v>
      </c>
      <c r="H998">
        <v>-7.96</v>
      </c>
    </row>
    <row r="999" spans="1:8" x14ac:dyDescent="0.25">
      <c r="A999">
        <v>984</v>
      </c>
      <c r="B999">
        <v>40</v>
      </c>
      <c r="C999">
        <v>70</v>
      </c>
      <c r="D999">
        <v>20</v>
      </c>
      <c r="E999">
        <v>40</v>
      </c>
      <c r="F999">
        <v>34.78</v>
      </c>
      <c r="G999">
        <v>21.17</v>
      </c>
      <c r="H999">
        <v>-8.99</v>
      </c>
    </row>
    <row r="1000" spans="1:8" x14ac:dyDescent="0.25">
      <c r="A1000">
        <v>985</v>
      </c>
      <c r="B1000">
        <v>40</v>
      </c>
      <c r="C1000">
        <v>100</v>
      </c>
      <c r="D1000">
        <v>20</v>
      </c>
      <c r="E1000">
        <v>40</v>
      </c>
      <c r="F1000">
        <v>28.31</v>
      </c>
      <c r="G1000">
        <v>34.380000000000003</v>
      </c>
      <c r="H1000">
        <v>-8.6999999999999993</v>
      </c>
    </row>
    <row r="1001" spans="1:8" x14ac:dyDescent="0.25">
      <c r="A1001">
        <v>986</v>
      </c>
      <c r="B1001">
        <v>70</v>
      </c>
      <c r="C1001">
        <v>0</v>
      </c>
      <c r="D1001">
        <v>20</v>
      </c>
      <c r="E1001">
        <v>40</v>
      </c>
      <c r="F1001">
        <v>47.01</v>
      </c>
      <c r="G1001">
        <v>-22.77</v>
      </c>
      <c r="H1001">
        <v>-15.51</v>
      </c>
    </row>
    <row r="1002" spans="1:8" x14ac:dyDescent="0.25">
      <c r="A1002">
        <v>987</v>
      </c>
      <c r="B1002">
        <v>70</v>
      </c>
      <c r="C1002">
        <v>20</v>
      </c>
      <c r="D1002">
        <v>20</v>
      </c>
      <c r="E1002">
        <v>40</v>
      </c>
      <c r="F1002">
        <v>42.1</v>
      </c>
      <c r="G1002">
        <v>-13.93</v>
      </c>
      <c r="H1002">
        <v>-16.079999999999998</v>
      </c>
    </row>
    <row r="1003" spans="1:8" x14ac:dyDescent="0.25">
      <c r="A1003">
        <v>988</v>
      </c>
      <c r="B1003">
        <v>70</v>
      </c>
      <c r="C1003">
        <v>40</v>
      </c>
      <c r="D1003">
        <v>20</v>
      </c>
      <c r="E1003">
        <v>40</v>
      </c>
      <c r="F1003">
        <v>37.04</v>
      </c>
      <c r="G1003">
        <v>-4.82</v>
      </c>
      <c r="H1003">
        <v>-17.02</v>
      </c>
    </row>
    <row r="1004" spans="1:8" x14ac:dyDescent="0.25">
      <c r="A1004">
        <v>989</v>
      </c>
      <c r="B1004">
        <v>70</v>
      </c>
      <c r="C1004">
        <v>70</v>
      </c>
      <c r="D1004">
        <v>20</v>
      </c>
      <c r="E1004">
        <v>40</v>
      </c>
      <c r="F1004">
        <v>29.49</v>
      </c>
      <c r="G1004">
        <v>9.7899999999999991</v>
      </c>
      <c r="H1004">
        <v>-17.579999999999998</v>
      </c>
    </row>
    <row r="1005" spans="1:8" x14ac:dyDescent="0.25">
      <c r="A1005">
        <v>990</v>
      </c>
      <c r="B1005">
        <v>70</v>
      </c>
      <c r="C1005">
        <v>100</v>
      </c>
      <c r="D1005">
        <v>20</v>
      </c>
      <c r="E1005">
        <v>40</v>
      </c>
      <c r="F1005">
        <v>23.82</v>
      </c>
      <c r="G1005">
        <v>21.81</v>
      </c>
      <c r="H1005">
        <v>-17.32</v>
      </c>
    </row>
    <row r="1006" spans="1:8" x14ac:dyDescent="0.25">
      <c r="A1006">
        <v>991</v>
      </c>
      <c r="B1006">
        <v>100</v>
      </c>
      <c r="C1006">
        <v>0</v>
      </c>
      <c r="D1006">
        <v>20</v>
      </c>
      <c r="E1006">
        <v>40</v>
      </c>
      <c r="F1006">
        <v>39.9</v>
      </c>
      <c r="G1006">
        <v>-33</v>
      </c>
      <c r="H1006">
        <v>-24.49</v>
      </c>
    </row>
    <row r="1007" spans="1:8" x14ac:dyDescent="0.25">
      <c r="A1007">
        <v>992</v>
      </c>
      <c r="B1007">
        <v>100</v>
      </c>
      <c r="C1007">
        <v>20</v>
      </c>
      <c r="D1007">
        <v>20</v>
      </c>
      <c r="E1007">
        <v>40</v>
      </c>
      <c r="F1007">
        <v>35.68</v>
      </c>
      <c r="G1007">
        <v>-24.41</v>
      </c>
      <c r="H1007">
        <v>-24.68</v>
      </c>
    </row>
    <row r="1008" spans="1:8" x14ac:dyDescent="0.25">
      <c r="A1008">
        <v>993</v>
      </c>
      <c r="B1008">
        <v>100</v>
      </c>
      <c r="C1008">
        <v>40</v>
      </c>
      <c r="D1008">
        <v>20</v>
      </c>
      <c r="E1008">
        <v>40</v>
      </c>
      <c r="F1008">
        <v>31.3</v>
      </c>
      <c r="G1008">
        <v>-15.37</v>
      </c>
      <c r="H1008">
        <v>-24.89</v>
      </c>
    </row>
    <row r="1009" spans="1:8" x14ac:dyDescent="0.25">
      <c r="A1009">
        <v>994</v>
      </c>
      <c r="B1009">
        <v>100</v>
      </c>
      <c r="C1009">
        <v>70</v>
      </c>
      <c r="D1009">
        <v>20</v>
      </c>
      <c r="E1009">
        <v>40</v>
      </c>
      <c r="F1009">
        <v>24.92</v>
      </c>
      <c r="G1009">
        <v>-1.49</v>
      </c>
      <c r="H1009">
        <v>-24.76</v>
      </c>
    </row>
    <row r="1010" spans="1:8" x14ac:dyDescent="0.25">
      <c r="A1010">
        <v>995</v>
      </c>
      <c r="B1010">
        <v>100</v>
      </c>
      <c r="C1010">
        <v>100</v>
      </c>
      <c r="D1010">
        <v>20</v>
      </c>
      <c r="E1010">
        <v>40</v>
      </c>
      <c r="F1010">
        <v>20.059999999999999</v>
      </c>
      <c r="G1010">
        <v>9.81</v>
      </c>
      <c r="H1010">
        <v>-24.46</v>
      </c>
    </row>
    <row r="1011" spans="1:8" x14ac:dyDescent="0.25">
      <c r="A1011">
        <v>996</v>
      </c>
      <c r="B1011">
        <v>0</v>
      </c>
      <c r="C1011">
        <v>0</v>
      </c>
      <c r="D1011">
        <v>40</v>
      </c>
      <c r="E1011">
        <v>40</v>
      </c>
      <c r="F1011">
        <v>65.180000000000007</v>
      </c>
      <c r="G1011">
        <v>-2.54</v>
      </c>
      <c r="H1011">
        <v>21.64</v>
      </c>
    </row>
    <row r="1012" spans="1:8" x14ac:dyDescent="0.25">
      <c r="A1012">
        <v>997</v>
      </c>
      <c r="B1012">
        <v>0</v>
      </c>
      <c r="C1012">
        <v>20</v>
      </c>
      <c r="D1012">
        <v>40</v>
      </c>
      <c r="E1012">
        <v>40</v>
      </c>
      <c r="F1012">
        <v>58.66</v>
      </c>
      <c r="G1012">
        <v>7.09</v>
      </c>
      <c r="H1012">
        <v>18.260000000000002</v>
      </c>
    </row>
    <row r="1013" spans="1:8" x14ac:dyDescent="0.25">
      <c r="A1013">
        <v>998</v>
      </c>
      <c r="B1013">
        <v>0</v>
      </c>
      <c r="C1013">
        <v>40</v>
      </c>
      <c r="D1013">
        <v>40</v>
      </c>
      <c r="E1013">
        <v>40</v>
      </c>
      <c r="F1013">
        <v>52.3</v>
      </c>
      <c r="G1013">
        <v>16.920000000000002</v>
      </c>
      <c r="H1013">
        <v>15.33</v>
      </c>
    </row>
    <row r="1014" spans="1:8" x14ac:dyDescent="0.25">
      <c r="A1014">
        <v>999</v>
      </c>
      <c r="B1014">
        <v>0</v>
      </c>
      <c r="C1014">
        <v>70</v>
      </c>
      <c r="D1014">
        <v>40</v>
      </c>
      <c r="E1014">
        <v>40</v>
      </c>
      <c r="F1014">
        <v>42.56</v>
      </c>
      <c r="G1014">
        <v>33.89</v>
      </c>
      <c r="H1014">
        <v>12.27</v>
      </c>
    </row>
    <row r="1015" spans="1:8" x14ac:dyDescent="0.25">
      <c r="A1015">
        <v>1000</v>
      </c>
      <c r="B1015">
        <v>0</v>
      </c>
      <c r="C1015">
        <v>100</v>
      </c>
      <c r="D1015">
        <v>40</v>
      </c>
      <c r="E1015">
        <v>40</v>
      </c>
      <c r="F1015">
        <v>34.82</v>
      </c>
      <c r="G1015">
        <v>49.2</v>
      </c>
      <c r="H1015">
        <v>11.03</v>
      </c>
    </row>
    <row r="1016" spans="1:8" x14ac:dyDescent="0.25">
      <c r="A1016">
        <v>1001</v>
      </c>
      <c r="B1016">
        <v>20</v>
      </c>
      <c r="C1016">
        <v>0</v>
      </c>
      <c r="D1016">
        <v>40</v>
      </c>
      <c r="E1016">
        <v>40</v>
      </c>
      <c r="F1016">
        <v>59.92</v>
      </c>
      <c r="G1016">
        <v>-8.75</v>
      </c>
      <c r="H1016">
        <v>14.09</v>
      </c>
    </row>
    <row r="1017" spans="1:8" x14ac:dyDescent="0.25">
      <c r="A1017">
        <v>1002</v>
      </c>
      <c r="B1017">
        <v>20</v>
      </c>
      <c r="C1017">
        <v>20</v>
      </c>
      <c r="D1017">
        <v>40</v>
      </c>
      <c r="E1017">
        <v>40</v>
      </c>
      <c r="F1017">
        <v>53.3</v>
      </c>
      <c r="G1017">
        <v>0.12</v>
      </c>
      <c r="H1017">
        <v>10.74</v>
      </c>
    </row>
    <row r="1018" spans="1:8" x14ac:dyDescent="0.25">
      <c r="A1018">
        <v>1003</v>
      </c>
      <c r="B1018">
        <v>20</v>
      </c>
      <c r="C1018">
        <v>40</v>
      </c>
      <c r="D1018">
        <v>40</v>
      </c>
      <c r="E1018">
        <v>40</v>
      </c>
      <c r="F1018">
        <v>47.11</v>
      </c>
      <c r="G1018">
        <v>10.039999999999999</v>
      </c>
      <c r="H1018">
        <v>7.95</v>
      </c>
    </row>
    <row r="1019" spans="1:8" x14ac:dyDescent="0.25">
      <c r="A1019">
        <v>1004</v>
      </c>
      <c r="B1019">
        <v>20</v>
      </c>
      <c r="C1019">
        <v>70</v>
      </c>
      <c r="D1019">
        <v>40</v>
      </c>
      <c r="E1019">
        <v>40</v>
      </c>
      <c r="F1019">
        <v>38.06</v>
      </c>
      <c r="G1019">
        <v>26.49</v>
      </c>
      <c r="H1019">
        <v>5.14</v>
      </c>
    </row>
    <row r="1020" spans="1:8" x14ac:dyDescent="0.25">
      <c r="A1020">
        <v>1005</v>
      </c>
      <c r="B1020">
        <v>20</v>
      </c>
      <c r="C1020">
        <v>100</v>
      </c>
      <c r="D1020">
        <v>40</v>
      </c>
      <c r="E1020">
        <v>40</v>
      </c>
      <c r="F1020">
        <v>31.31</v>
      </c>
      <c r="G1020">
        <v>40.479999999999997</v>
      </c>
      <c r="H1020">
        <v>4.21</v>
      </c>
    </row>
    <row r="1021" spans="1:8" x14ac:dyDescent="0.25">
      <c r="A1021">
        <v>1006</v>
      </c>
      <c r="B1021">
        <v>40</v>
      </c>
      <c r="C1021">
        <v>0</v>
      </c>
      <c r="D1021">
        <v>40</v>
      </c>
      <c r="E1021">
        <v>40</v>
      </c>
      <c r="F1021">
        <v>54.64</v>
      </c>
      <c r="G1021">
        <v>-15.11</v>
      </c>
      <c r="H1021">
        <v>6.76</v>
      </c>
    </row>
    <row r="1022" spans="1:8" x14ac:dyDescent="0.25">
      <c r="A1022">
        <v>1007</v>
      </c>
      <c r="B1022">
        <v>40</v>
      </c>
      <c r="C1022">
        <v>20</v>
      </c>
      <c r="D1022">
        <v>40</v>
      </c>
      <c r="E1022">
        <v>40</v>
      </c>
      <c r="F1022">
        <v>48.62</v>
      </c>
      <c r="G1022">
        <v>-6.32</v>
      </c>
      <c r="H1022">
        <v>3.98</v>
      </c>
    </row>
    <row r="1023" spans="1:8" x14ac:dyDescent="0.25">
      <c r="A1023">
        <v>1008</v>
      </c>
      <c r="B1023">
        <v>40</v>
      </c>
      <c r="C1023">
        <v>40</v>
      </c>
      <c r="D1023">
        <v>40</v>
      </c>
      <c r="E1023">
        <v>40</v>
      </c>
      <c r="F1023">
        <v>42.84</v>
      </c>
      <c r="G1023">
        <v>3.18</v>
      </c>
      <c r="H1023">
        <v>1.27</v>
      </c>
    </row>
    <row r="1024" spans="1:8" x14ac:dyDescent="0.25">
      <c r="A1024">
        <v>1009</v>
      </c>
      <c r="B1024">
        <v>40</v>
      </c>
      <c r="C1024">
        <v>70</v>
      </c>
      <c r="D1024">
        <v>40</v>
      </c>
      <c r="E1024">
        <v>40</v>
      </c>
      <c r="F1024">
        <v>34.31</v>
      </c>
      <c r="G1024">
        <v>19.09</v>
      </c>
      <c r="H1024">
        <v>-1.22</v>
      </c>
    </row>
    <row r="1025" spans="1:8" x14ac:dyDescent="0.25">
      <c r="A1025">
        <v>1010</v>
      </c>
      <c r="B1025">
        <v>40</v>
      </c>
      <c r="C1025">
        <v>100</v>
      </c>
      <c r="D1025">
        <v>40</v>
      </c>
      <c r="E1025">
        <v>40</v>
      </c>
      <c r="F1025">
        <v>28.1</v>
      </c>
      <c r="G1025">
        <v>32.130000000000003</v>
      </c>
      <c r="H1025">
        <v>-2.0499999999999998</v>
      </c>
    </row>
    <row r="1026" spans="1:8" x14ac:dyDescent="0.25">
      <c r="A1026">
        <v>1011</v>
      </c>
      <c r="B1026">
        <v>70</v>
      </c>
      <c r="C1026">
        <v>0</v>
      </c>
      <c r="D1026">
        <v>40</v>
      </c>
      <c r="E1026">
        <v>40</v>
      </c>
      <c r="F1026">
        <v>46.46</v>
      </c>
      <c r="G1026">
        <v>-26.27</v>
      </c>
      <c r="H1026">
        <v>-4.2699999999999996</v>
      </c>
    </row>
    <row r="1027" spans="1:8" x14ac:dyDescent="0.25">
      <c r="A1027">
        <v>1012</v>
      </c>
      <c r="B1027">
        <v>70</v>
      </c>
      <c r="C1027">
        <v>20</v>
      </c>
      <c r="D1027">
        <v>40</v>
      </c>
      <c r="E1027">
        <v>40</v>
      </c>
      <c r="F1027">
        <v>41.55</v>
      </c>
      <c r="G1027">
        <v>-17.27</v>
      </c>
      <c r="H1027">
        <v>-6.16</v>
      </c>
    </row>
    <row r="1028" spans="1:8" x14ac:dyDescent="0.25">
      <c r="A1028">
        <v>1013</v>
      </c>
      <c r="B1028">
        <v>70</v>
      </c>
      <c r="C1028">
        <v>40</v>
      </c>
      <c r="D1028">
        <v>40</v>
      </c>
      <c r="E1028">
        <v>40</v>
      </c>
      <c r="F1028">
        <v>36.5</v>
      </c>
      <c r="G1028">
        <v>-7.84</v>
      </c>
      <c r="H1028">
        <v>-7.98</v>
      </c>
    </row>
    <row r="1029" spans="1:8" x14ac:dyDescent="0.25">
      <c r="A1029">
        <v>1014</v>
      </c>
      <c r="B1029">
        <v>70</v>
      </c>
      <c r="C1029">
        <v>70</v>
      </c>
      <c r="D1029">
        <v>40</v>
      </c>
      <c r="E1029">
        <v>40</v>
      </c>
      <c r="F1029">
        <v>29.21</v>
      </c>
      <c r="G1029">
        <v>7.01</v>
      </c>
      <c r="H1029">
        <v>-9.89</v>
      </c>
    </row>
    <row r="1030" spans="1:8" x14ac:dyDescent="0.25">
      <c r="A1030">
        <v>1015</v>
      </c>
      <c r="B1030">
        <v>70</v>
      </c>
      <c r="C1030">
        <v>100</v>
      </c>
      <c r="D1030">
        <v>40</v>
      </c>
      <c r="E1030">
        <v>40</v>
      </c>
      <c r="F1030">
        <v>23.59</v>
      </c>
      <c r="G1030">
        <v>19.34</v>
      </c>
      <c r="H1030">
        <v>-10.76</v>
      </c>
    </row>
    <row r="1031" spans="1:8" x14ac:dyDescent="0.25">
      <c r="A1031">
        <v>1016</v>
      </c>
      <c r="B1031">
        <v>100</v>
      </c>
      <c r="C1031">
        <v>0</v>
      </c>
      <c r="D1031">
        <v>40</v>
      </c>
      <c r="E1031">
        <v>40</v>
      </c>
      <c r="F1031">
        <v>39.26</v>
      </c>
      <c r="G1031">
        <v>-37.340000000000003</v>
      </c>
      <c r="H1031">
        <v>-13.75</v>
      </c>
    </row>
    <row r="1032" spans="1:8" x14ac:dyDescent="0.25">
      <c r="A1032">
        <v>1017</v>
      </c>
      <c r="B1032">
        <v>100</v>
      </c>
      <c r="C1032">
        <v>20</v>
      </c>
      <c r="D1032">
        <v>40</v>
      </c>
      <c r="E1032">
        <v>40</v>
      </c>
      <c r="F1032">
        <v>35.06</v>
      </c>
      <c r="G1032">
        <v>-28.37</v>
      </c>
      <c r="H1032">
        <v>-14.93</v>
      </c>
    </row>
    <row r="1033" spans="1:8" x14ac:dyDescent="0.25">
      <c r="A1033">
        <v>1018</v>
      </c>
      <c r="B1033">
        <v>100</v>
      </c>
      <c r="C1033">
        <v>40</v>
      </c>
      <c r="D1033">
        <v>40</v>
      </c>
      <c r="E1033">
        <v>40</v>
      </c>
      <c r="F1033">
        <v>30.83</v>
      </c>
      <c r="G1033">
        <v>-19.02</v>
      </c>
      <c r="H1033">
        <v>-16.09</v>
      </c>
    </row>
    <row r="1034" spans="1:8" x14ac:dyDescent="0.25">
      <c r="A1034">
        <v>1019</v>
      </c>
      <c r="B1034">
        <v>100</v>
      </c>
      <c r="C1034">
        <v>70</v>
      </c>
      <c r="D1034">
        <v>40</v>
      </c>
      <c r="E1034">
        <v>40</v>
      </c>
      <c r="F1034">
        <v>24.49</v>
      </c>
      <c r="G1034">
        <v>-4.4800000000000004</v>
      </c>
      <c r="H1034">
        <v>-17.41</v>
      </c>
    </row>
    <row r="1035" spans="1:8" x14ac:dyDescent="0.25">
      <c r="A1035">
        <v>1020</v>
      </c>
      <c r="B1035">
        <v>100</v>
      </c>
      <c r="C1035">
        <v>100</v>
      </c>
      <c r="D1035">
        <v>40</v>
      </c>
      <c r="E1035">
        <v>40</v>
      </c>
      <c r="F1035">
        <v>19.739999999999998</v>
      </c>
      <c r="G1035">
        <v>6.86</v>
      </c>
      <c r="H1035">
        <v>-17.989999999999998</v>
      </c>
    </row>
    <row r="1036" spans="1:8" x14ac:dyDescent="0.25">
      <c r="A1036">
        <v>1021</v>
      </c>
      <c r="B1036">
        <v>0</v>
      </c>
      <c r="C1036">
        <v>0</v>
      </c>
      <c r="D1036">
        <v>70</v>
      </c>
      <c r="E1036">
        <v>40</v>
      </c>
      <c r="F1036">
        <v>63.77</v>
      </c>
      <c r="G1036">
        <v>-4.0199999999999996</v>
      </c>
      <c r="H1036">
        <v>42.57</v>
      </c>
    </row>
    <row r="1037" spans="1:8" x14ac:dyDescent="0.25">
      <c r="A1037">
        <v>1022</v>
      </c>
      <c r="B1037">
        <v>0</v>
      </c>
      <c r="C1037">
        <v>20</v>
      </c>
      <c r="D1037">
        <v>70</v>
      </c>
      <c r="E1037">
        <v>40</v>
      </c>
      <c r="F1037">
        <v>57.56</v>
      </c>
      <c r="G1037">
        <v>5.65</v>
      </c>
      <c r="H1037">
        <v>37.39</v>
      </c>
    </row>
    <row r="1038" spans="1:8" x14ac:dyDescent="0.25">
      <c r="A1038">
        <v>1023</v>
      </c>
      <c r="B1038">
        <v>0</v>
      </c>
      <c r="C1038">
        <v>40</v>
      </c>
      <c r="D1038">
        <v>70</v>
      </c>
      <c r="E1038">
        <v>40</v>
      </c>
      <c r="F1038">
        <v>51.44</v>
      </c>
      <c r="G1038">
        <v>15.64</v>
      </c>
      <c r="H1038">
        <v>32.630000000000003</v>
      </c>
    </row>
    <row r="1039" spans="1:8" x14ac:dyDescent="0.25">
      <c r="A1039">
        <v>1024</v>
      </c>
      <c r="B1039">
        <v>0</v>
      </c>
      <c r="C1039">
        <v>70</v>
      </c>
      <c r="D1039">
        <v>70</v>
      </c>
      <c r="E1039">
        <v>40</v>
      </c>
      <c r="F1039">
        <v>42.09</v>
      </c>
      <c r="G1039">
        <v>32.22</v>
      </c>
      <c r="H1039">
        <v>26.11</v>
      </c>
    </row>
    <row r="1040" spans="1:8" x14ac:dyDescent="0.25">
      <c r="A1040">
        <v>1025</v>
      </c>
      <c r="B1040">
        <v>0</v>
      </c>
      <c r="C1040">
        <v>100</v>
      </c>
      <c r="D1040">
        <v>70</v>
      </c>
      <c r="E1040">
        <v>40</v>
      </c>
      <c r="F1040">
        <v>34.659999999999997</v>
      </c>
      <c r="G1040">
        <v>47.17</v>
      </c>
      <c r="H1040">
        <v>21.98</v>
      </c>
    </row>
    <row r="1041" spans="1:8" x14ac:dyDescent="0.25">
      <c r="A1041">
        <v>1026</v>
      </c>
      <c r="B1041">
        <v>20</v>
      </c>
      <c r="C1041">
        <v>0</v>
      </c>
      <c r="D1041">
        <v>70</v>
      </c>
      <c r="E1041">
        <v>40</v>
      </c>
      <c r="F1041">
        <v>58.58</v>
      </c>
      <c r="G1041">
        <v>-11</v>
      </c>
      <c r="H1041">
        <v>34.159999999999997</v>
      </c>
    </row>
    <row r="1042" spans="1:8" x14ac:dyDescent="0.25">
      <c r="A1042">
        <v>1027</v>
      </c>
      <c r="B1042">
        <v>20</v>
      </c>
      <c r="C1042">
        <v>20</v>
      </c>
      <c r="D1042">
        <v>70</v>
      </c>
      <c r="E1042">
        <v>40</v>
      </c>
      <c r="F1042">
        <v>52.31</v>
      </c>
      <c r="G1042">
        <v>-1.91</v>
      </c>
      <c r="H1042">
        <v>29.27</v>
      </c>
    </row>
    <row r="1043" spans="1:8" x14ac:dyDescent="0.25">
      <c r="A1043">
        <v>1028</v>
      </c>
      <c r="B1043">
        <v>20</v>
      </c>
      <c r="C1043">
        <v>40</v>
      </c>
      <c r="D1043">
        <v>70</v>
      </c>
      <c r="E1043">
        <v>40</v>
      </c>
      <c r="F1043">
        <v>46.35</v>
      </c>
      <c r="G1043">
        <v>8.0299999999999994</v>
      </c>
      <c r="H1043">
        <v>24.57</v>
      </c>
    </row>
    <row r="1044" spans="1:8" x14ac:dyDescent="0.25">
      <c r="A1044">
        <v>1029</v>
      </c>
      <c r="B1044">
        <v>20</v>
      </c>
      <c r="C1044">
        <v>70</v>
      </c>
      <c r="D1044">
        <v>70</v>
      </c>
      <c r="E1044">
        <v>40</v>
      </c>
      <c r="F1044">
        <v>37.450000000000003</v>
      </c>
      <c r="G1044">
        <v>24.23</v>
      </c>
      <c r="H1044">
        <v>18.39</v>
      </c>
    </row>
    <row r="1045" spans="1:8" x14ac:dyDescent="0.25">
      <c r="A1045">
        <v>1030</v>
      </c>
      <c r="B1045">
        <v>20</v>
      </c>
      <c r="C1045">
        <v>100</v>
      </c>
      <c r="D1045">
        <v>70</v>
      </c>
      <c r="E1045">
        <v>40</v>
      </c>
      <c r="F1045">
        <v>30.97</v>
      </c>
      <c r="G1045">
        <v>38.06</v>
      </c>
      <c r="H1045">
        <v>14.87</v>
      </c>
    </row>
    <row r="1046" spans="1:8" x14ac:dyDescent="0.25">
      <c r="A1046">
        <v>1031</v>
      </c>
      <c r="B1046">
        <v>40</v>
      </c>
      <c r="C1046">
        <v>0</v>
      </c>
      <c r="D1046">
        <v>70</v>
      </c>
      <c r="E1046">
        <v>40</v>
      </c>
      <c r="F1046">
        <v>53.56</v>
      </c>
      <c r="G1046">
        <v>-18.27</v>
      </c>
      <c r="H1046">
        <v>26.13</v>
      </c>
    </row>
    <row r="1047" spans="1:8" x14ac:dyDescent="0.25">
      <c r="A1047">
        <v>1032</v>
      </c>
      <c r="B1047">
        <v>40</v>
      </c>
      <c r="C1047">
        <v>20</v>
      </c>
      <c r="D1047">
        <v>70</v>
      </c>
      <c r="E1047">
        <v>40</v>
      </c>
      <c r="F1047">
        <v>47.67</v>
      </c>
      <c r="G1047">
        <v>-9.09</v>
      </c>
      <c r="H1047">
        <v>21.66</v>
      </c>
    </row>
    <row r="1048" spans="1:8" x14ac:dyDescent="0.25">
      <c r="A1048">
        <v>1033</v>
      </c>
      <c r="B1048">
        <v>40</v>
      </c>
      <c r="C1048">
        <v>40</v>
      </c>
      <c r="D1048">
        <v>70</v>
      </c>
      <c r="E1048">
        <v>40</v>
      </c>
      <c r="F1048">
        <v>41.99</v>
      </c>
      <c r="G1048">
        <v>0.61</v>
      </c>
      <c r="H1048">
        <v>17.32</v>
      </c>
    </row>
    <row r="1049" spans="1:8" x14ac:dyDescent="0.25">
      <c r="A1049">
        <v>1034</v>
      </c>
      <c r="B1049">
        <v>40</v>
      </c>
      <c r="C1049">
        <v>70</v>
      </c>
      <c r="D1049">
        <v>70</v>
      </c>
      <c r="E1049">
        <v>40</v>
      </c>
      <c r="F1049">
        <v>33.69</v>
      </c>
      <c r="G1049">
        <v>16.440000000000001</v>
      </c>
      <c r="H1049">
        <v>11.66</v>
      </c>
    </row>
    <row r="1050" spans="1:8" x14ac:dyDescent="0.25">
      <c r="A1050">
        <v>1035</v>
      </c>
      <c r="B1050">
        <v>40</v>
      </c>
      <c r="C1050">
        <v>100</v>
      </c>
      <c r="D1050">
        <v>70</v>
      </c>
      <c r="E1050">
        <v>40</v>
      </c>
      <c r="F1050">
        <v>27.74</v>
      </c>
      <c r="G1050">
        <v>29.45</v>
      </c>
      <c r="H1050">
        <v>8.52</v>
      </c>
    </row>
    <row r="1051" spans="1:8" x14ac:dyDescent="0.25">
      <c r="A1051">
        <v>1036</v>
      </c>
      <c r="B1051">
        <v>70</v>
      </c>
      <c r="C1051">
        <v>0</v>
      </c>
      <c r="D1051">
        <v>70</v>
      </c>
      <c r="E1051">
        <v>40</v>
      </c>
      <c r="F1051">
        <v>45.56</v>
      </c>
      <c r="G1051">
        <v>-30.75</v>
      </c>
      <c r="H1051">
        <v>13.72</v>
      </c>
    </row>
    <row r="1052" spans="1:8" x14ac:dyDescent="0.25">
      <c r="A1052">
        <v>1037</v>
      </c>
      <c r="B1052">
        <v>70</v>
      </c>
      <c r="C1052">
        <v>20</v>
      </c>
      <c r="D1052">
        <v>70</v>
      </c>
      <c r="E1052">
        <v>40</v>
      </c>
      <c r="F1052">
        <v>40.65</v>
      </c>
      <c r="G1052">
        <v>-21.17</v>
      </c>
      <c r="H1052">
        <v>10.48</v>
      </c>
    </row>
    <row r="1053" spans="1:8" x14ac:dyDescent="0.25">
      <c r="A1053">
        <v>1038</v>
      </c>
      <c r="B1053">
        <v>70</v>
      </c>
      <c r="C1053">
        <v>40</v>
      </c>
      <c r="D1053">
        <v>70</v>
      </c>
      <c r="E1053">
        <v>40</v>
      </c>
      <c r="F1053">
        <v>35.729999999999997</v>
      </c>
      <c r="G1053">
        <v>-11.43</v>
      </c>
      <c r="H1053">
        <v>6.88</v>
      </c>
    </row>
    <row r="1054" spans="1:8" x14ac:dyDescent="0.25">
      <c r="A1054">
        <v>1039</v>
      </c>
      <c r="B1054">
        <v>70</v>
      </c>
      <c r="C1054">
        <v>70</v>
      </c>
      <c r="D1054">
        <v>70</v>
      </c>
      <c r="E1054">
        <v>40</v>
      </c>
      <c r="F1054">
        <v>28.48</v>
      </c>
      <c r="G1054">
        <v>3.98</v>
      </c>
      <c r="H1054">
        <v>2.34</v>
      </c>
    </row>
    <row r="1055" spans="1:8" x14ac:dyDescent="0.25">
      <c r="A1055">
        <v>1040</v>
      </c>
      <c r="B1055">
        <v>70</v>
      </c>
      <c r="C1055">
        <v>100</v>
      </c>
      <c r="D1055">
        <v>70</v>
      </c>
      <c r="E1055">
        <v>40</v>
      </c>
      <c r="F1055">
        <v>23.1</v>
      </c>
      <c r="G1055">
        <v>16</v>
      </c>
      <c r="H1055">
        <v>-0.61</v>
      </c>
    </row>
    <row r="1056" spans="1:8" x14ac:dyDescent="0.25">
      <c r="A1056">
        <v>1041</v>
      </c>
      <c r="B1056">
        <v>100</v>
      </c>
      <c r="C1056">
        <v>0</v>
      </c>
      <c r="D1056">
        <v>70</v>
      </c>
      <c r="E1056">
        <v>40</v>
      </c>
      <c r="F1056">
        <v>38.49</v>
      </c>
      <c r="G1056">
        <v>-43.3</v>
      </c>
      <c r="H1056">
        <v>3.14</v>
      </c>
    </row>
    <row r="1057" spans="1:8" x14ac:dyDescent="0.25">
      <c r="A1057">
        <v>1042</v>
      </c>
      <c r="B1057">
        <v>100</v>
      </c>
      <c r="C1057">
        <v>20</v>
      </c>
      <c r="D1057">
        <v>70</v>
      </c>
      <c r="E1057">
        <v>40</v>
      </c>
      <c r="F1057">
        <v>34.35</v>
      </c>
      <c r="G1057">
        <v>-33.71</v>
      </c>
      <c r="H1057">
        <v>0.65</v>
      </c>
    </row>
    <row r="1058" spans="1:8" x14ac:dyDescent="0.25">
      <c r="A1058">
        <v>1043</v>
      </c>
      <c r="B1058">
        <v>100</v>
      </c>
      <c r="C1058">
        <v>40</v>
      </c>
      <c r="D1058">
        <v>70</v>
      </c>
      <c r="E1058">
        <v>40</v>
      </c>
      <c r="F1058">
        <v>30.2</v>
      </c>
      <c r="G1058">
        <v>-24.04</v>
      </c>
      <c r="H1058">
        <v>-1.92</v>
      </c>
    </row>
    <row r="1059" spans="1:8" x14ac:dyDescent="0.25">
      <c r="A1059">
        <v>1044</v>
      </c>
      <c r="B1059">
        <v>100</v>
      </c>
      <c r="C1059">
        <v>70</v>
      </c>
      <c r="D1059">
        <v>70</v>
      </c>
      <c r="E1059">
        <v>40</v>
      </c>
      <c r="F1059">
        <v>23.97</v>
      </c>
      <c r="G1059">
        <v>-9.08</v>
      </c>
      <c r="H1059">
        <v>-5.7</v>
      </c>
    </row>
    <row r="1060" spans="1:8" x14ac:dyDescent="0.25">
      <c r="A1060">
        <v>1045</v>
      </c>
      <c r="B1060">
        <v>100</v>
      </c>
      <c r="C1060">
        <v>100</v>
      </c>
      <c r="D1060">
        <v>70</v>
      </c>
      <c r="E1060">
        <v>40</v>
      </c>
      <c r="F1060">
        <v>19.190000000000001</v>
      </c>
      <c r="G1060">
        <v>2.62</v>
      </c>
      <c r="H1060">
        <v>-8.02</v>
      </c>
    </row>
    <row r="1061" spans="1:8" x14ac:dyDescent="0.25">
      <c r="A1061">
        <v>1046</v>
      </c>
      <c r="B1061">
        <v>0</v>
      </c>
      <c r="C1061">
        <v>0</v>
      </c>
      <c r="D1061">
        <v>100</v>
      </c>
      <c r="E1061">
        <v>40</v>
      </c>
      <c r="F1061">
        <v>62.87</v>
      </c>
      <c r="G1061">
        <v>-4.63</v>
      </c>
      <c r="H1061">
        <v>63.27</v>
      </c>
    </row>
    <row r="1062" spans="1:8" x14ac:dyDescent="0.25">
      <c r="A1062">
        <v>1047</v>
      </c>
      <c r="B1062">
        <v>0</v>
      </c>
      <c r="C1062">
        <v>20</v>
      </c>
      <c r="D1062">
        <v>100</v>
      </c>
      <c r="E1062">
        <v>40</v>
      </c>
      <c r="F1062">
        <v>56.78</v>
      </c>
      <c r="G1062">
        <v>4.88</v>
      </c>
      <c r="H1062">
        <v>56.16</v>
      </c>
    </row>
    <row r="1063" spans="1:8" x14ac:dyDescent="0.25">
      <c r="A1063">
        <v>1048</v>
      </c>
      <c r="B1063">
        <v>0</v>
      </c>
      <c r="C1063">
        <v>40</v>
      </c>
      <c r="D1063">
        <v>100</v>
      </c>
      <c r="E1063">
        <v>40</v>
      </c>
      <c r="F1063">
        <v>50.64</v>
      </c>
      <c r="G1063">
        <v>15.02</v>
      </c>
      <c r="H1063">
        <v>49.41</v>
      </c>
    </row>
    <row r="1064" spans="1:8" x14ac:dyDescent="0.25">
      <c r="A1064">
        <v>1049</v>
      </c>
      <c r="B1064">
        <v>0</v>
      </c>
      <c r="C1064">
        <v>70</v>
      </c>
      <c r="D1064">
        <v>100</v>
      </c>
      <c r="E1064">
        <v>40</v>
      </c>
      <c r="F1064">
        <v>41.43</v>
      </c>
      <c r="G1064">
        <v>31.24</v>
      </c>
      <c r="H1064">
        <v>39.229999999999997</v>
      </c>
    </row>
    <row r="1065" spans="1:8" x14ac:dyDescent="0.25">
      <c r="A1065">
        <v>1050</v>
      </c>
      <c r="B1065">
        <v>0</v>
      </c>
      <c r="C1065">
        <v>100</v>
      </c>
      <c r="D1065">
        <v>100</v>
      </c>
      <c r="E1065">
        <v>40</v>
      </c>
      <c r="F1065">
        <v>34.119999999999997</v>
      </c>
      <c r="G1065">
        <v>45.71</v>
      </c>
      <c r="H1065">
        <v>31.75</v>
      </c>
    </row>
    <row r="1066" spans="1:8" x14ac:dyDescent="0.25">
      <c r="A1066">
        <v>1051</v>
      </c>
      <c r="B1066">
        <v>20</v>
      </c>
      <c r="C1066">
        <v>0</v>
      </c>
      <c r="D1066">
        <v>100</v>
      </c>
      <c r="E1066">
        <v>40</v>
      </c>
      <c r="F1066">
        <v>57.8</v>
      </c>
      <c r="G1066">
        <v>-11.85</v>
      </c>
      <c r="H1066">
        <v>53.93</v>
      </c>
    </row>
    <row r="1067" spans="1:8" x14ac:dyDescent="0.25">
      <c r="A1067">
        <v>1052</v>
      </c>
      <c r="B1067">
        <v>20</v>
      </c>
      <c r="C1067">
        <v>20</v>
      </c>
      <c r="D1067">
        <v>100</v>
      </c>
      <c r="E1067">
        <v>40</v>
      </c>
      <c r="F1067">
        <v>51.67</v>
      </c>
      <c r="G1067">
        <v>-2.89</v>
      </c>
      <c r="H1067">
        <v>46.74</v>
      </c>
    </row>
    <row r="1068" spans="1:8" x14ac:dyDescent="0.25">
      <c r="A1068">
        <v>1053</v>
      </c>
      <c r="B1068">
        <v>20</v>
      </c>
      <c r="C1068">
        <v>40</v>
      </c>
      <c r="D1068">
        <v>100</v>
      </c>
      <c r="E1068">
        <v>40</v>
      </c>
      <c r="F1068">
        <v>45.73</v>
      </c>
      <c r="G1068">
        <v>7.07</v>
      </c>
      <c r="H1068">
        <v>40.270000000000003</v>
      </c>
    </row>
    <row r="1069" spans="1:8" x14ac:dyDescent="0.25">
      <c r="A1069">
        <v>1054</v>
      </c>
      <c r="B1069">
        <v>20</v>
      </c>
      <c r="C1069">
        <v>70</v>
      </c>
      <c r="D1069">
        <v>100</v>
      </c>
      <c r="E1069">
        <v>40</v>
      </c>
      <c r="F1069">
        <v>37.07</v>
      </c>
      <c r="G1069">
        <v>23.29</v>
      </c>
      <c r="H1069">
        <v>30.93</v>
      </c>
    </row>
    <row r="1070" spans="1:8" x14ac:dyDescent="0.25">
      <c r="A1070">
        <v>1055</v>
      </c>
      <c r="B1070">
        <v>20</v>
      </c>
      <c r="C1070">
        <v>100</v>
      </c>
      <c r="D1070">
        <v>100</v>
      </c>
      <c r="E1070">
        <v>40</v>
      </c>
      <c r="F1070">
        <v>30.51</v>
      </c>
      <c r="G1070">
        <v>36.799999999999997</v>
      </c>
      <c r="H1070">
        <v>24.3</v>
      </c>
    </row>
    <row r="1071" spans="1:8" x14ac:dyDescent="0.25">
      <c r="A1071">
        <v>1056</v>
      </c>
      <c r="B1071">
        <v>40</v>
      </c>
      <c r="C1071">
        <v>0</v>
      </c>
      <c r="D1071">
        <v>100</v>
      </c>
      <c r="E1071">
        <v>40</v>
      </c>
      <c r="F1071">
        <v>52.64</v>
      </c>
      <c r="G1071">
        <v>-19.78</v>
      </c>
      <c r="H1071">
        <v>44.88</v>
      </c>
    </row>
    <row r="1072" spans="1:8" x14ac:dyDescent="0.25">
      <c r="A1072">
        <v>1057</v>
      </c>
      <c r="B1072">
        <v>40</v>
      </c>
      <c r="C1072">
        <v>20</v>
      </c>
      <c r="D1072">
        <v>100</v>
      </c>
      <c r="E1072">
        <v>40</v>
      </c>
      <c r="F1072">
        <v>46.93</v>
      </c>
      <c r="G1072">
        <v>-10.51</v>
      </c>
      <c r="H1072">
        <v>38.299999999999997</v>
      </c>
    </row>
    <row r="1073" spans="1:8" x14ac:dyDescent="0.25">
      <c r="A1073">
        <v>1058</v>
      </c>
      <c r="B1073">
        <v>40</v>
      </c>
      <c r="C1073">
        <v>40</v>
      </c>
      <c r="D1073">
        <v>100</v>
      </c>
      <c r="E1073">
        <v>40</v>
      </c>
      <c r="F1073">
        <v>41.32</v>
      </c>
      <c r="G1073">
        <v>-0.84</v>
      </c>
      <c r="H1073">
        <v>32.03</v>
      </c>
    </row>
    <row r="1074" spans="1:8" x14ac:dyDescent="0.25">
      <c r="A1074">
        <v>1059</v>
      </c>
      <c r="B1074">
        <v>40</v>
      </c>
      <c r="C1074">
        <v>70</v>
      </c>
      <c r="D1074">
        <v>100</v>
      </c>
      <c r="E1074">
        <v>40</v>
      </c>
      <c r="F1074">
        <v>33.14</v>
      </c>
      <c r="G1074">
        <v>14.93</v>
      </c>
      <c r="H1074">
        <v>23.35</v>
      </c>
    </row>
    <row r="1075" spans="1:8" x14ac:dyDescent="0.25">
      <c r="A1075">
        <v>1060</v>
      </c>
      <c r="B1075">
        <v>40</v>
      </c>
      <c r="C1075">
        <v>100</v>
      </c>
      <c r="D1075">
        <v>100</v>
      </c>
      <c r="E1075">
        <v>40</v>
      </c>
      <c r="F1075">
        <v>27.24</v>
      </c>
      <c r="G1075">
        <v>27.91</v>
      </c>
      <c r="H1075">
        <v>17.63</v>
      </c>
    </row>
    <row r="1076" spans="1:8" x14ac:dyDescent="0.25">
      <c r="A1076">
        <v>1061</v>
      </c>
      <c r="B1076">
        <v>70</v>
      </c>
      <c r="C1076">
        <v>0</v>
      </c>
      <c r="D1076">
        <v>100</v>
      </c>
      <c r="E1076">
        <v>40</v>
      </c>
      <c r="F1076">
        <v>44.75</v>
      </c>
      <c r="G1076">
        <v>-33.19</v>
      </c>
      <c r="H1076">
        <v>30.74</v>
      </c>
    </row>
    <row r="1077" spans="1:8" x14ac:dyDescent="0.25">
      <c r="A1077">
        <v>1062</v>
      </c>
      <c r="B1077">
        <v>70</v>
      </c>
      <c r="C1077">
        <v>20</v>
      </c>
      <c r="D1077">
        <v>100</v>
      </c>
      <c r="E1077">
        <v>40</v>
      </c>
      <c r="F1077">
        <v>39.94</v>
      </c>
      <c r="G1077">
        <v>-23.52</v>
      </c>
      <c r="H1077">
        <v>25.61</v>
      </c>
    </row>
    <row r="1078" spans="1:8" x14ac:dyDescent="0.25">
      <c r="A1078">
        <v>1063</v>
      </c>
      <c r="B1078">
        <v>70</v>
      </c>
      <c r="C1078">
        <v>40</v>
      </c>
      <c r="D1078">
        <v>100</v>
      </c>
      <c r="E1078">
        <v>40</v>
      </c>
      <c r="F1078">
        <v>35.1</v>
      </c>
      <c r="G1078">
        <v>-13.74</v>
      </c>
      <c r="H1078">
        <v>20.5</v>
      </c>
    </row>
    <row r="1079" spans="1:8" x14ac:dyDescent="0.25">
      <c r="A1079">
        <v>1064</v>
      </c>
      <c r="B1079">
        <v>70</v>
      </c>
      <c r="C1079">
        <v>70</v>
      </c>
      <c r="D1079">
        <v>100</v>
      </c>
      <c r="E1079">
        <v>40</v>
      </c>
      <c r="F1079">
        <v>27.86</v>
      </c>
      <c r="G1079">
        <v>1.65</v>
      </c>
      <c r="H1079">
        <v>13.07</v>
      </c>
    </row>
    <row r="1080" spans="1:8" x14ac:dyDescent="0.25">
      <c r="A1080">
        <v>1065</v>
      </c>
      <c r="B1080">
        <v>70</v>
      </c>
      <c r="C1080">
        <v>100</v>
      </c>
      <c r="D1080">
        <v>100</v>
      </c>
      <c r="E1080">
        <v>40</v>
      </c>
      <c r="F1080">
        <v>22.58</v>
      </c>
      <c r="G1080">
        <v>13.96</v>
      </c>
      <c r="H1080">
        <v>8.3000000000000007</v>
      </c>
    </row>
    <row r="1081" spans="1:8" x14ac:dyDescent="0.25">
      <c r="A1081">
        <v>1066</v>
      </c>
      <c r="B1081">
        <v>100</v>
      </c>
      <c r="C1081">
        <v>0</v>
      </c>
      <c r="D1081">
        <v>100</v>
      </c>
      <c r="E1081">
        <v>40</v>
      </c>
      <c r="F1081">
        <v>37.9</v>
      </c>
      <c r="G1081">
        <v>-46.57</v>
      </c>
      <c r="H1081">
        <v>18.61</v>
      </c>
    </row>
    <row r="1082" spans="1:8" x14ac:dyDescent="0.25">
      <c r="A1082">
        <v>1067</v>
      </c>
      <c r="B1082">
        <v>100</v>
      </c>
      <c r="C1082">
        <v>20</v>
      </c>
      <c r="D1082">
        <v>100</v>
      </c>
      <c r="E1082">
        <v>40</v>
      </c>
      <c r="F1082">
        <v>33.869999999999997</v>
      </c>
      <c r="G1082">
        <v>-37.08</v>
      </c>
      <c r="H1082">
        <v>14.66</v>
      </c>
    </row>
    <row r="1083" spans="1:8" x14ac:dyDescent="0.25">
      <c r="A1083">
        <v>1068</v>
      </c>
      <c r="B1083">
        <v>100</v>
      </c>
      <c r="C1083">
        <v>40</v>
      </c>
      <c r="D1083">
        <v>100</v>
      </c>
      <c r="E1083">
        <v>40</v>
      </c>
      <c r="F1083">
        <v>29.68</v>
      </c>
      <c r="G1083">
        <v>-27.18</v>
      </c>
      <c r="H1083">
        <v>10.63</v>
      </c>
    </row>
    <row r="1084" spans="1:8" x14ac:dyDescent="0.25">
      <c r="A1084">
        <v>1069</v>
      </c>
      <c r="B1084">
        <v>100</v>
      </c>
      <c r="C1084">
        <v>70</v>
      </c>
      <c r="D1084">
        <v>100</v>
      </c>
      <c r="E1084">
        <v>40</v>
      </c>
      <c r="F1084">
        <v>23.42</v>
      </c>
      <c r="G1084">
        <v>-12.02</v>
      </c>
      <c r="H1084">
        <v>4.71</v>
      </c>
    </row>
    <row r="1085" spans="1:8" x14ac:dyDescent="0.25">
      <c r="A1085">
        <v>1070</v>
      </c>
      <c r="B1085">
        <v>100</v>
      </c>
      <c r="C1085">
        <v>100</v>
      </c>
      <c r="D1085">
        <v>100</v>
      </c>
      <c r="E1085">
        <v>40</v>
      </c>
      <c r="F1085">
        <v>18.59</v>
      </c>
      <c r="G1085">
        <v>-0.16</v>
      </c>
      <c r="H1085">
        <v>0.48</v>
      </c>
    </row>
    <row r="1086" spans="1:8" x14ac:dyDescent="0.25">
      <c r="A1086">
        <v>1071</v>
      </c>
      <c r="B1086">
        <v>0</v>
      </c>
      <c r="C1086">
        <v>0</v>
      </c>
      <c r="D1086">
        <v>0</v>
      </c>
      <c r="E1086">
        <v>60</v>
      </c>
      <c r="F1086">
        <v>52.81</v>
      </c>
      <c r="G1086">
        <v>0.41</v>
      </c>
      <c r="H1086">
        <v>-2.21</v>
      </c>
    </row>
    <row r="1087" spans="1:8" x14ac:dyDescent="0.25">
      <c r="A1087">
        <v>1072</v>
      </c>
      <c r="B1087">
        <v>0</v>
      </c>
      <c r="C1087">
        <v>20</v>
      </c>
      <c r="D1087">
        <v>0</v>
      </c>
      <c r="E1087">
        <v>60</v>
      </c>
      <c r="F1087">
        <v>47.44</v>
      </c>
      <c r="G1087">
        <v>7.67</v>
      </c>
      <c r="H1087">
        <v>-3.09</v>
      </c>
    </row>
    <row r="1088" spans="1:8" x14ac:dyDescent="0.25">
      <c r="A1088">
        <v>1073</v>
      </c>
      <c r="B1088">
        <v>0</v>
      </c>
      <c r="C1088">
        <v>40</v>
      </c>
      <c r="D1088">
        <v>0</v>
      </c>
      <c r="E1088">
        <v>60</v>
      </c>
      <c r="F1088">
        <v>42.21</v>
      </c>
      <c r="G1088">
        <v>15.76</v>
      </c>
      <c r="H1088">
        <v>-3.46</v>
      </c>
    </row>
    <row r="1089" spans="1:8" x14ac:dyDescent="0.25">
      <c r="A1089">
        <v>1074</v>
      </c>
      <c r="B1089">
        <v>0</v>
      </c>
      <c r="C1089">
        <v>70</v>
      </c>
      <c r="D1089">
        <v>0</v>
      </c>
      <c r="E1089">
        <v>60</v>
      </c>
      <c r="F1089">
        <v>34.15</v>
      </c>
      <c r="G1089">
        <v>29</v>
      </c>
      <c r="H1089">
        <v>-3.55</v>
      </c>
    </row>
    <row r="1090" spans="1:8" x14ac:dyDescent="0.25">
      <c r="A1090">
        <v>1075</v>
      </c>
      <c r="B1090">
        <v>0</v>
      </c>
      <c r="C1090">
        <v>100</v>
      </c>
      <c r="D1090">
        <v>0</v>
      </c>
      <c r="E1090">
        <v>60</v>
      </c>
      <c r="F1090">
        <v>27.7</v>
      </c>
      <c r="G1090">
        <v>41.31</v>
      </c>
      <c r="H1090">
        <v>-2.4700000000000002</v>
      </c>
    </row>
    <row r="1091" spans="1:8" x14ac:dyDescent="0.25">
      <c r="A1091">
        <v>1076</v>
      </c>
      <c r="B1091">
        <v>20</v>
      </c>
      <c r="C1091">
        <v>0</v>
      </c>
      <c r="D1091">
        <v>0</v>
      </c>
      <c r="E1091">
        <v>60</v>
      </c>
      <c r="F1091">
        <v>48.5</v>
      </c>
      <c r="G1091">
        <v>-3.61</v>
      </c>
      <c r="H1091">
        <v>-7.74</v>
      </c>
    </row>
    <row r="1092" spans="1:8" x14ac:dyDescent="0.25">
      <c r="A1092">
        <v>1077</v>
      </c>
      <c r="B1092">
        <v>20</v>
      </c>
      <c r="C1092">
        <v>20</v>
      </c>
      <c r="D1092">
        <v>0</v>
      </c>
      <c r="E1092">
        <v>60</v>
      </c>
      <c r="F1092">
        <v>43.64</v>
      </c>
      <c r="G1092">
        <v>3.59</v>
      </c>
      <c r="H1092">
        <v>-8.31</v>
      </c>
    </row>
    <row r="1093" spans="1:8" x14ac:dyDescent="0.25">
      <c r="A1093">
        <v>1078</v>
      </c>
      <c r="B1093">
        <v>20</v>
      </c>
      <c r="C1093">
        <v>40</v>
      </c>
      <c r="D1093">
        <v>0</v>
      </c>
      <c r="E1093">
        <v>60</v>
      </c>
      <c r="F1093">
        <v>38.79</v>
      </c>
      <c r="G1093">
        <v>11.15</v>
      </c>
      <c r="H1093">
        <v>-8.68</v>
      </c>
    </row>
    <row r="1094" spans="1:8" x14ac:dyDescent="0.25">
      <c r="A1094">
        <v>1079</v>
      </c>
      <c r="B1094">
        <v>20</v>
      </c>
      <c r="C1094">
        <v>70</v>
      </c>
      <c r="D1094">
        <v>0</v>
      </c>
      <c r="E1094">
        <v>60</v>
      </c>
      <c r="F1094">
        <v>31.33</v>
      </c>
      <c r="G1094">
        <v>23.85</v>
      </c>
      <c r="H1094">
        <v>-8.4499999999999993</v>
      </c>
    </row>
    <row r="1095" spans="1:8" x14ac:dyDescent="0.25">
      <c r="A1095">
        <v>1080</v>
      </c>
      <c r="B1095">
        <v>20</v>
      </c>
      <c r="C1095">
        <v>100</v>
      </c>
      <c r="D1095">
        <v>0</v>
      </c>
      <c r="E1095">
        <v>60</v>
      </c>
      <c r="F1095">
        <v>25.41</v>
      </c>
      <c r="G1095">
        <v>35.380000000000003</v>
      </c>
      <c r="H1095">
        <v>-7.21</v>
      </c>
    </row>
    <row r="1096" spans="1:8" x14ac:dyDescent="0.25">
      <c r="A1096">
        <v>1081</v>
      </c>
      <c r="B1096">
        <v>40</v>
      </c>
      <c r="C1096">
        <v>0</v>
      </c>
      <c r="D1096">
        <v>0</v>
      </c>
      <c r="E1096">
        <v>60</v>
      </c>
      <c r="F1096">
        <v>44.26</v>
      </c>
      <c r="G1096">
        <v>-7.93</v>
      </c>
      <c r="H1096">
        <v>-12.98</v>
      </c>
    </row>
    <row r="1097" spans="1:8" x14ac:dyDescent="0.25">
      <c r="A1097">
        <v>1082</v>
      </c>
      <c r="B1097">
        <v>40</v>
      </c>
      <c r="C1097">
        <v>20</v>
      </c>
      <c r="D1097">
        <v>0</v>
      </c>
      <c r="E1097">
        <v>60</v>
      </c>
      <c r="F1097">
        <v>39.75</v>
      </c>
      <c r="G1097">
        <v>-0.79</v>
      </c>
      <c r="H1097">
        <v>-13.41</v>
      </c>
    </row>
    <row r="1098" spans="1:8" x14ac:dyDescent="0.25">
      <c r="A1098">
        <v>1083</v>
      </c>
      <c r="B1098">
        <v>40</v>
      </c>
      <c r="C1098">
        <v>40</v>
      </c>
      <c r="D1098">
        <v>0</v>
      </c>
      <c r="E1098">
        <v>60</v>
      </c>
      <c r="F1098">
        <v>35.380000000000003</v>
      </c>
      <c r="G1098">
        <v>6.48</v>
      </c>
      <c r="H1098">
        <v>-13.53</v>
      </c>
    </row>
    <row r="1099" spans="1:8" x14ac:dyDescent="0.25">
      <c r="A1099">
        <v>1084</v>
      </c>
      <c r="B1099">
        <v>40</v>
      </c>
      <c r="C1099">
        <v>70</v>
      </c>
      <c r="D1099">
        <v>0</v>
      </c>
      <c r="E1099">
        <v>60</v>
      </c>
      <c r="F1099">
        <v>28.59</v>
      </c>
      <c r="G1099">
        <v>18.600000000000001</v>
      </c>
      <c r="H1099">
        <v>-13.04</v>
      </c>
    </row>
    <row r="1100" spans="1:8" x14ac:dyDescent="0.25">
      <c r="A1100">
        <v>1085</v>
      </c>
      <c r="B1100">
        <v>40</v>
      </c>
      <c r="C1100">
        <v>100</v>
      </c>
      <c r="D1100">
        <v>0</v>
      </c>
      <c r="E1100">
        <v>60</v>
      </c>
      <c r="F1100">
        <v>23.17</v>
      </c>
      <c r="G1100">
        <v>29.32</v>
      </c>
      <c r="H1100">
        <v>-11.7</v>
      </c>
    </row>
    <row r="1101" spans="1:8" x14ac:dyDescent="0.25">
      <c r="A1101">
        <v>1086</v>
      </c>
      <c r="B1101">
        <v>70</v>
      </c>
      <c r="C1101">
        <v>0</v>
      </c>
      <c r="D1101">
        <v>0</v>
      </c>
      <c r="E1101">
        <v>60</v>
      </c>
      <c r="F1101">
        <v>37.729999999999997</v>
      </c>
      <c r="G1101">
        <v>-15.27</v>
      </c>
      <c r="H1101">
        <v>-21.09</v>
      </c>
    </row>
    <row r="1102" spans="1:8" x14ac:dyDescent="0.25">
      <c r="A1102">
        <v>1087</v>
      </c>
      <c r="B1102">
        <v>70</v>
      </c>
      <c r="C1102">
        <v>20</v>
      </c>
      <c r="D1102">
        <v>0</v>
      </c>
      <c r="E1102">
        <v>60</v>
      </c>
      <c r="F1102">
        <v>33.85</v>
      </c>
      <c r="G1102">
        <v>-8.27</v>
      </c>
      <c r="H1102">
        <v>-21.13</v>
      </c>
    </row>
    <row r="1103" spans="1:8" x14ac:dyDescent="0.25">
      <c r="A1103">
        <v>1088</v>
      </c>
      <c r="B1103">
        <v>70</v>
      </c>
      <c r="C1103">
        <v>40</v>
      </c>
      <c r="D1103">
        <v>0</v>
      </c>
      <c r="E1103">
        <v>60</v>
      </c>
      <c r="F1103">
        <v>30.14</v>
      </c>
      <c r="G1103">
        <v>-1.33</v>
      </c>
      <c r="H1103">
        <v>-20.84</v>
      </c>
    </row>
    <row r="1104" spans="1:8" x14ac:dyDescent="0.25">
      <c r="A1104">
        <v>1089</v>
      </c>
      <c r="B1104">
        <v>70</v>
      </c>
      <c r="C1104">
        <v>70</v>
      </c>
      <c r="D1104">
        <v>0</v>
      </c>
      <c r="E1104">
        <v>60</v>
      </c>
      <c r="F1104">
        <v>24.38</v>
      </c>
      <c r="G1104">
        <v>9.85</v>
      </c>
      <c r="H1104">
        <v>-19.93</v>
      </c>
    </row>
    <row r="1105" spans="1:8" x14ac:dyDescent="0.25">
      <c r="A1105">
        <v>1090</v>
      </c>
      <c r="B1105">
        <v>70</v>
      </c>
      <c r="C1105">
        <v>100</v>
      </c>
      <c r="D1105">
        <v>0</v>
      </c>
      <c r="E1105">
        <v>60</v>
      </c>
      <c r="F1105">
        <v>19.82</v>
      </c>
      <c r="G1105">
        <v>19.559999999999999</v>
      </c>
      <c r="H1105">
        <v>-18.55</v>
      </c>
    </row>
    <row r="1106" spans="1:8" x14ac:dyDescent="0.25">
      <c r="A1106">
        <v>1091</v>
      </c>
      <c r="B1106">
        <v>100</v>
      </c>
      <c r="C1106">
        <v>0</v>
      </c>
      <c r="D1106">
        <v>0</v>
      </c>
      <c r="E1106">
        <v>60</v>
      </c>
      <c r="F1106">
        <v>32.07</v>
      </c>
      <c r="G1106">
        <v>-22.41</v>
      </c>
      <c r="H1106">
        <v>-28.05</v>
      </c>
    </row>
    <row r="1107" spans="1:8" x14ac:dyDescent="0.25">
      <c r="A1107">
        <v>1092</v>
      </c>
      <c r="B1107">
        <v>100</v>
      </c>
      <c r="C1107">
        <v>20</v>
      </c>
      <c r="D1107">
        <v>0</v>
      </c>
      <c r="E1107">
        <v>60</v>
      </c>
      <c r="F1107">
        <v>28.84</v>
      </c>
      <c r="G1107">
        <v>-15.73</v>
      </c>
      <c r="H1107">
        <v>-27.45</v>
      </c>
    </row>
    <row r="1108" spans="1:8" x14ac:dyDescent="0.25">
      <c r="A1108">
        <v>1093</v>
      </c>
      <c r="B1108">
        <v>100</v>
      </c>
      <c r="C1108">
        <v>40</v>
      </c>
      <c r="D1108">
        <v>0</v>
      </c>
      <c r="E1108">
        <v>60</v>
      </c>
      <c r="F1108">
        <v>25.63</v>
      </c>
      <c r="G1108">
        <v>-8.92</v>
      </c>
      <c r="H1108">
        <v>-26.77</v>
      </c>
    </row>
    <row r="1109" spans="1:8" x14ac:dyDescent="0.25">
      <c r="A1109">
        <v>1094</v>
      </c>
      <c r="B1109">
        <v>100</v>
      </c>
      <c r="C1109">
        <v>70</v>
      </c>
      <c r="D1109">
        <v>0</v>
      </c>
      <c r="E1109">
        <v>60</v>
      </c>
      <c r="F1109">
        <v>20.91</v>
      </c>
      <c r="G1109">
        <v>1.64</v>
      </c>
      <c r="H1109">
        <v>-25.33</v>
      </c>
    </row>
    <row r="1110" spans="1:8" x14ac:dyDescent="0.25">
      <c r="A1110">
        <v>1095</v>
      </c>
      <c r="B1110">
        <v>100</v>
      </c>
      <c r="C1110">
        <v>100</v>
      </c>
      <c r="D1110">
        <v>0</v>
      </c>
      <c r="E1110">
        <v>60</v>
      </c>
      <c r="F1110">
        <v>17.190000000000001</v>
      </c>
      <c r="G1110">
        <v>10.82</v>
      </c>
      <c r="H1110">
        <v>-23.85</v>
      </c>
    </row>
    <row r="1111" spans="1:8" x14ac:dyDescent="0.25">
      <c r="A1111">
        <v>1096</v>
      </c>
      <c r="B1111">
        <v>0</v>
      </c>
      <c r="C1111">
        <v>0</v>
      </c>
      <c r="D1111">
        <v>20</v>
      </c>
      <c r="E1111">
        <v>60</v>
      </c>
      <c r="F1111">
        <v>51.97</v>
      </c>
      <c r="G1111">
        <v>-1.25</v>
      </c>
      <c r="H1111">
        <v>7.09</v>
      </c>
    </row>
    <row r="1112" spans="1:8" x14ac:dyDescent="0.25">
      <c r="A1112">
        <v>1097</v>
      </c>
      <c r="B1112">
        <v>0</v>
      </c>
      <c r="C1112">
        <v>20</v>
      </c>
      <c r="D1112">
        <v>20</v>
      </c>
      <c r="E1112">
        <v>60</v>
      </c>
      <c r="F1112">
        <v>46.88</v>
      </c>
      <c r="G1112">
        <v>6.1</v>
      </c>
      <c r="H1112">
        <v>5.29</v>
      </c>
    </row>
    <row r="1113" spans="1:8" x14ac:dyDescent="0.25">
      <c r="A1113">
        <v>1098</v>
      </c>
      <c r="B1113">
        <v>0</v>
      </c>
      <c r="C1113">
        <v>40</v>
      </c>
      <c r="D1113">
        <v>20</v>
      </c>
      <c r="E1113">
        <v>60</v>
      </c>
      <c r="F1113">
        <v>41.84</v>
      </c>
      <c r="G1113">
        <v>14.16</v>
      </c>
      <c r="H1113">
        <v>4.2300000000000004</v>
      </c>
    </row>
    <row r="1114" spans="1:8" x14ac:dyDescent="0.25">
      <c r="A1114">
        <v>1099</v>
      </c>
      <c r="B1114">
        <v>0</v>
      </c>
      <c r="C1114">
        <v>70</v>
      </c>
      <c r="D1114">
        <v>20</v>
      </c>
      <c r="E1114">
        <v>60</v>
      </c>
      <c r="F1114">
        <v>34.020000000000003</v>
      </c>
      <c r="G1114">
        <v>27.51</v>
      </c>
      <c r="H1114">
        <v>3.04</v>
      </c>
    </row>
    <row r="1115" spans="1:8" x14ac:dyDescent="0.25">
      <c r="A1115">
        <v>1100</v>
      </c>
      <c r="B1115">
        <v>0</v>
      </c>
      <c r="C1115">
        <v>100</v>
      </c>
      <c r="D1115">
        <v>20</v>
      </c>
      <c r="E1115">
        <v>60</v>
      </c>
      <c r="F1115">
        <v>27.86</v>
      </c>
      <c r="G1115">
        <v>39.67</v>
      </c>
      <c r="H1115">
        <v>3.2</v>
      </c>
    </row>
    <row r="1116" spans="1:8" x14ac:dyDescent="0.25">
      <c r="A1116">
        <v>1101</v>
      </c>
      <c r="B1116">
        <v>20</v>
      </c>
      <c r="C1116">
        <v>0</v>
      </c>
      <c r="D1116">
        <v>20</v>
      </c>
      <c r="E1116">
        <v>60</v>
      </c>
      <c r="F1116">
        <v>47.82</v>
      </c>
      <c r="G1116">
        <v>-5.67</v>
      </c>
      <c r="H1116">
        <v>1.44</v>
      </c>
    </row>
    <row r="1117" spans="1:8" x14ac:dyDescent="0.25">
      <c r="A1117">
        <v>1102</v>
      </c>
      <c r="B1117">
        <v>20</v>
      </c>
      <c r="C1117">
        <v>20</v>
      </c>
      <c r="D1117">
        <v>20</v>
      </c>
      <c r="E1117">
        <v>60</v>
      </c>
      <c r="F1117">
        <v>42.55</v>
      </c>
      <c r="G1117">
        <v>1.29</v>
      </c>
      <c r="H1117">
        <v>-0.18</v>
      </c>
    </row>
    <row r="1118" spans="1:8" x14ac:dyDescent="0.25">
      <c r="A1118">
        <v>1103</v>
      </c>
      <c r="B1118">
        <v>20</v>
      </c>
      <c r="C1118">
        <v>40</v>
      </c>
      <c r="D1118">
        <v>20</v>
      </c>
      <c r="E1118">
        <v>60</v>
      </c>
      <c r="F1118">
        <v>37.700000000000003</v>
      </c>
      <c r="G1118">
        <v>9.1199999999999992</v>
      </c>
      <c r="H1118">
        <v>-1.23</v>
      </c>
    </row>
    <row r="1119" spans="1:8" x14ac:dyDescent="0.25">
      <c r="A1119">
        <v>1104</v>
      </c>
      <c r="B1119">
        <v>20</v>
      </c>
      <c r="C1119">
        <v>70</v>
      </c>
      <c r="D1119">
        <v>20</v>
      </c>
      <c r="E1119">
        <v>60</v>
      </c>
      <c r="F1119">
        <v>30.57</v>
      </c>
      <c r="G1119">
        <v>22.07</v>
      </c>
      <c r="H1119">
        <v>-2.06</v>
      </c>
    </row>
    <row r="1120" spans="1:8" x14ac:dyDescent="0.25">
      <c r="A1120">
        <v>1105</v>
      </c>
      <c r="B1120">
        <v>20</v>
      </c>
      <c r="C1120">
        <v>100</v>
      </c>
      <c r="D1120">
        <v>20</v>
      </c>
      <c r="E1120">
        <v>60</v>
      </c>
      <c r="F1120">
        <v>25.26</v>
      </c>
      <c r="G1120">
        <v>33.01</v>
      </c>
      <c r="H1120">
        <v>-1.75</v>
      </c>
    </row>
    <row r="1121" spans="1:8" x14ac:dyDescent="0.25">
      <c r="A1121">
        <v>1106</v>
      </c>
      <c r="B1121">
        <v>40</v>
      </c>
      <c r="C1121">
        <v>0</v>
      </c>
      <c r="D1121">
        <v>20</v>
      </c>
      <c r="E1121">
        <v>60</v>
      </c>
      <c r="F1121">
        <v>43.73</v>
      </c>
      <c r="G1121">
        <v>-10.42</v>
      </c>
      <c r="H1121">
        <v>-3.94</v>
      </c>
    </row>
    <row r="1122" spans="1:8" x14ac:dyDescent="0.25">
      <c r="A1122">
        <v>1107</v>
      </c>
      <c r="B1122">
        <v>40</v>
      </c>
      <c r="C1122">
        <v>20</v>
      </c>
      <c r="D1122">
        <v>20</v>
      </c>
      <c r="E1122">
        <v>60</v>
      </c>
      <c r="F1122">
        <v>38.869999999999997</v>
      </c>
      <c r="G1122">
        <v>-3.3</v>
      </c>
      <c r="H1122">
        <v>-5.16</v>
      </c>
    </row>
    <row r="1123" spans="1:8" x14ac:dyDescent="0.25">
      <c r="A1123">
        <v>1108</v>
      </c>
      <c r="B1123">
        <v>40</v>
      </c>
      <c r="C1123">
        <v>40</v>
      </c>
      <c r="D1123">
        <v>20</v>
      </c>
      <c r="E1123">
        <v>60</v>
      </c>
      <c r="F1123">
        <v>34.42</v>
      </c>
      <c r="G1123">
        <v>4.2699999999999996</v>
      </c>
      <c r="H1123">
        <v>-6.13</v>
      </c>
    </row>
    <row r="1124" spans="1:8" x14ac:dyDescent="0.25">
      <c r="A1124">
        <v>1109</v>
      </c>
      <c r="B1124">
        <v>40</v>
      </c>
      <c r="C1124">
        <v>70</v>
      </c>
      <c r="D1124">
        <v>20</v>
      </c>
      <c r="E1124">
        <v>60</v>
      </c>
      <c r="F1124">
        <v>27.86</v>
      </c>
      <c r="G1124">
        <v>16.600000000000001</v>
      </c>
      <c r="H1124">
        <v>-6.75</v>
      </c>
    </row>
    <row r="1125" spans="1:8" x14ac:dyDescent="0.25">
      <c r="A1125">
        <v>1110</v>
      </c>
      <c r="B1125">
        <v>40</v>
      </c>
      <c r="C1125">
        <v>100</v>
      </c>
      <c r="D1125">
        <v>20</v>
      </c>
      <c r="E1125">
        <v>60</v>
      </c>
      <c r="F1125">
        <v>22.97</v>
      </c>
      <c r="G1125">
        <v>26.93</v>
      </c>
      <c r="H1125">
        <v>-6.25</v>
      </c>
    </row>
    <row r="1126" spans="1:8" x14ac:dyDescent="0.25">
      <c r="A1126">
        <v>1111</v>
      </c>
      <c r="B1126">
        <v>70</v>
      </c>
      <c r="C1126">
        <v>0</v>
      </c>
      <c r="D1126">
        <v>20</v>
      </c>
      <c r="E1126">
        <v>60</v>
      </c>
      <c r="F1126">
        <v>37.29</v>
      </c>
      <c r="G1126">
        <v>-18.46</v>
      </c>
      <c r="H1126">
        <v>-12.37</v>
      </c>
    </row>
    <row r="1127" spans="1:8" x14ac:dyDescent="0.25">
      <c r="A1127">
        <v>1112</v>
      </c>
      <c r="B1127">
        <v>70</v>
      </c>
      <c r="C1127">
        <v>20</v>
      </c>
      <c r="D1127">
        <v>20</v>
      </c>
      <c r="E1127">
        <v>60</v>
      </c>
      <c r="F1127">
        <v>33.369999999999997</v>
      </c>
      <c r="G1127">
        <v>-11.1</v>
      </c>
      <c r="H1127">
        <v>-12.74</v>
      </c>
    </row>
    <row r="1128" spans="1:8" x14ac:dyDescent="0.25">
      <c r="A1128">
        <v>1113</v>
      </c>
      <c r="B1128">
        <v>70</v>
      </c>
      <c r="C1128">
        <v>40</v>
      </c>
      <c r="D1128">
        <v>20</v>
      </c>
      <c r="E1128">
        <v>60</v>
      </c>
      <c r="F1128">
        <v>29.57</v>
      </c>
      <c r="G1128">
        <v>-3.85</v>
      </c>
      <c r="H1128">
        <v>-13.31</v>
      </c>
    </row>
    <row r="1129" spans="1:8" x14ac:dyDescent="0.25">
      <c r="A1129">
        <v>1114</v>
      </c>
      <c r="B1129">
        <v>70</v>
      </c>
      <c r="C1129">
        <v>70</v>
      </c>
      <c r="D1129">
        <v>20</v>
      </c>
      <c r="E1129">
        <v>60</v>
      </c>
      <c r="F1129">
        <v>23.84</v>
      </c>
      <c r="G1129">
        <v>7.82</v>
      </c>
      <c r="H1129">
        <v>-13.51</v>
      </c>
    </row>
    <row r="1130" spans="1:8" x14ac:dyDescent="0.25">
      <c r="A1130">
        <v>1115</v>
      </c>
      <c r="B1130">
        <v>70</v>
      </c>
      <c r="C1130">
        <v>100</v>
      </c>
      <c r="D1130">
        <v>20</v>
      </c>
      <c r="E1130">
        <v>60</v>
      </c>
      <c r="F1130">
        <v>19.66</v>
      </c>
      <c r="G1130">
        <v>17.2</v>
      </c>
      <c r="H1130">
        <v>-12.95</v>
      </c>
    </row>
    <row r="1131" spans="1:8" x14ac:dyDescent="0.25">
      <c r="A1131">
        <v>1116</v>
      </c>
      <c r="B1131">
        <v>100</v>
      </c>
      <c r="C1131">
        <v>0</v>
      </c>
      <c r="D1131">
        <v>20</v>
      </c>
      <c r="E1131">
        <v>60</v>
      </c>
      <c r="F1131">
        <v>31.66</v>
      </c>
      <c r="G1131">
        <v>-26.5</v>
      </c>
      <c r="H1131">
        <v>-19.53</v>
      </c>
    </row>
    <row r="1132" spans="1:8" x14ac:dyDescent="0.25">
      <c r="A1132">
        <v>1117</v>
      </c>
      <c r="B1132">
        <v>100</v>
      </c>
      <c r="C1132">
        <v>20</v>
      </c>
      <c r="D1132">
        <v>20</v>
      </c>
      <c r="E1132">
        <v>60</v>
      </c>
      <c r="F1132">
        <v>28.39</v>
      </c>
      <c r="G1132">
        <v>-19.350000000000001</v>
      </c>
      <c r="H1132">
        <v>-19.53</v>
      </c>
    </row>
    <row r="1133" spans="1:8" x14ac:dyDescent="0.25">
      <c r="A1133">
        <v>1118</v>
      </c>
      <c r="B1133">
        <v>100</v>
      </c>
      <c r="C1133">
        <v>40</v>
      </c>
      <c r="D1133">
        <v>20</v>
      </c>
      <c r="E1133">
        <v>60</v>
      </c>
      <c r="F1133">
        <v>25.19</v>
      </c>
      <c r="G1133">
        <v>-12.07</v>
      </c>
      <c r="H1133">
        <v>-19.5</v>
      </c>
    </row>
    <row r="1134" spans="1:8" x14ac:dyDescent="0.25">
      <c r="A1134">
        <v>1119</v>
      </c>
      <c r="B1134">
        <v>100</v>
      </c>
      <c r="C1134">
        <v>70</v>
      </c>
      <c r="D1134">
        <v>20</v>
      </c>
      <c r="E1134">
        <v>60</v>
      </c>
      <c r="F1134">
        <v>20.45</v>
      </c>
      <c r="G1134">
        <v>-0.88</v>
      </c>
      <c r="H1134">
        <v>-19.09</v>
      </c>
    </row>
    <row r="1135" spans="1:8" x14ac:dyDescent="0.25">
      <c r="A1135">
        <v>1120</v>
      </c>
      <c r="B1135">
        <v>100</v>
      </c>
      <c r="C1135">
        <v>100</v>
      </c>
      <c r="D1135">
        <v>20</v>
      </c>
      <c r="E1135">
        <v>60</v>
      </c>
      <c r="F1135">
        <v>16.96</v>
      </c>
      <c r="G1135">
        <v>7.95</v>
      </c>
      <c r="H1135">
        <v>-18.27</v>
      </c>
    </row>
    <row r="1136" spans="1:8" x14ac:dyDescent="0.25">
      <c r="A1136">
        <v>1121</v>
      </c>
      <c r="B1136">
        <v>0</v>
      </c>
      <c r="C1136">
        <v>0</v>
      </c>
      <c r="D1136">
        <v>40</v>
      </c>
      <c r="E1136">
        <v>60</v>
      </c>
      <c r="F1136">
        <v>51.24</v>
      </c>
      <c r="G1136">
        <v>-2.4700000000000002</v>
      </c>
      <c r="H1136">
        <v>16.84</v>
      </c>
    </row>
    <row r="1137" spans="1:8" x14ac:dyDescent="0.25">
      <c r="A1137">
        <v>1122</v>
      </c>
      <c r="B1137">
        <v>0</v>
      </c>
      <c r="C1137">
        <v>20</v>
      </c>
      <c r="D1137">
        <v>40</v>
      </c>
      <c r="E1137">
        <v>60</v>
      </c>
      <c r="F1137">
        <v>46.25</v>
      </c>
      <c r="G1137">
        <v>5.05</v>
      </c>
      <c r="H1137">
        <v>14.22</v>
      </c>
    </row>
    <row r="1138" spans="1:8" x14ac:dyDescent="0.25">
      <c r="A1138">
        <v>1123</v>
      </c>
      <c r="B1138">
        <v>0</v>
      </c>
      <c r="C1138">
        <v>40</v>
      </c>
      <c r="D1138">
        <v>40</v>
      </c>
      <c r="E1138">
        <v>60</v>
      </c>
      <c r="F1138">
        <v>41.41</v>
      </c>
      <c r="G1138">
        <v>12.86</v>
      </c>
      <c r="H1138">
        <v>12.1</v>
      </c>
    </row>
    <row r="1139" spans="1:8" x14ac:dyDescent="0.25">
      <c r="A1139">
        <v>1124</v>
      </c>
      <c r="B1139">
        <v>0</v>
      </c>
      <c r="C1139">
        <v>70</v>
      </c>
      <c r="D1139">
        <v>40</v>
      </c>
      <c r="E1139">
        <v>60</v>
      </c>
      <c r="F1139">
        <v>33.86</v>
      </c>
      <c r="G1139">
        <v>26.19</v>
      </c>
      <c r="H1139">
        <v>9.7100000000000009</v>
      </c>
    </row>
    <row r="1140" spans="1:8" x14ac:dyDescent="0.25">
      <c r="A1140">
        <v>1125</v>
      </c>
      <c r="B1140">
        <v>0</v>
      </c>
      <c r="C1140">
        <v>100</v>
      </c>
      <c r="D1140">
        <v>40</v>
      </c>
      <c r="E1140">
        <v>60</v>
      </c>
      <c r="F1140">
        <v>27.84</v>
      </c>
      <c r="G1140">
        <v>38.18</v>
      </c>
      <c r="H1140">
        <v>8.74</v>
      </c>
    </row>
    <row r="1141" spans="1:8" x14ac:dyDescent="0.25">
      <c r="A1141">
        <v>1126</v>
      </c>
      <c r="B1141">
        <v>20</v>
      </c>
      <c r="C1141">
        <v>0</v>
      </c>
      <c r="D1141">
        <v>40</v>
      </c>
      <c r="E1141">
        <v>60</v>
      </c>
      <c r="F1141">
        <v>47.23</v>
      </c>
      <c r="G1141">
        <v>-7.39</v>
      </c>
      <c r="H1141">
        <v>10.84</v>
      </c>
    </row>
    <row r="1142" spans="1:8" x14ac:dyDescent="0.25">
      <c r="A1142">
        <v>1127</v>
      </c>
      <c r="B1142">
        <v>20</v>
      </c>
      <c r="C1142">
        <v>20</v>
      </c>
      <c r="D1142">
        <v>40</v>
      </c>
      <c r="E1142">
        <v>60</v>
      </c>
      <c r="F1142">
        <v>41.99</v>
      </c>
      <c r="G1142">
        <v>-0.32</v>
      </c>
      <c r="H1142">
        <v>8.2899999999999991</v>
      </c>
    </row>
    <row r="1143" spans="1:8" x14ac:dyDescent="0.25">
      <c r="A1143">
        <v>1128</v>
      </c>
      <c r="B1143">
        <v>20</v>
      </c>
      <c r="C1143">
        <v>40</v>
      </c>
      <c r="D1143">
        <v>40</v>
      </c>
      <c r="E1143">
        <v>60</v>
      </c>
      <c r="F1143">
        <v>37.270000000000003</v>
      </c>
      <c r="G1143">
        <v>7.5</v>
      </c>
      <c r="H1143">
        <v>6.24</v>
      </c>
    </row>
    <row r="1144" spans="1:8" x14ac:dyDescent="0.25">
      <c r="A1144">
        <v>1129</v>
      </c>
      <c r="B1144">
        <v>20</v>
      </c>
      <c r="C1144">
        <v>70</v>
      </c>
      <c r="D1144">
        <v>40</v>
      </c>
      <c r="E1144">
        <v>60</v>
      </c>
      <c r="F1144">
        <v>30.33</v>
      </c>
      <c r="G1144">
        <v>20.46</v>
      </c>
      <c r="H1144">
        <v>4.1399999999999997</v>
      </c>
    </row>
    <row r="1145" spans="1:8" x14ac:dyDescent="0.25">
      <c r="A1145">
        <v>1130</v>
      </c>
      <c r="B1145">
        <v>20</v>
      </c>
      <c r="C1145">
        <v>100</v>
      </c>
      <c r="D1145">
        <v>40</v>
      </c>
      <c r="E1145">
        <v>60</v>
      </c>
      <c r="F1145">
        <v>25.18</v>
      </c>
      <c r="G1145">
        <v>31.32</v>
      </c>
      <c r="H1145">
        <v>3.56</v>
      </c>
    </row>
    <row r="1146" spans="1:8" x14ac:dyDescent="0.25">
      <c r="A1146">
        <v>1131</v>
      </c>
      <c r="B1146">
        <v>40</v>
      </c>
      <c r="C1146">
        <v>0</v>
      </c>
      <c r="D1146">
        <v>40</v>
      </c>
      <c r="E1146">
        <v>60</v>
      </c>
      <c r="F1146">
        <v>43.22</v>
      </c>
      <c r="G1146">
        <v>-12.49</v>
      </c>
      <c r="H1146">
        <v>5.18</v>
      </c>
    </row>
    <row r="1147" spans="1:8" x14ac:dyDescent="0.25">
      <c r="A1147">
        <v>1132</v>
      </c>
      <c r="B1147">
        <v>40</v>
      </c>
      <c r="C1147">
        <v>20</v>
      </c>
      <c r="D1147">
        <v>40</v>
      </c>
      <c r="E1147">
        <v>60</v>
      </c>
      <c r="F1147">
        <v>38.43</v>
      </c>
      <c r="G1147">
        <v>-5.34</v>
      </c>
      <c r="H1147">
        <v>3</v>
      </c>
    </row>
    <row r="1148" spans="1:8" x14ac:dyDescent="0.25">
      <c r="A1148">
        <v>1133</v>
      </c>
      <c r="B1148">
        <v>40</v>
      </c>
      <c r="C1148">
        <v>40</v>
      </c>
      <c r="D1148">
        <v>40</v>
      </c>
      <c r="E1148">
        <v>60</v>
      </c>
      <c r="F1148">
        <v>33.96</v>
      </c>
      <c r="G1148">
        <v>2.21</v>
      </c>
      <c r="H1148">
        <v>0.98</v>
      </c>
    </row>
    <row r="1149" spans="1:8" x14ac:dyDescent="0.25">
      <c r="A1149">
        <v>1134</v>
      </c>
      <c r="B1149">
        <v>40</v>
      </c>
      <c r="C1149">
        <v>70</v>
      </c>
      <c r="D1149">
        <v>40</v>
      </c>
      <c r="E1149">
        <v>60</v>
      </c>
      <c r="F1149">
        <v>27.48</v>
      </c>
      <c r="G1149">
        <v>14.77</v>
      </c>
      <c r="H1149">
        <v>-0.77</v>
      </c>
    </row>
    <row r="1150" spans="1:8" x14ac:dyDescent="0.25">
      <c r="A1150">
        <v>1135</v>
      </c>
      <c r="B1150">
        <v>40</v>
      </c>
      <c r="C1150">
        <v>100</v>
      </c>
      <c r="D1150">
        <v>40</v>
      </c>
      <c r="E1150">
        <v>60</v>
      </c>
      <c r="F1150">
        <v>22.8</v>
      </c>
      <c r="G1150">
        <v>24.88</v>
      </c>
      <c r="H1150">
        <v>-1.1299999999999999</v>
      </c>
    </row>
    <row r="1151" spans="1:8" x14ac:dyDescent="0.25">
      <c r="A1151">
        <v>1136</v>
      </c>
      <c r="B1151">
        <v>70</v>
      </c>
      <c r="C1151">
        <v>0</v>
      </c>
      <c r="D1151">
        <v>40</v>
      </c>
      <c r="E1151">
        <v>60</v>
      </c>
      <c r="F1151">
        <v>36.94</v>
      </c>
      <c r="G1151">
        <v>-21.16</v>
      </c>
      <c r="H1151">
        <v>-3.59</v>
      </c>
    </row>
    <row r="1152" spans="1:8" x14ac:dyDescent="0.25">
      <c r="A1152">
        <v>1137</v>
      </c>
      <c r="B1152">
        <v>70</v>
      </c>
      <c r="C1152">
        <v>20</v>
      </c>
      <c r="D1152">
        <v>40</v>
      </c>
      <c r="E1152">
        <v>60</v>
      </c>
      <c r="F1152">
        <v>32.99</v>
      </c>
      <c r="G1152">
        <v>-13.79</v>
      </c>
      <c r="H1152">
        <v>-4.99</v>
      </c>
    </row>
    <row r="1153" spans="1:8" x14ac:dyDescent="0.25">
      <c r="A1153">
        <v>1138</v>
      </c>
      <c r="B1153">
        <v>70</v>
      </c>
      <c r="C1153">
        <v>40</v>
      </c>
      <c r="D1153">
        <v>40</v>
      </c>
      <c r="E1153">
        <v>60</v>
      </c>
      <c r="F1153">
        <v>29.16</v>
      </c>
      <c r="G1153">
        <v>-6.3</v>
      </c>
      <c r="H1153">
        <v>-6.29</v>
      </c>
    </row>
    <row r="1154" spans="1:8" x14ac:dyDescent="0.25">
      <c r="A1154">
        <v>1139</v>
      </c>
      <c r="B1154">
        <v>70</v>
      </c>
      <c r="C1154">
        <v>70</v>
      </c>
      <c r="D1154">
        <v>40</v>
      </c>
      <c r="E1154">
        <v>60</v>
      </c>
      <c r="F1154">
        <v>23.67</v>
      </c>
      <c r="G1154">
        <v>5.39</v>
      </c>
      <c r="H1154">
        <v>-7.48</v>
      </c>
    </row>
    <row r="1155" spans="1:8" x14ac:dyDescent="0.25">
      <c r="A1155">
        <v>1140</v>
      </c>
      <c r="B1155">
        <v>70</v>
      </c>
      <c r="C1155">
        <v>100</v>
      </c>
      <c r="D1155">
        <v>40</v>
      </c>
      <c r="E1155">
        <v>60</v>
      </c>
      <c r="F1155">
        <v>19.48</v>
      </c>
      <c r="G1155">
        <v>15.13</v>
      </c>
      <c r="H1155">
        <v>-7.89</v>
      </c>
    </row>
    <row r="1156" spans="1:8" x14ac:dyDescent="0.25">
      <c r="A1156">
        <v>1141</v>
      </c>
      <c r="B1156">
        <v>100</v>
      </c>
      <c r="C1156">
        <v>0</v>
      </c>
      <c r="D1156">
        <v>40</v>
      </c>
      <c r="E1156">
        <v>60</v>
      </c>
      <c r="F1156">
        <v>31.37</v>
      </c>
      <c r="G1156">
        <v>-29.74</v>
      </c>
      <c r="H1156">
        <v>-11.06</v>
      </c>
    </row>
    <row r="1157" spans="1:8" x14ac:dyDescent="0.25">
      <c r="A1157">
        <v>1142</v>
      </c>
      <c r="B1157">
        <v>100</v>
      </c>
      <c r="C1157">
        <v>20</v>
      </c>
      <c r="D1157">
        <v>40</v>
      </c>
      <c r="E1157">
        <v>60</v>
      </c>
      <c r="F1157">
        <v>28.07</v>
      </c>
      <c r="G1157">
        <v>-22.34</v>
      </c>
      <c r="H1157">
        <v>-11.86</v>
      </c>
    </row>
    <row r="1158" spans="1:8" x14ac:dyDescent="0.25">
      <c r="A1158">
        <v>1143</v>
      </c>
      <c r="B1158">
        <v>100</v>
      </c>
      <c r="C1158">
        <v>40</v>
      </c>
      <c r="D1158">
        <v>40</v>
      </c>
      <c r="E1158">
        <v>60</v>
      </c>
      <c r="F1158">
        <v>24.85</v>
      </c>
      <c r="G1158">
        <v>-14.82</v>
      </c>
      <c r="H1158">
        <v>-12.66</v>
      </c>
    </row>
    <row r="1159" spans="1:8" x14ac:dyDescent="0.25">
      <c r="A1159">
        <v>1144</v>
      </c>
      <c r="B1159">
        <v>100</v>
      </c>
      <c r="C1159">
        <v>70</v>
      </c>
      <c r="D1159">
        <v>40</v>
      </c>
      <c r="E1159">
        <v>60</v>
      </c>
      <c r="F1159">
        <v>20.14</v>
      </c>
      <c r="G1159">
        <v>-3.29</v>
      </c>
      <c r="H1159">
        <v>-13.3</v>
      </c>
    </row>
    <row r="1160" spans="1:8" x14ac:dyDescent="0.25">
      <c r="A1160">
        <v>1145</v>
      </c>
      <c r="B1160">
        <v>100</v>
      </c>
      <c r="C1160">
        <v>100</v>
      </c>
      <c r="D1160">
        <v>40</v>
      </c>
      <c r="E1160">
        <v>60</v>
      </c>
      <c r="F1160">
        <v>16.71</v>
      </c>
      <c r="G1160">
        <v>5.57</v>
      </c>
      <c r="H1160">
        <v>-13.29</v>
      </c>
    </row>
    <row r="1161" spans="1:8" x14ac:dyDescent="0.25">
      <c r="A1161">
        <v>1146</v>
      </c>
      <c r="B1161">
        <v>0</v>
      </c>
      <c r="C1161">
        <v>0</v>
      </c>
      <c r="D1161">
        <v>70</v>
      </c>
      <c r="E1161">
        <v>60</v>
      </c>
      <c r="F1161">
        <v>50.19</v>
      </c>
      <c r="G1161">
        <v>-4.05</v>
      </c>
      <c r="H1161">
        <v>32.67</v>
      </c>
    </row>
    <row r="1162" spans="1:8" x14ac:dyDescent="0.25">
      <c r="A1162">
        <v>1147</v>
      </c>
      <c r="B1162">
        <v>0</v>
      </c>
      <c r="C1162">
        <v>20</v>
      </c>
      <c r="D1162">
        <v>70</v>
      </c>
      <c r="E1162">
        <v>60</v>
      </c>
      <c r="F1162">
        <v>45.4</v>
      </c>
      <c r="G1162">
        <v>3.63</v>
      </c>
      <c r="H1162">
        <v>28.77</v>
      </c>
    </row>
    <row r="1163" spans="1:8" x14ac:dyDescent="0.25">
      <c r="A1163">
        <v>1148</v>
      </c>
      <c r="B1163">
        <v>0</v>
      </c>
      <c r="C1163">
        <v>40</v>
      </c>
      <c r="D1163">
        <v>70</v>
      </c>
      <c r="E1163">
        <v>60</v>
      </c>
      <c r="F1163">
        <v>40.79</v>
      </c>
      <c r="G1163">
        <v>11.46</v>
      </c>
      <c r="H1163">
        <v>25.32</v>
      </c>
    </row>
    <row r="1164" spans="1:8" x14ac:dyDescent="0.25">
      <c r="A1164">
        <v>1149</v>
      </c>
      <c r="B1164">
        <v>0</v>
      </c>
      <c r="C1164">
        <v>70</v>
      </c>
      <c r="D1164">
        <v>70</v>
      </c>
      <c r="E1164">
        <v>60</v>
      </c>
      <c r="F1164">
        <v>33.53</v>
      </c>
      <c r="G1164">
        <v>24.49</v>
      </c>
      <c r="H1164">
        <v>20.25</v>
      </c>
    </row>
    <row r="1165" spans="1:8" x14ac:dyDescent="0.25">
      <c r="A1165">
        <v>1150</v>
      </c>
      <c r="B1165">
        <v>0</v>
      </c>
      <c r="C1165">
        <v>100</v>
      </c>
      <c r="D1165">
        <v>70</v>
      </c>
      <c r="E1165">
        <v>60</v>
      </c>
      <c r="F1165">
        <v>27.8</v>
      </c>
      <c r="G1165">
        <v>36.18</v>
      </c>
      <c r="H1165">
        <v>16.940000000000001</v>
      </c>
    </row>
    <row r="1166" spans="1:8" x14ac:dyDescent="0.25">
      <c r="A1166">
        <v>1151</v>
      </c>
      <c r="B1166">
        <v>20</v>
      </c>
      <c r="C1166">
        <v>0</v>
      </c>
      <c r="D1166">
        <v>70</v>
      </c>
      <c r="E1166">
        <v>60</v>
      </c>
      <c r="F1166">
        <v>46.31</v>
      </c>
      <c r="G1166">
        <v>-9.5299999999999994</v>
      </c>
      <c r="H1166">
        <v>26.27</v>
      </c>
    </row>
    <row r="1167" spans="1:8" x14ac:dyDescent="0.25">
      <c r="A1167">
        <v>1152</v>
      </c>
      <c r="B1167">
        <v>20</v>
      </c>
      <c r="C1167">
        <v>20</v>
      </c>
      <c r="D1167">
        <v>70</v>
      </c>
      <c r="E1167">
        <v>60</v>
      </c>
      <c r="F1167">
        <v>41.28</v>
      </c>
      <c r="G1167">
        <v>-2.27</v>
      </c>
      <c r="H1167">
        <v>22.41</v>
      </c>
    </row>
    <row r="1168" spans="1:8" x14ac:dyDescent="0.25">
      <c r="A1168">
        <v>1153</v>
      </c>
      <c r="B1168">
        <v>20</v>
      </c>
      <c r="C1168">
        <v>40</v>
      </c>
      <c r="D1168">
        <v>70</v>
      </c>
      <c r="E1168">
        <v>60</v>
      </c>
      <c r="F1168">
        <v>36.76</v>
      </c>
      <c r="G1168">
        <v>5.57</v>
      </c>
      <c r="H1168">
        <v>18.98</v>
      </c>
    </row>
    <row r="1169" spans="1:8" x14ac:dyDescent="0.25">
      <c r="A1169">
        <v>1154</v>
      </c>
      <c r="B1169">
        <v>20</v>
      </c>
      <c r="C1169">
        <v>70</v>
      </c>
      <c r="D1169">
        <v>70</v>
      </c>
      <c r="E1169">
        <v>60</v>
      </c>
      <c r="F1169">
        <v>29.93</v>
      </c>
      <c r="G1169">
        <v>18.309999999999999</v>
      </c>
      <c r="H1169">
        <v>14.27</v>
      </c>
    </row>
    <row r="1170" spans="1:8" x14ac:dyDescent="0.25">
      <c r="A1170">
        <v>1155</v>
      </c>
      <c r="B1170">
        <v>20</v>
      </c>
      <c r="C1170">
        <v>100</v>
      </c>
      <c r="D1170">
        <v>70</v>
      </c>
      <c r="E1170">
        <v>60</v>
      </c>
      <c r="F1170">
        <v>25.01</v>
      </c>
      <c r="G1170">
        <v>29.02</v>
      </c>
      <c r="H1170">
        <v>11.7</v>
      </c>
    </row>
    <row r="1171" spans="1:8" x14ac:dyDescent="0.25">
      <c r="A1171">
        <v>1156</v>
      </c>
      <c r="B1171">
        <v>40</v>
      </c>
      <c r="C1171">
        <v>0</v>
      </c>
      <c r="D1171">
        <v>70</v>
      </c>
      <c r="E1171">
        <v>60</v>
      </c>
      <c r="F1171">
        <v>42.47</v>
      </c>
      <c r="G1171">
        <v>-15.22</v>
      </c>
      <c r="H1171">
        <v>20.09</v>
      </c>
    </row>
    <row r="1172" spans="1:8" x14ac:dyDescent="0.25">
      <c r="A1172">
        <v>1157</v>
      </c>
      <c r="B1172">
        <v>40</v>
      </c>
      <c r="C1172">
        <v>20</v>
      </c>
      <c r="D1172">
        <v>70</v>
      </c>
      <c r="E1172">
        <v>60</v>
      </c>
      <c r="F1172">
        <v>37.799999999999997</v>
      </c>
      <c r="G1172">
        <v>-7.86</v>
      </c>
      <c r="H1172">
        <v>16.61</v>
      </c>
    </row>
    <row r="1173" spans="1:8" x14ac:dyDescent="0.25">
      <c r="A1173">
        <v>1158</v>
      </c>
      <c r="B1173">
        <v>40</v>
      </c>
      <c r="C1173">
        <v>40</v>
      </c>
      <c r="D1173">
        <v>70</v>
      </c>
      <c r="E1173">
        <v>60</v>
      </c>
      <c r="F1173">
        <v>33.450000000000003</v>
      </c>
      <c r="G1173">
        <v>-0.14000000000000001</v>
      </c>
      <c r="H1173">
        <v>13.34</v>
      </c>
    </row>
    <row r="1174" spans="1:8" x14ac:dyDescent="0.25">
      <c r="A1174">
        <v>1159</v>
      </c>
      <c r="B1174">
        <v>40</v>
      </c>
      <c r="C1174">
        <v>70</v>
      </c>
      <c r="D1174">
        <v>70</v>
      </c>
      <c r="E1174">
        <v>60</v>
      </c>
      <c r="F1174">
        <v>27.06</v>
      </c>
      <c r="G1174">
        <v>12.33</v>
      </c>
      <c r="H1174">
        <v>9.09</v>
      </c>
    </row>
    <row r="1175" spans="1:8" x14ac:dyDescent="0.25">
      <c r="A1175">
        <v>1160</v>
      </c>
      <c r="B1175">
        <v>40</v>
      </c>
      <c r="C1175">
        <v>100</v>
      </c>
      <c r="D1175">
        <v>70</v>
      </c>
      <c r="E1175">
        <v>60</v>
      </c>
      <c r="F1175">
        <v>22.6</v>
      </c>
      <c r="G1175">
        <v>22.36</v>
      </c>
      <c r="H1175">
        <v>6.92</v>
      </c>
    </row>
    <row r="1176" spans="1:8" x14ac:dyDescent="0.25">
      <c r="A1176">
        <v>1161</v>
      </c>
      <c r="B1176">
        <v>70</v>
      </c>
      <c r="C1176">
        <v>0</v>
      </c>
      <c r="D1176">
        <v>70</v>
      </c>
      <c r="E1176">
        <v>60</v>
      </c>
      <c r="F1176">
        <v>36.39</v>
      </c>
      <c r="G1176">
        <v>-24.8</v>
      </c>
      <c r="H1176">
        <v>10.48</v>
      </c>
    </row>
    <row r="1177" spans="1:8" x14ac:dyDescent="0.25">
      <c r="A1177">
        <v>1162</v>
      </c>
      <c r="B1177">
        <v>70</v>
      </c>
      <c r="C1177">
        <v>20</v>
      </c>
      <c r="D1177">
        <v>70</v>
      </c>
      <c r="E1177">
        <v>60</v>
      </c>
      <c r="F1177">
        <v>32.450000000000003</v>
      </c>
      <c r="G1177">
        <v>-17.05</v>
      </c>
      <c r="H1177">
        <v>7.9</v>
      </c>
    </row>
    <row r="1178" spans="1:8" x14ac:dyDescent="0.25">
      <c r="A1178">
        <v>1163</v>
      </c>
      <c r="B1178">
        <v>70</v>
      </c>
      <c r="C1178">
        <v>40</v>
      </c>
      <c r="D1178">
        <v>70</v>
      </c>
      <c r="E1178">
        <v>60</v>
      </c>
      <c r="F1178">
        <v>28.64</v>
      </c>
      <c r="G1178">
        <v>-9.2799999999999994</v>
      </c>
      <c r="H1178">
        <v>5.18</v>
      </c>
    </row>
    <row r="1179" spans="1:8" x14ac:dyDescent="0.25">
      <c r="A1179">
        <v>1164</v>
      </c>
      <c r="B1179">
        <v>70</v>
      </c>
      <c r="C1179">
        <v>70</v>
      </c>
      <c r="D1179">
        <v>70</v>
      </c>
      <c r="E1179">
        <v>60</v>
      </c>
      <c r="F1179">
        <v>23.09</v>
      </c>
      <c r="G1179">
        <v>2.75</v>
      </c>
      <c r="H1179">
        <v>1.8</v>
      </c>
    </row>
    <row r="1180" spans="1:8" x14ac:dyDescent="0.25">
      <c r="A1180">
        <v>1165</v>
      </c>
      <c r="B1180">
        <v>70</v>
      </c>
      <c r="C1180">
        <v>100</v>
      </c>
      <c r="D1180">
        <v>70</v>
      </c>
      <c r="E1180">
        <v>60</v>
      </c>
      <c r="F1180">
        <v>19.14</v>
      </c>
      <c r="G1180">
        <v>12.15</v>
      </c>
      <c r="H1180">
        <v>-0.13</v>
      </c>
    </row>
    <row r="1181" spans="1:8" x14ac:dyDescent="0.25">
      <c r="A1181">
        <v>1166</v>
      </c>
      <c r="B1181">
        <v>100</v>
      </c>
      <c r="C1181">
        <v>0</v>
      </c>
      <c r="D1181">
        <v>70</v>
      </c>
      <c r="E1181">
        <v>60</v>
      </c>
      <c r="F1181">
        <v>31.05</v>
      </c>
      <c r="G1181">
        <v>-34.39</v>
      </c>
      <c r="H1181">
        <v>2.31</v>
      </c>
    </row>
    <row r="1182" spans="1:8" x14ac:dyDescent="0.25">
      <c r="A1182">
        <v>1167</v>
      </c>
      <c r="B1182">
        <v>100</v>
      </c>
      <c r="C1182">
        <v>20</v>
      </c>
      <c r="D1182">
        <v>70</v>
      </c>
      <c r="E1182">
        <v>60</v>
      </c>
      <c r="F1182">
        <v>27.71</v>
      </c>
      <c r="G1182">
        <v>-26.56</v>
      </c>
      <c r="H1182">
        <v>0.38</v>
      </c>
    </row>
    <row r="1183" spans="1:8" x14ac:dyDescent="0.25">
      <c r="A1183">
        <v>1168</v>
      </c>
      <c r="B1183">
        <v>100</v>
      </c>
      <c r="C1183">
        <v>40</v>
      </c>
      <c r="D1183">
        <v>70</v>
      </c>
      <c r="E1183">
        <v>60</v>
      </c>
      <c r="F1183">
        <v>24.51</v>
      </c>
      <c r="G1183">
        <v>-18.87</v>
      </c>
      <c r="H1183">
        <v>-1.52</v>
      </c>
    </row>
    <row r="1184" spans="1:8" x14ac:dyDescent="0.25">
      <c r="A1184">
        <v>1169</v>
      </c>
      <c r="B1184">
        <v>100</v>
      </c>
      <c r="C1184">
        <v>70</v>
      </c>
      <c r="D1184">
        <v>70</v>
      </c>
      <c r="E1184">
        <v>60</v>
      </c>
      <c r="F1184">
        <v>19.78</v>
      </c>
      <c r="G1184">
        <v>-6.95</v>
      </c>
      <c r="H1184">
        <v>-4.26</v>
      </c>
    </row>
    <row r="1185" spans="1:8" x14ac:dyDescent="0.25">
      <c r="A1185">
        <v>1170</v>
      </c>
      <c r="B1185">
        <v>100</v>
      </c>
      <c r="C1185">
        <v>100</v>
      </c>
      <c r="D1185">
        <v>70</v>
      </c>
      <c r="E1185">
        <v>60</v>
      </c>
      <c r="F1185">
        <v>16.37</v>
      </c>
      <c r="G1185">
        <v>2.19</v>
      </c>
      <c r="H1185">
        <v>-5.71</v>
      </c>
    </row>
    <row r="1186" spans="1:8" x14ac:dyDescent="0.25">
      <c r="A1186">
        <v>1171</v>
      </c>
      <c r="B1186">
        <v>0</v>
      </c>
      <c r="C1186">
        <v>0</v>
      </c>
      <c r="D1186">
        <v>100</v>
      </c>
      <c r="E1186">
        <v>60</v>
      </c>
      <c r="F1186">
        <v>49.44</v>
      </c>
      <c r="G1186">
        <v>-4.7</v>
      </c>
      <c r="H1186">
        <v>48.48</v>
      </c>
    </row>
    <row r="1187" spans="1:8" x14ac:dyDescent="0.25">
      <c r="A1187">
        <v>1172</v>
      </c>
      <c r="B1187">
        <v>0</v>
      </c>
      <c r="C1187">
        <v>20</v>
      </c>
      <c r="D1187">
        <v>100</v>
      </c>
      <c r="E1187">
        <v>60</v>
      </c>
      <c r="F1187">
        <v>44.75</v>
      </c>
      <c r="G1187">
        <v>2.76</v>
      </c>
      <c r="H1187">
        <v>43.09</v>
      </c>
    </row>
    <row r="1188" spans="1:8" x14ac:dyDescent="0.25">
      <c r="A1188">
        <v>1173</v>
      </c>
      <c r="B1188">
        <v>0</v>
      </c>
      <c r="C1188">
        <v>40</v>
      </c>
      <c r="D1188">
        <v>100</v>
      </c>
      <c r="E1188">
        <v>60</v>
      </c>
      <c r="F1188">
        <v>40.130000000000003</v>
      </c>
      <c r="G1188">
        <v>10.7</v>
      </c>
      <c r="H1188">
        <v>37.979999999999997</v>
      </c>
    </row>
    <row r="1189" spans="1:8" x14ac:dyDescent="0.25">
      <c r="A1189">
        <v>1174</v>
      </c>
      <c r="B1189">
        <v>0</v>
      </c>
      <c r="C1189">
        <v>70</v>
      </c>
      <c r="D1189">
        <v>100</v>
      </c>
      <c r="E1189">
        <v>60</v>
      </c>
      <c r="F1189">
        <v>33.06</v>
      </c>
      <c r="G1189">
        <v>23.39</v>
      </c>
      <c r="H1189">
        <v>29.99</v>
      </c>
    </row>
    <row r="1190" spans="1:8" x14ac:dyDescent="0.25">
      <c r="A1190">
        <v>1175</v>
      </c>
      <c r="B1190">
        <v>0</v>
      </c>
      <c r="C1190">
        <v>100</v>
      </c>
      <c r="D1190">
        <v>100</v>
      </c>
      <c r="E1190">
        <v>60</v>
      </c>
      <c r="F1190">
        <v>27.49</v>
      </c>
      <c r="G1190">
        <v>34.659999999999997</v>
      </c>
      <c r="H1190">
        <v>24.24</v>
      </c>
    </row>
    <row r="1191" spans="1:8" x14ac:dyDescent="0.25">
      <c r="A1191">
        <v>1176</v>
      </c>
      <c r="B1191">
        <v>20</v>
      </c>
      <c r="C1191">
        <v>0</v>
      </c>
      <c r="D1191">
        <v>100</v>
      </c>
      <c r="E1191">
        <v>60</v>
      </c>
      <c r="F1191">
        <v>45.55</v>
      </c>
      <c r="G1191">
        <v>-10.43</v>
      </c>
      <c r="H1191">
        <v>41.25</v>
      </c>
    </row>
    <row r="1192" spans="1:8" x14ac:dyDescent="0.25">
      <c r="A1192">
        <v>1177</v>
      </c>
      <c r="B1192">
        <v>20</v>
      </c>
      <c r="C1192">
        <v>20</v>
      </c>
      <c r="D1192">
        <v>100</v>
      </c>
      <c r="E1192">
        <v>60</v>
      </c>
      <c r="F1192">
        <v>40.78</v>
      </c>
      <c r="G1192">
        <v>-3.32</v>
      </c>
      <c r="H1192">
        <v>35.71</v>
      </c>
    </row>
    <row r="1193" spans="1:8" x14ac:dyDescent="0.25">
      <c r="A1193">
        <v>1178</v>
      </c>
      <c r="B1193">
        <v>20</v>
      </c>
      <c r="C1193">
        <v>40</v>
      </c>
      <c r="D1193">
        <v>100</v>
      </c>
      <c r="E1193">
        <v>60</v>
      </c>
      <c r="F1193">
        <v>36.299999999999997</v>
      </c>
      <c r="G1193">
        <v>4.51</v>
      </c>
      <c r="H1193">
        <v>30.8</v>
      </c>
    </row>
    <row r="1194" spans="1:8" x14ac:dyDescent="0.25">
      <c r="A1194">
        <v>1179</v>
      </c>
      <c r="B1194">
        <v>20</v>
      </c>
      <c r="C1194">
        <v>70</v>
      </c>
      <c r="D1194">
        <v>100</v>
      </c>
      <c r="E1194">
        <v>60</v>
      </c>
      <c r="F1194">
        <v>29.61</v>
      </c>
      <c r="G1194">
        <v>17.11</v>
      </c>
      <c r="H1194">
        <v>23.49</v>
      </c>
    </row>
    <row r="1195" spans="1:8" x14ac:dyDescent="0.25">
      <c r="A1195">
        <v>1180</v>
      </c>
      <c r="B1195">
        <v>20</v>
      </c>
      <c r="C1195">
        <v>100</v>
      </c>
      <c r="D1195">
        <v>100</v>
      </c>
      <c r="E1195">
        <v>60</v>
      </c>
      <c r="F1195">
        <v>24.66</v>
      </c>
      <c r="G1195">
        <v>27.61</v>
      </c>
      <c r="H1195">
        <v>18.52</v>
      </c>
    </row>
    <row r="1196" spans="1:8" x14ac:dyDescent="0.25">
      <c r="A1196">
        <v>1181</v>
      </c>
      <c r="B1196">
        <v>40</v>
      </c>
      <c r="C1196">
        <v>0</v>
      </c>
      <c r="D1196">
        <v>100</v>
      </c>
      <c r="E1196">
        <v>60</v>
      </c>
      <c r="F1196">
        <v>41.75</v>
      </c>
      <c r="G1196">
        <v>-16.62</v>
      </c>
      <c r="H1196">
        <v>34.35</v>
      </c>
    </row>
    <row r="1197" spans="1:8" x14ac:dyDescent="0.25">
      <c r="A1197">
        <v>1182</v>
      </c>
      <c r="B1197">
        <v>40</v>
      </c>
      <c r="C1197">
        <v>20</v>
      </c>
      <c r="D1197">
        <v>100</v>
      </c>
      <c r="E1197">
        <v>60</v>
      </c>
      <c r="F1197">
        <v>37.270000000000003</v>
      </c>
      <c r="G1197">
        <v>-9.1999999999999993</v>
      </c>
      <c r="H1197">
        <v>29.25</v>
      </c>
    </row>
    <row r="1198" spans="1:8" x14ac:dyDescent="0.25">
      <c r="A1198">
        <v>1183</v>
      </c>
      <c r="B1198">
        <v>40</v>
      </c>
      <c r="C1198">
        <v>40</v>
      </c>
      <c r="D1198">
        <v>100</v>
      </c>
      <c r="E1198">
        <v>60</v>
      </c>
      <c r="F1198">
        <v>32.96</v>
      </c>
      <c r="G1198">
        <v>-1.52</v>
      </c>
      <c r="H1198">
        <v>24.5</v>
      </c>
    </row>
    <row r="1199" spans="1:8" x14ac:dyDescent="0.25">
      <c r="A1199">
        <v>1184</v>
      </c>
      <c r="B1199">
        <v>40</v>
      </c>
      <c r="C1199">
        <v>70</v>
      </c>
      <c r="D1199">
        <v>100</v>
      </c>
      <c r="E1199">
        <v>60</v>
      </c>
      <c r="F1199">
        <v>26.69</v>
      </c>
      <c r="G1199">
        <v>10.88</v>
      </c>
      <c r="H1199">
        <v>17.809999999999999</v>
      </c>
    </row>
    <row r="1200" spans="1:8" x14ac:dyDescent="0.25">
      <c r="A1200">
        <v>1185</v>
      </c>
      <c r="B1200">
        <v>40</v>
      </c>
      <c r="C1200">
        <v>100</v>
      </c>
      <c r="D1200">
        <v>100</v>
      </c>
      <c r="E1200">
        <v>60</v>
      </c>
      <c r="F1200">
        <v>22.21</v>
      </c>
      <c r="G1200">
        <v>20.8</v>
      </c>
      <c r="H1200">
        <v>13.57</v>
      </c>
    </row>
    <row r="1201" spans="1:8" x14ac:dyDescent="0.25">
      <c r="A1201">
        <v>1186</v>
      </c>
      <c r="B1201">
        <v>70</v>
      </c>
      <c r="C1201">
        <v>0</v>
      </c>
      <c r="D1201">
        <v>100</v>
      </c>
      <c r="E1201">
        <v>60</v>
      </c>
      <c r="F1201">
        <v>35.9</v>
      </c>
      <c r="G1201">
        <v>-26.85</v>
      </c>
      <c r="H1201">
        <v>23.63</v>
      </c>
    </row>
    <row r="1202" spans="1:8" x14ac:dyDescent="0.25">
      <c r="A1202">
        <v>1187</v>
      </c>
      <c r="B1202">
        <v>70</v>
      </c>
      <c r="C1202">
        <v>20</v>
      </c>
      <c r="D1202">
        <v>100</v>
      </c>
      <c r="E1202">
        <v>60</v>
      </c>
      <c r="F1202">
        <v>32.01</v>
      </c>
      <c r="G1202">
        <v>-19.02</v>
      </c>
      <c r="H1202">
        <v>19.52</v>
      </c>
    </row>
    <row r="1203" spans="1:8" x14ac:dyDescent="0.25">
      <c r="A1203">
        <v>1188</v>
      </c>
      <c r="B1203">
        <v>70</v>
      </c>
      <c r="C1203">
        <v>40</v>
      </c>
      <c r="D1203">
        <v>100</v>
      </c>
      <c r="E1203">
        <v>60</v>
      </c>
      <c r="F1203">
        <v>28.26</v>
      </c>
      <c r="G1203">
        <v>-11.29</v>
      </c>
      <c r="H1203">
        <v>15.57</v>
      </c>
    </row>
    <row r="1204" spans="1:8" x14ac:dyDescent="0.25">
      <c r="A1204">
        <v>1189</v>
      </c>
      <c r="B1204">
        <v>70</v>
      </c>
      <c r="C1204">
        <v>70</v>
      </c>
      <c r="D1204">
        <v>100</v>
      </c>
      <c r="E1204">
        <v>60</v>
      </c>
      <c r="F1204">
        <v>22.69</v>
      </c>
      <c r="G1204">
        <v>0.79</v>
      </c>
      <c r="H1204">
        <v>9.89</v>
      </c>
    </row>
    <row r="1205" spans="1:8" x14ac:dyDescent="0.25">
      <c r="A1205">
        <v>1190</v>
      </c>
      <c r="B1205">
        <v>70</v>
      </c>
      <c r="C1205">
        <v>100</v>
      </c>
      <c r="D1205">
        <v>100</v>
      </c>
      <c r="E1205">
        <v>60</v>
      </c>
      <c r="F1205">
        <v>18.71</v>
      </c>
      <c r="G1205">
        <v>10.28</v>
      </c>
      <c r="H1205">
        <v>6.54</v>
      </c>
    </row>
    <row r="1206" spans="1:8" x14ac:dyDescent="0.25">
      <c r="A1206">
        <v>1191</v>
      </c>
      <c r="B1206">
        <v>100</v>
      </c>
      <c r="C1206">
        <v>0</v>
      </c>
      <c r="D1206">
        <v>100</v>
      </c>
      <c r="E1206">
        <v>60</v>
      </c>
      <c r="F1206">
        <v>30.93</v>
      </c>
      <c r="G1206">
        <v>-36.82</v>
      </c>
      <c r="H1206">
        <v>14.62</v>
      </c>
    </row>
    <row r="1207" spans="1:8" x14ac:dyDescent="0.25">
      <c r="A1207">
        <v>1192</v>
      </c>
      <c r="B1207">
        <v>100</v>
      </c>
      <c r="C1207">
        <v>20</v>
      </c>
      <c r="D1207">
        <v>100</v>
      </c>
      <c r="E1207">
        <v>60</v>
      </c>
      <c r="F1207">
        <v>27.48</v>
      </c>
      <c r="G1207">
        <v>-29.04</v>
      </c>
      <c r="H1207">
        <v>11.33</v>
      </c>
    </row>
    <row r="1208" spans="1:8" x14ac:dyDescent="0.25">
      <c r="A1208">
        <v>1193</v>
      </c>
      <c r="B1208">
        <v>100</v>
      </c>
      <c r="C1208">
        <v>40</v>
      </c>
      <c r="D1208">
        <v>100</v>
      </c>
      <c r="E1208">
        <v>60</v>
      </c>
      <c r="F1208">
        <v>24.21</v>
      </c>
      <c r="G1208">
        <v>-21.32</v>
      </c>
      <c r="H1208">
        <v>8.16</v>
      </c>
    </row>
    <row r="1209" spans="1:8" x14ac:dyDescent="0.25">
      <c r="A1209">
        <v>1194</v>
      </c>
      <c r="B1209">
        <v>100</v>
      </c>
      <c r="C1209">
        <v>70</v>
      </c>
      <c r="D1209">
        <v>100</v>
      </c>
      <c r="E1209">
        <v>60</v>
      </c>
      <c r="F1209">
        <v>19.45</v>
      </c>
      <c r="G1209">
        <v>-9.39</v>
      </c>
      <c r="H1209">
        <v>3.6</v>
      </c>
    </row>
    <row r="1210" spans="1:8" x14ac:dyDescent="0.25">
      <c r="A1210">
        <v>1195</v>
      </c>
      <c r="B1210">
        <v>100</v>
      </c>
      <c r="C1210">
        <v>100</v>
      </c>
      <c r="D1210">
        <v>100</v>
      </c>
      <c r="E1210">
        <v>60</v>
      </c>
      <c r="F1210">
        <v>16.02</v>
      </c>
      <c r="G1210">
        <v>0</v>
      </c>
      <c r="H1210">
        <v>0.57999999999999996</v>
      </c>
    </row>
    <row r="1211" spans="1:8" x14ac:dyDescent="0.25">
      <c r="A1211">
        <v>1196</v>
      </c>
      <c r="B1211">
        <v>0</v>
      </c>
      <c r="C1211">
        <v>0</v>
      </c>
      <c r="D1211">
        <v>0</v>
      </c>
      <c r="E1211">
        <v>80</v>
      </c>
      <c r="F1211">
        <v>35.68</v>
      </c>
      <c r="G1211">
        <v>0.18</v>
      </c>
      <c r="H1211">
        <v>-1.23</v>
      </c>
    </row>
    <row r="1212" spans="1:8" x14ac:dyDescent="0.25">
      <c r="A1212">
        <v>1197</v>
      </c>
      <c r="B1212">
        <v>0</v>
      </c>
      <c r="C1212">
        <v>40</v>
      </c>
      <c r="D1212">
        <v>0</v>
      </c>
      <c r="E1212">
        <v>80</v>
      </c>
      <c r="F1212">
        <v>28.86</v>
      </c>
      <c r="G1212">
        <v>10.34</v>
      </c>
      <c r="H1212">
        <v>-1.77</v>
      </c>
    </row>
    <row r="1213" spans="1:8" x14ac:dyDescent="0.25">
      <c r="A1213">
        <v>1198</v>
      </c>
      <c r="B1213">
        <v>0</v>
      </c>
      <c r="C1213">
        <v>70</v>
      </c>
      <c r="D1213">
        <v>0</v>
      </c>
      <c r="E1213">
        <v>80</v>
      </c>
      <c r="F1213">
        <v>23.84</v>
      </c>
      <c r="G1213">
        <v>19.940000000000001</v>
      </c>
      <c r="H1213">
        <v>-1.57</v>
      </c>
    </row>
    <row r="1214" spans="1:8" x14ac:dyDescent="0.25">
      <c r="A1214">
        <v>1199</v>
      </c>
      <c r="B1214">
        <v>0</v>
      </c>
      <c r="C1214">
        <v>100</v>
      </c>
      <c r="D1214">
        <v>0</v>
      </c>
      <c r="E1214">
        <v>80</v>
      </c>
      <c r="F1214">
        <v>19.3</v>
      </c>
      <c r="G1214">
        <v>28.12</v>
      </c>
      <c r="H1214">
        <v>-0.32</v>
      </c>
    </row>
    <row r="1215" spans="1:8" x14ac:dyDescent="0.25">
      <c r="A1215">
        <v>1200</v>
      </c>
      <c r="B1215">
        <v>40</v>
      </c>
      <c r="C1215">
        <v>0</v>
      </c>
      <c r="D1215">
        <v>0</v>
      </c>
      <c r="E1215">
        <v>80</v>
      </c>
      <c r="F1215">
        <v>30.06</v>
      </c>
      <c r="G1215">
        <v>-5.36</v>
      </c>
      <c r="H1215">
        <v>-8.82</v>
      </c>
    </row>
    <row r="1216" spans="1:8" x14ac:dyDescent="0.25">
      <c r="A1216">
        <v>1201</v>
      </c>
      <c r="B1216">
        <v>40</v>
      </c>
      <c r="C1216">
        <v>40</v>
      </c>
      <c r="D1216">
        <v>0</v>
      </c>
      <c r="E1216">
        <v>80</v>
      </c>
      <c r="F1216">
        <v>24.63</v>
      </c>
      <c r="G1216">
        <v>4.54</v>
      </c>
      <c r="H1216">
        <v>-8.7100000000000009</v>
      </c>
    </row>
    <row r="1217" spans="1:8" x14ac:dyDescent="0.25">
      <c r="A1217">
        <v>1202</v>
      </c>
      <c r="B1217">
        <v>40</v>
      </c>
      <c r="C1217">
        <v>70</v>
      </c>
      <c r="D1217">
        <v>0</v>
      </c>
      <c r="E1217">
        <v>80</v>
      </c>
      <c r="F1217">
        <v>20.56</v>
      </c>
      <c r="G1217">
        <v>13.65</v>
      </c>
      <c r="H1217">
        <v>-7.91</v>
      </c>
    </row>
    <row r="1218" spans="1:8" x14ac:dyDescent="0.25">
      <c r="A1218">
        <v>1203</v>
      </c>
      <c r="B1218">
        <v>40</v>
      </c>
      <c r="C1218">
        <v>100</v>
      </c>
      <c r="D1218">
        <v>0</v>
      </c>
      <c r="E1218">
        <v>80</v>
      </c>
      <c r="F1218">
        <v>16.649999999999999</v>
      </c>
      <c r="G1218">
        <v>21.02</v>
      </c>
      <c r="H1218">
        <v>-6.3</v>
      </c>
    </row>
    <row r="1219" spans="1:8" x14ac:dyDescent="0.25">
      <c r="A1219">
        <v>1204</v>
      </c>
      <c r="B1219">
        <v>70</v>
      </c>
      <c r="C1219">
        <v>0</v>
      </c>
      <c r="D1219">
        <v>0</v>
      </c>
      <c r="E1219">
        <v>80</v>
      </c>
      <c r="F1219">
        <v>25.85</v>
      </c>
      <c r="G1219">
        <v>-10.89</v>
      </c>
      <c r="H1219">
        <v>-15.21</v>
      </c>
    </row>
    <row r="1220" spans="1:8" x14ac:dyDescent="0.25">
      <c r="A1220">
        <v>1205</v>
      </c>
      <c r="B1220">
        <v>70</v>
      </c>
      <c r="C1220">
        <v>40</v>
      </c>
      <c r="D1220">
        <v>0</v>
      </c>
      <c r="E1220">
        <v>80</v>
      </c>
      <c r="F1220">
        <v>21.49</v>
      </c>
      <c r="G1220">
        <v>-1.32</v>
      </c>
      <c r="H1220">
        <v>-14.19</v>
      </c>
    </row>
    <row r="1221" spans="1:8" x14ac:dyDescent="0.25">
      <c r="A1221">
        <v>1206</v>
      </c>
      <c r="B1221">
        <v>70</v>
      </c>
      <c r="C1221">
        <v>70</v>
      </c>
      <c r="D1221">
        <v>0</v>
      </c>
      <c r="E1221">
        <v>80</v>
      </c>
      <c r="F1221">
        <v>17.579999999999998</v>
      </c>
      <c r="G1221">
        <v>7.13</v>
      </c>
      <c r="H1221">
        <v>-13.04</v>
      </c>
    </row>
    <row r="1222" spans="1:8" x14ac:dyDescent="0.25">
      <c r="A1222">
        <v>1207</v>
      </c>
      <c r="B1222">
        <v>70</v>
      </c>
      <c r="C1222">
        <v>100</v>
      </c>
      <c r="D1222">
        <v>0</v>
      </c>
      <c r="E1222">
        <v>80</v>
      </c>
      <c r="F1222">
        <v>14.48</v>
      </c>
      <c r="G1222">
        <v>14.33</v>
      </c>
      <c r="H1222">
        <v>-11.55</v>
      </c>
    </row>
    <row r="1223" spans="1:8" x14ac:dyDescent="0.25">
      <c r="A1223">
        <v>1208</v>
      </c>
      <c r="B1223">
        <v>100</v>
      </c>
      <c r="C1223">
        <v>0</v>
      </c>
      <c r="D1223">
        <v>0</v>
      </c>
      <c r="E1223">
        <v>80</v>
      </c>
      <c r="F1223">
        <v>21.74</v>
      </c>
      <c r="G1223">
        <v>-15.31</v>
      </c>
      <c r="H1223">
        <v>-19.73</v>
      </c>
    </row>
    <row r="1224" spans="1:8" x14ac:dyDescent="0.25">
      <c r="A1224">
        <v>1209</v>
      </c>
      <c r="B1224">
        <v>100</v>
      </c>
      <c r="C1224">
        <v>40</v>
      </c>
      <c r="D1224">
        <v>0</v>
      </c>
      <c r="E1224">
        <v>80</v>
      </c>
      <c r="F1224">
        <v>18.12</v>
      </c>
      <c r="G1224">
        <v>-6.07</v>
      </c>
      <c r="H1224">
        <v>-17.97</v>
      </c>
    </row>
    <row r="1225" spans="1:8" x14ac:dyDescent="0.25">
      <c r="A1225">
        <v>1210</v>
      </c>
      <c r="B1225">
        <v>100</v>
      </c>
      <c r="C1225">
        <v>70</v>
      </c>
      <c r="D1225">
        <v>0</v>
      </c>
      <c r="E1225">
        <v>80</v>
      </c>
      <c r="F1225">
        <v>15.27</v>
      </c>
      <c r="G1225">
        <v>1.66</v>
      </c>
      <c r="H1225">
        <v>-16.739999999999998</v>
      </c>
    </row>
    <row r="1226" spans="1:8" x14ac:dyDescent="0.25">
      <c r="A1226">
        <v>1211</v>
      </c>
      <c r="B1226">
        <v>100</v>
      </c>
      <c r="C1226">
        <v>100</v>
      </c>
      <c r="D1226">
        <v>0</v>
      </c>
      <c r="E1226">
        <v>80</v>
      </c>
      <c r="F1226">
        <v>12.86</v>
      </c>
      <c r="G1226">
        <v>8.39</v>
      </c>
      <c r="H1226">
        <v>-14.5</v>
      </c>
    </row>
    <row r="1227" spans="1:8" x14ac:dyDescent="0.25">
      <c r="A1227">
        <v>1212</v>
      </c>
      <c r="B1227">
        <v>0</v>
      </c>
      <c r="C1227">
        <v>0</v>
      </c>
      <c r="D1227">
        <v>40</v>
      </c>
      <c r="E1227">
        <v>80</v>
      </c>
      <c r="F1227">
        <v>34.49</v>
      </c>
      <c r="G1227">
        <v>-2.33</v>
      </c>
      <c r="H1227">
        <v>10.51</v>
      </c>
    </row>
    <row r="1228" spans="1:8" x14ac:dyDescent="0.25">
      <c r="A1228">
        <v>1213</v>
      </c>
      <c r="B1228">
        <v>0</v>
      </c>
      <c r="C1228">
        <v>40</v>
      </c>
      <c r="D1228">
        <v>40</v>
      </c>
      <c r="E1228">
        <v>80</v>
      </c>
      <c r="F1228">
        <v>28.52</v>
      </c>
      <c r="G1228">
        <v>7.81</v>
      </c>
      <c r="H1228">
        <v>8.16</v>
      </c>
    </row>
    <row r="1229" spans="1:8" x14ac:dyDescent="0.25">
      <c r="A1229">
        <v>1214</v>
      </c>
      <c r="B1229">
        <v>0</v>
      </c>
      <c r="C1229">
        <v>70</v>
      </c>
      <c r="D1229">
        <v>40</v>
      </c>
      <c r="E1229">
        <v>80</v>
      </c>
      <c r="F1229">
        <v>23.86</v>
      </c>
      <c r="G1229">
        <v>17.34</v>
      </c>
      <c r="H1229">
        <v>6.56</v>
      </c>
    </row>
    <row r="1230" spans="1:8" x14ac:dyDescent="0.25">
      <c r="A1230">
        <v>1215</v>
      </c>
      <c r="B1230">
        <v>0</v>
      </c>
      <c r="C1230">
        <v>100</v>
      </c>
      <c r="D1230">
        <v>40</v>
      </c>
      <c r="E1230">
        <v>80</v>
      </c>
      <c r="F1230">
        <v>19.54</v>
      </c>
      <c r="G1230">
        <v>25.34</v>
      </c>
      <c r="H1230">
        <v>6.31</v>
      </c>
    </row>
    <row r="1231" spans="1:8" x14ac:dyDescent="0.25">
      <c r="A1231">
        <v>1216</v>
      </c>
      <c r="B1231">
        <v>40</v>
      </c>
      <c r="C1231">
        <v>0</v>
      </c>
      <c r="D1231">
        <v>40</v>
      </c>
      <c r="E1231">
        <v>80</v>
      </c>
      <c r="F1231">
        <v>29.56</v>
      </c>
      <c r="G1231">
        <v>-9</v>
      </c>
      <c r="H1231">
        <v>3.23</v>
      </c>
    </row>
    <row r="1232" spans="1:8" x14ac:dyDescent="0.25">
      <c r="A1232">
        <v>1217</v>
      </c>
      <c r="B1232">
        <v>40</v>
      </c>
      <c r="C1232">
        <v>40</v>
      </c>
      <c r="D1232">
        <v>40</v>
      </c>
      <c r="E1232">
        <v>80</v>
      </c>
      <c r="F1232">
        <v>23.9</v>
      </c>
      <c r="G1232">
        <v>1.54</v>
      </c>
      <c r="H1232">
        <v>0.96</v>
      </c>
    </row>
    <row r="1233" spans="1:8" x14ac:dyDescent="0.25">
      <c r="A1233">
        <v>1218</v>
      </c>
      <c r="B1233">
        <v>40</v>
      </c>
      <c r="C1233">
        <v>70</v>
      </c>
      <c r="D1233">
        <v>40</v>
      </c>
      <c r="E1233">
        <v>80</v>
      </c>
      <c r="F1233">
        <v>20.059999999999999</v>
      </c>
      <c r="G1233">
        <v>10.47</v>
      </c>
      <c r="H1233">
        <v>-0.18</v>
      </c>
    </row>
    <row r="1234" spans="1:8" x14ac:dyDescent="0.25">
      <c r="A1234">
        <v>1219</v>
      </c>
      <c r="B1234">
        <v>40</v>
      </c>
      <c r="C1234">
        <v>100</v>
      </c>
      <c r="D1234">
        <v>40</v>
      </c>
      <c r="E1234">
        <v>80</v>
      </c>
      <c r="F1234">
        <v>16.79</v>
      </c>
      <c r="G1234">
        <v>17.43</v>
      </c>
      <c r="H1234">
        <v>0.19</v>
      </c>
    </row>
    <row r="1235" spans="1:8" x14ac:dyDescent="0.25">
      <c r="A1235">
        <v>1220</v>
      </c>
      <c r="B1235">
        <v>70</v>
      </c>
      <c r="C1235">
        <v>0</v>
      </c>
      <c r="D1235">
        <v>40</v>
      </c>
      <c r="E1235">
        <v>80</v>
      </c>
      <c r="F1235">
        <v>25.65</v>
      </c>
      <c r="G1235">
        <v>-15.29</v>
      </c>
      <c r="H1235">
        <v>-3.43</v>
      </c>
    </row>
    <row r="1236" spans="1:8" x14ac:dyDescent="0.25">
      <c r="A1236">
        <v>1221</v>
      </c>
      <c r="B1236">
        <v>70</v>
      </c>
      <c r="C1236">
        <v>40</v>
      </c>
      <c r="D1236">
        <v>40</v>
      </c>
      <c r="E1236">
        <v>80</v>
      </c>
      <c r="F1236">
        <v>20.94</v>
      </c>
      <c r="G1236">
        <v>-5.32</v>
      </c>
      <c r="H1236">
        <v>-4.5</v>
      </c>
    </row>
    <row r="1237" spans="1:8" x14ac:dyDescent="0.25">
      <c r="A1237">
        <v>1222</v>
      </c>
      <c r="B1237">
        <v>70</v>
      </c>
      <c r="C1237">
        <v>70</v>
      </c>
      <c r="D1237">
        <v>40</v>
      </c>
      <c r="E1237">
        <v>80</v>
      </c>
      <c r="F1237">
        <v>17.440000000000001</v>
      </c>
      <c r="G1237">
        <v>3.88</v>
      </c>
      <c r="H1237">
        <v>-5.1100000000000003</v>
      </c>
    </row>
    <row r="1238" spans="1:8" x14ac:dyDescent="0.25">
      <c r="A1238">
        <v>1223</v>
      </c>
      <c r="B1238">
        <v>70</v>
      </c>
      <c r="C1238">
        <v>100</v>
      </c>
      <c r="D1238">
        <v>40</v>
      </c>
      <c r="E1238">
        <v>80</v>
      </c>
      <c r="F1238">
        <v>14.65</v>
      </c>
      <c r="G1238">
        <v>10.8</v>
      </c>
      <c r="H1238">
        <v>-5.05</v>
      </c>
    </row>
    <row r="1239" spans="1:8" x14ac:dyDescent="0.25">
      <c r="A1239">
        <v>1224</v>
      </c>
      <c r="B1239">
        <v>100</v>
      </c>
      <c r="C1239">
        <v>0</v>
      </c>
      <c r="D1239">
        <v>40</v>
      </c>
      <c r="E1239">
        <v>80</v>
      </c>
      <c r="F1239">
        <v>21.57</v>
      </c>
      <c r="G1239">
        <v>-20.61</v>
      </c>
      <c r="H1239">
        <v>-8.32</v>
      </c>
    </row>
    <row r="1240" spans="1:8" x14ac:dyDescent="0.25">
      <c r="A1240">
        <v>1225</v>
      </c>
      <c r="B1240">
        <v>100</v>
      </c>
      <c r="C1240">
        <v>40</v>
      </c>
      <c r="D1240">
        <v>40</v>
      </c>
      <c r="E1240">
        <v>80</v>
      </c>
      <c r="F1240">
        <v>17.93</v>
      </c>
      <c r="G1240">
        <v>-10.58</v>
      </c>
      <c r="H1240">
        <v>-8.6999999999999993</v>
      </c>
    </row>
    <row r="1241" spans="1:8" x14ac:dyDescent="0.25">
      <c r="A1241">
        <v>1226</v>
      </c>
      <c r="B1241">
        <v>100</v>
      </c>
      <c r="C1241">
        <v>70</v>
      </c>
      <c r="D1241">
        <v>40</v>
      </c>
      <c r="E1241">
        <v>80</v>
      </c>
      <c r="F1241">
        <v>15.11</v>
      </c>
      <c r="G1241">
        <v>-2.14</v>
      </c>
      <c r="H1241">
        <v>-9.2200000000000006</v>
      </c>
    </row>
    <row r="1242" spans="1:8" x14ac:dyDescent="0.25">
      <c r="A1242">
        <v>1227</v>
      </c>
      <c r="B1242">
        <v>100</v>
      </c>
      <c r="C1242">
        <v>100</v>
      </c>
      <c r="D1242">
        <v>40</v>
      </c>
      <c r="E1242">
        <v>80</v>
      </c>
      <c r="F1242">
        <v>12.77</v>
      </c>
      <c r="G1242">
        <v>4.6399999999999997</v>
      </c>
      <c r="H1242">
        <v>-8.33</v>
      </c>
    </row>
    <row r="1243" spans="1:8" x14ac:dyDescent="0.25">
      <c r="A1243">
        <v>1228</v>
      </c>
      <c r="B1243">
        <v>0</v>
      </c>
      <c r="C1243">
        <v>0</v>
      </c>
      <c r="D1243">
        <v>70</v>
      </c>
      <c r="E1243">
        <v>80</v>
      </c>
      <c r="F1243">
        <v>34.44</v>
      </c>
      <c r="G1243">
        <v>-3.82</v>
      </c>
      <c r="H1243">
        <v>21.48</v>
      </c>
    </row>
    <row r="1244" spans="1:8" x14ac:dyDescent="0.25">
      <c r="A1244">
        <v>1229</v>
      </c>
      <c r="B1244">
        <v>0</v>
      </c>
      <c r="C1244">
        <v>40</v>
      </c>
      <c r="D1244">
        <v>70</v>
      </c>
      <c r="E1244">
        <v>80</v>
      </c>
      <c r="F1244">
        <v>28.72</v>
      </c>
      <c r="G1244">
        <v>6.28</v>
      </c>
      <c r="H1244">
        <v>17.059999999999999</v>
      </c>
    </row>
    <row r="1245" spans="1:8" x14ac:dyDescent="0.25">
      <c r="A1245">
        <v>1230</v>
      </c>
      <c r="B1245">
        <v>0</v>
      </c>
      <c r="C1245">
        <v>70</v>
      </c>
      <c r="D1245">
        <v>70</v>
      </c>
      <c r="E1245">
        <v>80</v>
      </c>
      <c r="F1245">
        <v>23.73</v>
      </c>
      <c r="G1245">
        <v>15.67</v>
      </c>
      <c r="H1245">
        <v>13.71</v>
      </c>
    </row>
    <row r="1246" spans="1:8" x14ac:dyDescent="0.25">
      <c r="A1246">
        <v>1231</v>
      </c>
      <c r="B1246">
        <v>0</v>
      </c>
      <c r="C1246">
        <v>100</v>
      </c>
      <c r="D1246">
        <v>70</v>
      </c>
      <c r="E1246">
        <v>80</v>
      </c>
      <c r="F1246">
        <v>19.829999999999998</v>
      </c>
      <c r="G1246">
        <v>23.89</v>
      </c>
      <c r="H1246">
        <v>11.63</v>
      </c>
    </row>
    <row r="1247" spans="1:8" x14ac:dyDescent="0.25">
      <c r="A1247">
        <v>1232</v>
      </c>
      <c r="B1247">
        <v>40</v>
      </c>
      <c r="C1247">
        <v>0</v>
      </c>
      <c r="D1247">
        <v>70</v>
      </c>
      <c r="E1247">
        <v>80</v>
      </c>
      <c r="F1247">
        <v>29.71</v>
      </c>
      <c r="G1247">
        <v>-11.07</v>
      </c>
      <c r="H1247">
        <v>13.63</v>
      </c>
    </row>
    <row r="1248" spans="1:8" x14ac:dyDescent="0.25">
      <c r="A1248">
        <v>1233</v>
      </c>
      <c r="B1248">
        <v>40</v>
      </c>
      <c r="C1248">
        <v>40</v>
      </c>
      <c r="D1248">
        <v>70</v>
      </c>
      <c r="E1248">
        <v>80</v>
      </c>
      <c r="F1248">
        <v>24.2</v>
      </c>
      <c r="G1248">
        <v>-0.81</v>
      </c>
      <c r="H1248">
        <v>9.2899999999999991</v>
      </c>
    </row>
    <row r="1249" spans="1:8" x14ac:dyDescent="0.25">
      <c r="A1249">
        <v>1234</v>
      </c>
      <c r="B1249">
        <v>40</v>
      </c>
      <c r="C1249">
        <v>70</v>
      </c>
      <c r="D1249">
        <v>70</v>
      </c>
      <c r="E1249">
        <v>80</v>
      </c>
      <c r="F1249">
        <v>19.98</v>
      </c>
      <c r="G1249">
        <v>8.3000000000000007</v>
      </c>
      <c r="H1249">
        <v>6.73</v>
      </c>
    </row>
    <row r="1250" spans="1:8" x14ac:dyDescent="0.25">
      <c r="A1250">
        <v>1235</v>
      </c>
      <c r="B1250">
        <v>40</v>
      </c>
      <c r="C1250">
        <v>100</v>
      </c>
      <c r="D1250">
        <v>70</v>
      </c>
      <c r="E1250">
        <v>80</v>
      </c>
      <c r="F1250">
        <v>17.02</v>
      </c>
      <c r="G1250">
        <v>15.58</v>
      </c>
      <c r="H1250">
        <v>5.51</v>
      </c>
    </row>
    <row r="1251" spans="1:8" x14ac:dyDescent="0.25">
      <c r="A1251">
        <v>1236</v>
      </c>
      <c r="B1251">
        <v>70</v>
      </c>
      <c r="C1251">
        <v>0</v>
      </c>
      <c r="D1251">
        <v>70</v>
      </c>
      <c r="E1251">
        <v>80</v>
      </c>
      <c r="F1251">
        <v>25.36</v>
      </c>
      <c r="G1251">
        <v>-18.059999999999999</v>
      </c>
      <c r="H1251">
        <v>6.59</v>
      </c>
    </row>
    <row r="1252" spans="1:8" x14ac:dyDescent="0.25">
      <c r="A1252">
        <v>1237</v>
      </c>
      <c r="B1252">
        <v>70</v>
      </c>
      <c r="C1252">
        <v>40</v>
      </c>
      <c r="D1252">
        <v>70</v>
      </c>
      <c r="E1252">
        <v>80</v>
      </c>
      <c r="F1252">
        <v>20.97</v>
      </c>
      <c r="G1252">
        <v>-7.38</v>
      </c>
      <c r="H1252">
        <v>3.64</v>
      </c>
    </row>
    <row r="1253" spans="1:8" x14ac:dyDescent="0.25">
      <c r="A1253">
        <v>1238</v>
      </c>
      <c r="B1253">
        <v>70</v>
      </c>
      <c r="C1253">
        <v>70</v>
      </c>
      <c r="D1253">
        <v>70</v>
      </c>
      <c r="E1253">
        <v>80</v>
      </c>
      <c r="F1253">
        <v>17.09</v>
      </c>
      <c r="G1253">
        <v>1.76</v>
      </c>
      <c r="H1253">
        <v>1.57</v>
      </c>
    </row>
    <row r="1254" spans="1:8" x14ac:dyDescent="0.25">
      <c r="A1254">
        <v>1239</v>
      </c>
      <c r="B1254">
        <v>70</v>
      </c>
      <c r="C1254">
        <v>100</v>
      </c>
      <c r="D1254">
        <v>70</v>
      </c>
      <c r="E1254">
        <v>80</v>
      </c>
      <c r="F1254">
        <v>14.53</v>
      </c>
      <c r="G1254">
        <v>8.34</v>
      </c>
      <c r="H1254">
        <v>0.2</v>
      </c>
    </row>
    <row r="1255" spans="1:8" x14ac:dyDescent="0.25">
      <c r="A1255">
        <v>1240</v>
      </c>
      <c r="B1255">
        <v>100</v>
      </c>
      <c r="C1255">
        <v>0</v>
      </c>
      <c r="D1255">
        <v>70</v>
      </c>
      <c r="E1255">
        <v>80</v>
      </c>
      <c r="F1255">
        <v>21.84</v>
      </c>
      <c r="G1255">
        <v>-24.34</v>
      </c>
      <c r="H1255">
        <v>1.1000000000000001</v>
      </c>
    </row>
    <row r="1256" spans="1:8" x14ac:dyDescent="0.25">
      <c r="A1256">
        <v>1241</v>
      </c>
      <c r="B1256">
        <v>100</v>
      </c>
      <c r="C1256">
        <v>40</v>
      </c>
      <c r="D1256">
        <v>70</v>
      </c>
      <c r="E1256">
        <v>80</v>
      </c>
      <c r="F1256">
        <v>18.2</v>
      </c>
      <c r="G1256">
        <v>-13.98</v>
      </c>
      <c r="H1256">
        <v>-1.05</v>
      </c>
    </row>
    <row r="1257" spans="1:8" x14ac:dyDescent="0.25">
      <c r="A1257">
        <v>1242</v>
      </c>
      <c r="B1257">
        <v>100</v>
      </c>
      <c r="C1257">
        <v>70</v>
      </c>
      <c r="D1257">
        <v>70</v>
      </c>
      <c r="E1257">
        <v>80</v>
      </c>
      <c r="F1257">
        <v>15.14</v>
      </c>
      <c r="G1257">
        <v>-5.2</v>
      </c>
      <c r="H1257">
        <v>-2.93</v>
      </c>
    </row>
    <row r="1258" spans="1:8" x14ac:dyDescent="0.25">
      <c r="A1258">
        <v>1243</v>
      </c>
      <c r="B1258">
        <v>100</v>
      </c>
      <c r="C1258">
        <v>100</v>
      </c>
      <c r="D1258">
        <v>70</v>
      </c>
      <c r="E1258">
        <v>80</v>
      </c>
      <c r="F1258">
        <v>12.63</v>
      </c>
      <c r="G1258">
        <v>2.37</v>
      </c>
      <c r="H1258">
        <v>-3.89</v>
      </c>
    </row>
    <row r="1259" spans="1:8" x14ac:dyDescent="0.25">
      <c r="A1259">
        <v>1244</v>
      </c>
      <c r="B1259">
        <v>0</v>
      </c>
      <c r="C1259">
        <v>0</v>
      </c>
      <c r="D1259">
        <v>100</v>
      </c>
      <c r="E1259">
        <v>80</v>
      </c>
      <c r="F1259">
        <v>33.409999999999997</v>
      </c>
      <c r="G1259">
        <v>-4.5199999999999996</v>
      </c>
      <c r="H1259">
        <v>30.96</v>
      </c>
    </row>
    <row r="1260" spans="1:8" x14ac:dyDescent="0.25">
      <c r="A1260">
        <v>1245</v>
      </c>
      <c r="B1260">
        <v>0</v>
      </c>
      <c r="C1260">
        <v>40</v>
      </c>
      <c r="D1260">
        <v>100</v>
      </c>
      <c r="E1260">
        <v>80</v>
      </c>
      <c r="F1260">
        <v>27.79</v>
      </c>
      <c r="G1260">
        <v>5.3</v>
      </c>
      <c r="H1260">
        <v>24.68</v>
      </c>
    </row>
    <row r="1261" spans="1:8" x14ac:dyDescent="0.25">
      <c r="A1261">
        <v>1246</v>
      </c>
      <c r="B1261">
        <v>0</v>
      </c>
      <c r="C1261">
        <v>70</v>
      </c>
      <c r="D1261">
        <v>100</v>
      </c>
      <c r="E1261">
        <v>80</v>
      </c>
      <c r="F1261">
        <v>23.44</v>
      </c>
      <c r="G1261">
        <v>14.43</v>
      </c>
      <c r="H1261">
        <v>19.89</v>
      </c>
    </row>
    <row r="1262" spans="1:8" x14ac:dyDescent="0.25">
      <c r="A1262">
        <v>1247</v>
      </c>
      <c r="B1262">
        <v>0</v>
      </c>
      <c r="C1262">
        <v>100</v>
      </c>
      <c r="D1262">
        <v>100</v>
      </c>
      <c r="E1262">
        <v>80</v>
      </c>
      <c r="F1262">
        <v>19.54</v>
      </c>
      <c r="G1262">
        <v>21.84</v>
      </c>
      <c r="H1262">
        <v>15.87</v>
      </c>
    </row>
    <row r="1263" spans="1:8" x14ac:dyDescent="0.25">
      <c r="A1263">
        <v>1248</v>
      </c>
      <c r="B1263">
        <v>40</v>
      </c>
      <c r="C1263">
        <v>0</v>
      </c>
      <c r="D1263">
        <v>100</v>
      </c>
      <c r="E1263">
        <v>80</v>
      </c>
      <c r="F1263">
        <v>28.73</v>
      </c>
      <c r="G1263">
        <v>-12</v>
      </c>
      <c r="H1263">
        <v>22.34</v>
      </c>
    </row>
    <row r="1264" spans="1:8" x14ac:dyDescent="0.25">
      <c r="A1264">
        <v>1249</v>
      </c>
      <c r="B1264">
        <v>40</v>
      </c>
      <c r="C1264">
        <v>40</v>
      </c>
      <c r="D1264">
        <v>100</v>
      </c>
      <c r="E1264">
        <v>80</v>
      </c>
      <c r="F1264">
        <v>23.67</v>
      </c>
      <c r="G1264">
        <v>-2.11</v>
      </c>
      <c r="H1264">
        <v>16.57</v>
      </c>
    </row>
    <row r="1265" spans="1:8" x14ac:dyDescent="0.25">
      <c r="A1265">
        <v>1250</v>
      </c>
      <c r="B1265">
        <v>40</v>
      </c>
      <c r="C1265">
        <v>70</v>
      </c>
      <c r="D1265">
        <v>100</v>
      </c>
      <c r="E1265">
        <v>80</v>
      </c>
      <c r="F1265">
        <v>19.88</v>
      </c>
      <c r="G1265">
        <v>6.99</v>
      </c>
      <c r="H1265">
        <v>12.61</v>
      </c>
    </row>
    <row r="1266" spans="1:8" x14ac:dyDescent="0.25">
      <c r="A1266">
        <v>1251</v>
      </c>
      <c r="B1266">
        <v>40</v>
      </c>
      <c r="C1266">
        <v>100</v>
      </c>
      <c r="D1266">
        <v>100</v>
      </c>
      <c r="E1266">
        <v>80</v>
      </c>
      <c r="F1266">
        <v>16.63</v>
      </c>
      <c r="G1266">
        <v>13.79</v>
      </c>
      <c r="H1266">
        <v>9.4700000000000006</v>
      </c>
    </row>
    <row r="1267" spans="1:8" x14ac:dyDescent="0.25">
      <c r="A1267">
        <v>1252</v>
      </c>
      <c r="B1267">
        <v>70</v>
      </c>
      <c r="C1267">
        <v>0</v>
      </c>
      <c r="D1267">
        <v>100</v>
      </c>
      <c r="E1267">
        <v>80</v>
      </c>
      <c r="F1267">
        <v>25.08</v>
      </c>
      <c r="G1267">
        <v>-19.510000000000002</v>
      </c>
      <c r="H1267">
        <v>15.39</v>
      </c>
    </row>
    <row r="1268" spans="1:8" x14ac:dyDescent="0.25">
      <c r="A1268">
        <v>1253</v>
      </c>
      <c r="B1268">
        <v>70</v>
      </c>
      <c r="C1268">
        <v>40</v>
      </c>
      <c r="D1268">
        <v>100</v>
      </c>
      <c r="E1268">
        <v>80</v>
      </c>
      <c r="F1268">
        <v>20.84</v>
      </c>
      <c r="G1268">
        <v>-9.18</v>
      </c>
      <c r="H1268">
        <v>10.74</v>
      </c>
    </row>
    <row r="1269" spans="1:8" x14ac:dyDescent="0.25">
      <c r="A1269">
        <v>1254</v>
      </c>
      <c r="B1269">
        <v>70</v>
      </c>
      <c r="C1269">
        <v>70</v>
      </c>
      <c r="D1269">
        <v>100</v>
      </c>
      <c r="E1269">
        <v>80</v>
      </c>
      <c r="F1269">
        <v>17.05</v>
      </c>
      <c r="G1269">
        <v>-0.28000000000000003</v>
      </c>
      <c r="H1269">
        <v>6.77</v>
      </c>
    </row>
    <row r="1270" spans="1:8" x14ac:dyDescent="0.25">
      <c r="A1270">
        <v>1255</v>
      </c>
      <c r="B1270">
        <v>70</v>
      </c>
      <c r="C1270">
        <v>100</v>
      </c>
      <c r="D1270">
        <v>100</v>
      </c>
      <c r="E1270">
        <v>80</v>
      </c>
      <c r="F1270">
        <v>14.26</v>
      </c>
      <c r="G1270">
        <v>6.8</v>
      </c>
      <c r="H1270">
        <v>4.43</v>
      </c>
    </row>
    <row r="1271" spans="1:8" x14ac:dyDescent="0.25">
      <c r="A1271">
        <v>1256</v>
      </c>
      <c r="B1271">
        <v>100</v>
      </c>
      <c r="C1271">
        <v>0</v>
      </c>
      <c r="D1271">
        <v>100</v>
      </c>
      <c r="E1271">
        <v>80</v>
      </c>
      <c r="F1271">
        <v>21.55</v>
      </c>
      <c r="G1271">
        <v>-25.5</v>
      </c>
      <c r="H1271">
        <v>9.39</v>
      </c>
    </row>
    <row r="1272" spans="1:8" x14ac:dyDescent="0.25">
      <c r="A1272">
        <v>1257</v>
      </c>
      <c r="B1272">
        <v>100</v>
      </c>
      <c r="C1272">
        <v>40</v>
      </c>
      <c r="D1272">
        <v>100</v>
      </c>
      <c r="E1272">
        <v>80</v>
      </c>
      <c r="F1272">
        <v>17.899999999999999</v>
      </c>
      <c r="G1272">
        <v>-15.37</v>
      </c>
      <c r="H1272">
        <v>5.63</v>
      </c>
    </row>
    <row r="1273" spans="1:8" x14ac:dyDescent="0.25">
      <c r="A1273">
        <v>1258</v>
      </c>
      <c r="B1273">
        <v>100</v>
      </c>
      <c r="C1273">
        <v>70</v>
      </c>
      <c r="D1273">
        <v>100</v>
      </c>
      <c r="E1273">
        <v>80</v>
      </c>
      <c r="F1273">
        <v>15.04</v>
      </c>
      <c r="G1273">
        <v>-7.27</v>
      </c>
      <c r="H1273">
        <v>3.11</v>
      </c>
    </row>
    <row r="1274" spans="1:8" x14ac:dyDescent="0.25">
      <c r="A1274">
        <v>1259</v>
      </c>
      <c r="B1274">
        <v>100</v>
      </c>
      <c r="C1274">
        <v>100</v>
      </c>
      <c r="D1274">
        <v>100</v>
      </c>
      <c r="E1274">
        <v>80</v>
      </c>
      <c r="F1274">
        <v>12.77</v>
      </c>
      <c r="G1274">
        <v>-0.02</v>
      </c>
      <c r="H1274">
        <v>0.5</v>
      </c>
    </row>
    <row r="1275" spans="1:8" x14ac:dyDescent="0.25">
      <c r="A1275">
        <v>1260</v>
      </c>
      <c r="B1275">
        <v>0</v>
      </c>
      <c r="C1275">
        <v>0</v>
      </c>
      <c r="D1275">
        <v>0</v>
      </c>
      <c r="E1275">
        <v>100</v>
      </c>
      <c r="F1275">
        <v>16</v>
      </c>
      <c r="G1275">
        <v>0</v>
      </c>
      <c r="H1275">
        <v>0</v>
      </c>
    </row>
    <row r="1276" spans="1:8" x14ac:dyDescent="0.25">
      <c r="A1276">
        <v>1261</v>
      </c>
      <c r="B1276">
        <v>0</v>
      </c>
      <c r="C1276">
        <v>40</v>
      </c>
      <c r="D1276">
        <v>0</v>
      </c>
      <c r="E1276">
        <v>100</v>
      </c>
      <c r="F1276">
        <v>13.85</v>
      </c>
      <c r="G1276">
        <v>5.53</v>
      </c>
      <c r="H1276">
        <v>0.62</v>
      </c>
    </row>
    <row r="1277" spans="1:8" x14ac:dyDescent="0.25">
      <c r="A1277">
        <v>1262</v>
      </c>
      <c r="B1277">
        <v>0</v>
      </c>
      <c r="C1277">
        <v>100</v>
      </c>
      <c r="D1277">
        <v>0</v>
      </c>
      <c r="E1277">
        <v>100</v>
      </c>
      <c r="F1277">
        <v>10.35</v>
      </c>
      <c r="G1277">
        <v>14.1</v>
      </c>
      <c r="H1277">
        <v>2.2000000000000002</v>
      </c>
    </row>
    <row r="1278" spans="1:8" x14ac:dyDescent="0.25">
      <c r="A1278">
        <v>1263</v>
      </c>
      <c r="B1278">
        <v>40</v>
      </c>
      <c r="C1278">
        <v>0</v>
      </c>
      <c r="D1278">
        <v>0</v>
      </c>
      <c r="E1278">
        <v>100</v>
      </c>
      <c r="F1278">
        <v>14.1</v>
      </c>
      <c r="G1278">
        <v>-3.03</v>
      </c>
      <c r="H1278">
        <v>-4.28</v>
      </c>
    </row>
    <row r="1279" spans="1:8" x14ac:dyDescent="0.25">
      <c r="A1279">
        <v>1264</v>
      </c>
      <c r="B1279">
        <v>40</v>
      </c>
      <c r="C1279">
        <v>40</v>
      </c>
      <c r="D1279">
        <v>0</v>
      </c>
      <c r="E1279">
        <v>100</v>
      </c>
      <c r="F1279">
        <v>12.38</v>
      </c>
      <c r="G1279">
        <v>2.63</v>
      </c>
      <c r="H1279">
        <v>-3.2</v>
      </c>
    </row>
    <row r="1280" spans="1:8" x14ac:dyDescent="0.25">
      <c r="A1280">
        <v>1265</v>
      </c>
      <c r="B1280">
        <v>40</v>
      </c>
      <c r="C1280">
        <v>100</v>
      </c>
      <c r="D1280">
        <v>0</v>
      </c>
      <c r="E1280">
        <v>100</v>
      </c>
      <c r="F1280">
        <v>9.43</v>
      </c>
      <c r="G1280">
        <v>11.11</v>
      </c>
      <c r="H1280">
        <v>-0.67</v>
      </c>
    </row>
    <row r="1281" spans="1:8" x14ac:dyDescent="0.25">
      <c r="A1281">
        <v>1266</v>
      </c>
      <c r="B1281">
        <v>100</v>
      </c>
      <c r="C1281">
        <v>0</v>
      </c>
      <c r="D1281">
        <v>0</v>
      </c>
      <c r="E1281">
        <v>100</v>
      </c>
      <c r="F1281">
        <v>10.64</v>
      </c>
      <c r="G1281">
        <v>-7.57</v>
      </c>
      <c r="H1281">
        <v>-10.68</v>
      </c>
    </row>
    <row r="1282" spans="1:8" x14ac:dyDescent="0.25">
      <c r="A1282">
        <v>1267</v>
      </c>
      <c r="B1282">
        <v>100</v>
      </c>
      <c r="C1282">
        <v>40</v>
      </c>
      <c r="D1282">
        <v>0</v>
      </c>
      <c r="E1282">
        <v>100</v>
      </c>
      <c r="F1282">
        <v>9.6</v>
      </c>
      <c r="G1282">
        <v>-2.2000000000000002</v>
      </c>
      <c r="H1282">
        <v>-8.36</v>
      </c>
    </row>
    <row r="1283" spans="1:8" x14ac:dyDescent="0.25">
      <c r="A1283">
        <v>1268</v>
      </c>
      <c r="B1283">
        <v>100</v>
      </c>
      <c r="C1283">
        <v>100</v>
      </c>
      <c r="D1283">
        <v>0</v>
      </c>
      <c r="E1283">
        <v>100</v>
      </c>
      <c r="F1283">
        <v>7.91</v>
      </c>
      <c r="G1283">
        <v>6.23</v>
      </c>
      <c r="H1283">
        <v>-4.82</v>
      </c>
    </row>
    <row r="1284" spans="1:8" x14ac:dyDescent="0.25">
      <c r="A1284">
        <v>1269</v>
      </c>
      <c r="B1284">
        <v>0</v>
      </c>
      <c r="C1284">
        <v>0</v>
      </c>
      <c r="D1284">
        <v>40</v>
      </c>
      <c r="E1284">
        <v>100</v>
      </c>
      <c r="F1284">
        <v>16.23</v>
      </c>
      <c r="G1284">
        <v>-1.89</v>
      </c>
      <c r="H1284">
        <v>4.96</v>
      </c>
    </row>
    <row r="1285" spans="1:8" x14ac:dyDescent="0.25">
      <c r="A1285">
        <v>1270</v>
      </c>
      <c r="B1285">
        <v>0</v>
      </c>
      <c r="C1285">
        <v>40</v>
      </c>
      <c r="D1285">
        <v>40</v>
      </c>
      <c r="E1285">
        <v>100</v>
      </c>
      <c r="F1285">
        <v>14.04</v>
      </c>
      <c r="G1285">
        <v>3.3</v>
      </c>
      <c r="H1285">
        <v>4.26</v>
      </c>
    </row>
    <row r="1286" spans="1:8" x14ac:dyDescent="0.25">
      <c r="A1286">
        <v>1271</v>
      </c>
      <c r="B1286">
        <v>0</v>
      </c>
      <c r="C1286">
        <v>100</v>
      </c>
      <c r="D1286">
        <v>40</v>
      </c>
      <c r="E1286">
        <v>100</v>
      </c>
      <c r="F1286">
        <v>10.65</v>
      </c>
      <c r="G1286">
        <v>11.68</v>
      </c>
      <c r="H1286">
        <v>4.3499999999999996</v>
      </c>
    </row>
    <row r="1287" spans="1:8" x14ac:dyDescent="0.25">
      <c r="A1287">
        <v>1272</v>
      </c>
      <c r="B1287">
        <v>40</v>
      </c>
      <c r="C1287">
        <v>0</v>
      </c>
      <c r="D1287">
        <v>40</v>
      </c>
      <c r="E1287">
        <v>100</v>
      </c>
      <c r="F1287">
        <v>14.3</v>
      </c>
      <c r="G1287">
        <v>-5.36</v>
      </c>
      <c r="H1287">
        <v>1.1599999999999999</v>
      </c>
    </row>
    <row r="1288" spans="1:8" x14ac:dyDescent="0.25">
      <c r="A1288">
        <v>1273</v>
      </c>
      <c r="B1288">
        <v>40</v>
      </c>
      <c r="C1288">
        <v>40</v>
      </c>
      <c r="D1288">
        <v>40</v>
      </c>
      <c r="E1288">
        <v>100</v>
      </c>
      <c r="F1288">
        <v>12.56</v>
      </c>
      <c r="G1288">
        <v>0.25</v>
      </c>
      <c r="H1288">
        <v>0.61</v>
      </c>
    </row>
    <row r="1289" spans="1:8" x14ac:dyDescent="0.25">
      <c r="A1289">
        <v>1274</v>
      </c>
      <c r="B1289">
        <v>40</v>
      </c>
      <c r="C1289">
        <v>100</v>
      </c>
      <c r="D1289">
        <v>40</v>
      </c>
      <c r="E1289">
        <v>100</v>
      </c>
      <c r="F1289">
        <v>9.81</v>
      </c>
      <c r="G1289">
        <v>8.6300000000000008</v>
      </c>
      <c r="H1289">
        <v>1.73</v>
      </c>
    </row>
    <row r="1290" spans="1:8" x14ac:dyDescent="0.25">
      <c r="A1290">
        <v>1275</v>
      </c>
      <c r="B1290">
        <v>100</v>
      </c>
      <c r="C1290">
        <v>0</v>
      </c>
      <c r="D1290">
        <v>40</v>
      </c>
      <c r="E1290">
        <v>100</v>
      </c>
      <c r="F1290">
        <v>10.95</v>
      </c>
      <c r="G1290">
        <v>-10.39</v>
      </c>
      <c r="H1290">
        <v>-4.6900000000000004</v>
      </c>
    </row>
    <row r="1291" spans="1:8" x14ac:dyDescent="0.25">
      <c r="A1291">
        <v>1276</v>
      </c>
      <c r="B1291">
        <v>100</v>
      </c>
      <c r="C1291">
        <v>40</v>
      </c>
      <c r="D1291">
        <v>40</v>
      </c>
      <c r="E1291">
        <v>100</v>
      </c>
      <c r="F1291">
        <v>9.93</v>
      </c>
      <c r="G1291">
        <v>-5.12</v>
      </c>
      <c r="H1291">
        <v>-3.93</v>
      </c>
    </row>
    <row r="1292" spans="1:8" x14ac:dyDescent="0.25">
      <c r="A1292">
        <v>1277</v>
      </c>
      <c r="B1292">
        <v>100</v>
      </c>
      <c r="C1292">
        <v>100</v>
      </c>
      <c r="D1292">
        <v>40</v>
      </c>
      <c r="E1292">
        <v>100</v>
      </c>
      <c r="F1292">
        <v>8.3800000000000008</v>
      </c>
      <c r="G1292">
        <v>3.5</v>
      </c>
      <c r="H1292">
        <v>-2.02</v>
      </c>
    </row>
    <row r="1293" spans="1:8" x14ac:dyDescent="0.25">
      <c r="A1293">
        <v>1278</v>
      </c>
      <c r="B1293">
        <v>0</v>
      </c>
      <c r="C1293">
        <v>0</v>
      </c>
      <c r="D1293">
        <v>100</v>
      </c>
      <c r="E1293">
        <v>100</v>
      </c>
      <c r="F1293">
        <v>16.190000000000001</v>
      </c>
      <c r="G1293">
        <v>-4.3099999999999996</v>
      </c>
      <c r="H1293">
        <v>11.95</v>
      </c>
    </row>
    <row r="1294" spans="1:8" x14ac:dyDescent="0.25">
      <c r="A1294">
        <v>1279</v>
      </c>
      <c r="B1294">
        <v>0</v>
      </c>
      <c r="C1294">
        <v>40</v>
      </c>
      <c r="D1294">
        <v>100</v>
      </c>
      <c r="E1294">
        <v>100</v>
      </c>
      <c r="F1294">
        <v>14.08</v>
      </c>
      <c r="G1294">
        <v>0.59</v>
      </c>
      <c r="H1294">
        <v>9.89</v>
      </c>
    </row>
    <row r="1295" spans="1:8" x14ac:dyDescent="0.25">
      <c r="A1295">
        <v>1280</v>
      </c>
      <c r="B1295">
        <v>0</v>
      </c>
      <c r="C1295">
        <v>100</v>
      </c>
      <c r="D1295">
        <v>100</v>
      </c>
      <c r="E1295">
        <v>100</v>
      </c>
      <c r="F1295">
        <v>11.1</v>
      </c>
      <c r="G1295">
        <v>8.1999999999999993</v>
      </c>
      <c r="H1295">
        <v>7.28</v>
      </c>
    </row>
    <row r="1296" spans="1:8" x14ac:dyDescent="0.25">
      <c r="A1296">
        <v>1281</v>
      </c>
      <c r="B1296">
        <v>40</v>
      </c>
      <c r="C1296">
        <v>0</v>
      </c>
      <c r="D1296">
        <v>100</v>
      </c>
      <c r="E1296">
        <v>100</v>
      </c>
      <c r="F1296">
        <v>14.27</v>
      </c>
      <c r="G1296">
        <v>-7.8</v>
      </c>
      <c r="H1296">
        <v>8.6199999999999992</v>
      </c>
    </row>
    <row r="1297" spans="1:8" x14ac:dyDescent="0.25">
      <c r="A1297">
        <v>1282</v>
      </c>
      <c r="B1297">
        <v>40</v>
      </c>
      <c r="C1297">
        <v>40</v>
      </c>
      <c r="D1297">
        <v>100</v>
      </c>
      <c r="E1297">
        <v>100</v>
      </c>
      <c r="F1297">
        <v>12.77</v>
      </c>
      <c r="G1297">
        <v>-2.5499999999999998</v>
      </c>
      <c r="H1297">
        <v>7</v>
      </c>
    </row>
    <row r="1298" spans="1:8" x14ac:dyDescent="0.25">
      <c r="A1298">
        <v>1283</v>
      </c>
      <c r="B1298">
        <v>40</v>
      </c>
      <c r="C1298">
        <v>100</v>
      </c>
      <c r="D1298">
        <v>100</v>
      </c>
      <c r="E1298">
        <v>100</v>
      </c>
      <c r="F1298">
        <v>10.26</v>
      </c>
      <c r="G1298">
        <v>5.14</v>
      </c>
      <c r="H1298">
        <v>4.43</v>
      </c>
    </row>
    <row r="1299" spans="1:8" x14ac:dyDescent="0.25">
      <c r="A1299">
        <v>1284</v>
      </c>
      <c r="B1299">
        <v>100</v>
      </c>
      <c r="C1299">
        <v>0</v>
      </c>
      <c r="D1299">
        <v>100</v>
      </c>
      <c r="E1299">
        <v>100</v>
      </c>
      <c r="F1299">
        <v>11.32</v>
      </c>
      <c r="G1299">
        <v>-13.43</v>
      </c>
      <c r="H1299">
        <v>3.66</v>
      </c>
    </row>
    <row r="1300" spans="1:8" x14ac:dyDescent="0.25">
      <c r="A1300">
        <v>1285</v>
      </c>
      <c r="B1300">
        <v>100</v>
      </c>
      <c r="C1300">
        <v>40</v>
      </c>
      <c r="D1300">
        <v>100</v>
      </c>
      <c r="E1300">
        <v>100</v>
      </c>
      <c r="F1300">
        <v>10.43</v>
      </c>
      <c r="G1300">
        <v>-8.0299999999999994</v>
      </c>
      <c r="H1300">
        <v>2.2999999999999998</v>
      </c>
    </row>
    <row r="1301" spans="1:8" x14ac:dyDescent="0.25">
      <c r="A1301">
        <v>1286</v>
      </c>
      <c r="B1301">
        <v>100</v>
      </c>
      <c r="C1301">
        <v>100</v>
      </c>
      <c r="D1301">
        <v>100</v>
      </c>
      <c r="E1301">
        <v>100</v>
      </c>
      <c r="F1301">
        <v>9.0500000000000007</v>
      </c>
      <c r="G1301">
        <v>0.2</v>
      </c>
      <c r="H1301">
        <v>0.39</v>
      </c>
    </row>
    <row r="1302" spans="1:8" x14ac:dyDescent="0.25">
      <c r="A1302">
        <v>1287</v>
      </c>
      <c r="B1302">
        <v>100</v>
      </c>
      <c r="C1302">
        <v>0</v>
      </c>
      <c r="D1302">
        <v>0</v>
      </c>
      <c r="E1302">
        <v>0</v>
      </c>
      <c r="F1302">
        <v>56</v>
      </c>
      <c r="G1302">
        <v>-37</v>
      </c>
      <c r="H1302">
        <v>-50</v>
      </c>
    </row>
    <row r="1303" spans="1:8" x14ac:dyDescent="0.25">
      <c r="A1303">
        <v>1288</v>
      </c>
      <c r="B1303">
        <v>98</v>
      </c>
      <c r="C1303">
        <v>0</v>
      </c>
      <c r="D1303">
        <v>0</v>
      </c>
      <c r="E1303">
        <v>0</v>
      </c>
      <c r="F1303">
        <v>56.42</v>
      </c>
      <c r="G1303">
        <v>-36.56</v>
      </c>
      <c r="H1303">
        <v>-49.48</v>
      </c>
    </row>
    <row r="1304" spans="1:8" x14ac:dyDescent="0.25">
      <c r="A1304">
        <v>1289</v>
      </c>
      <c r="B1304">
        <v>95</v>
      </c>
      <c r="C1304">
        <v>0</v>
      </c>
      <c r="D1304">
        <v>0</v>
      </c>
      <c r="E1304">
        <v>0</v>
      </c>
      <c r="F1304">
        <v>57.19</v>
      </c>
      <c r="G1304">
        <v>-35.700000000000003</v>
      </c>
      <c r="H1304">
        <v>-48.59</v>
      </c>
    </row>
    <row r="1305" spans="1:8" x14ac:dyDescent="0.25">
      <c r="A1305">
        <v>1290</v>
      </c>
      <c r="B1305">
        <v>90</v>
      </c>
      <c r="C1305">
        <v>0</v>
      </c>
      <c r="D1305">
        <v>0</v>
      </c>
      <c r="E1305">
        <v>0</v>
      </c>
      <c r="F1305">
        <v>58.91</v>
      </c>
      <c r="G1305">
        <v>-33.770000000000003</v>
      </c>
      <c r="H1305">
        <v>-46.62</v>
      </c>
    </row>
    <row r="1306" spans="1:8" x14ac:dyDescent="0.25">
      <c r="A1306">
        <v>1291</v>
      </c>
      <c r="B1306">
        <v>85</v>
      </c>
      <c r="C1306">
        <v>0</v>
      </c>
      <c r="D1306">
        <v>0</v>
      </c>
      <c r="E1306">
        <v>0</v>
      </c>
      <c r="F1306">
        <v>60.64</v>
      </c>
      <c r="G1306">
        <v>-31.84</v>
      </c>
      <c r="H1306">
        <v>-44.65</v>
      </c>
    </row>
    <row r="1307" spans="1:8" x14ac:dyDescent="0.25">
      <c r="A1307">
        <v>1292</v>
      </c>
      <c r="B1307">
        <v>80</v>
      </c>
      <c r="C1307">
        <v>0</v>
      </c>
      <c r="D1307">
        <v>0</v>
      </c>
      <c r="E1307">
        <v>0</v>
      </c>
      <c r="F1307">
        <v>62.65</v>
      </c>
      <c r="G1307">
        <v>-29.61</v>
      </c>
      <c r="H1307">
        <v>-42.36</v>
      </c>
    </row>
    <row r="1308" spans="1:8" x14ac:dyDescent="0.25">
      <c r="A1308">
        <v>1293</v>
      </c>
      <c r="B1308">
        <v>75</v>
      </c>
      <c r="C1308">
        <v>0</v>
      </c>
      <c r="D1308">
        <v>0</v>
      </c>
      <c r="E1308">
        <v>0</v>
      </c>
      <c r="F1308">
        <v>64.69</v>
      </c>
      <c r="G1308">
        <v>-27.39</v>
      </c>
      <c r="H1308">
        <v>-40.020000000000003</v>
      </c>
    </row>
    <row r="1309" spans="1:8" x14ac:dyDescent="0.25">
      <c r="A1309">
        <v>1294</v>
      </c>
      <c r="B1309">
        <v>70</v>
      </c>
      <c r="C1309">
        <v>0</v>
      </c>
      <c r="D1309">
        <v>0</v>
      </c>
      <c r="E1309">
        <v>0</v>
      </c>
      <c r="F1309">
        <v>66.790000000000006</v>
      </c>
      <c r="G1309">
        <v>-25.16</v>
      </c>
      <c r="H1309">
        <v>-37.630000000000003</v>
      </c>
    </row>
    <row r="1310" spans="1:8" x14ac:dyDescent="0.25">
      <c r="A1310">
        <v>1295</v>
      </c>
      <c r="B1310">
        <v>60</v>
      </c>
      <c r="C1310">
        <v>0</v>
      </c>
      <c r="D1310">
        <v>0</v>
      </c>
      <c r="E1310">
        <v>0</v>
      </c>
      <c r="F1310">
        <v>71.02</v>
      </c>
      <c r="G1310">
        <v>-20.77</v>
      </c>
      <c r="H1310">
        <v>-32.75</v>
      </c>
    </row>
    <row r="1311" spans="1:8" x14ac:dyDescent="0.25">
      <c r="A1311">
        <v>1296</v>
      </c>
      <c r="B1311">
        <v>50</v>
      </c>
      <c r="C1311">
        <v>0</v>
      </c>
      <c r="D1311">
        <v>0</v>
      </c>
      <c r="E1311">
        <v>0</v>
      </c>
      <c r="F1311">
        <v>75.14</v>
      </c>
      <c r="G1311">
        <v>-16.63</v>
      </c>
      <c r="H1311">
        <v>-27.88</v>
      </c>
    </row>
    <row r="1312" spans="1:8" x14ac:dyDescent="0.25">
      <c r="A1312">
        <v>1297</v>
      </c>
      <c r="B1312">
        <v>40</v>
      </c>
      <c r="C1312">
        <v>0</v>
      </c>
      <c r="D1312">
        <v>0</v>
      </c>
      <c r="E1312">
        <v>0</v>
      </c>
      <c r="F1312">
        <v>79.150000000000006</v>
      </c>
      <c r="G1312">
        <v>-12.76</v>
      </c>
      <c r="H1312">
        <v>-23.17</v>
      </c>
    </row>
    <row r="1313" spans="1:8" x14ac:dyDescent="0.25">
      <c r="A1313">
        <v>1298</v>
      </c>
      <c r="B1313">
        <v>30</v>
      </c>
      <c r="C1313">
        <v>0</v>
      </c>
      <c r="D1313">
        <v>0</v>
      </c>
      <c r="E1313">
        <v>0</v>
      </c>
      <c r="F1313">
        <v>83.14</v>
      </c>
      <c r="G1313">
        <v>-9.14</v>
      </c>
      <c r="H1313">
        <v>-18.38</v>
      </c>
    </row>
    <row r="1314" spans="1:8" x14ac:dyDescent="0.25">
      <c r="A1314">
        <v>1299</v>
      </c>
      <c r="B1314">
        <v>25</v>
      </c>
      <c r="C1314">
        <v>0</v>
      </c>
      <c r="D1314">
        <v>0</v>
      </c>
      <c r="E1314">
        <v>0</v>
      </c>
      <c r="F1314">
        <v>85.11</v>
      </c>
      <c r="G1314">
        <v>-7.4</v>
      </c>
      <c r="H1314">
        <v>-16</v>
      </c>
    </row>
    <row r="1315" spans="1:8" x14ac:dyDescent="0.25">
      <c r="A1315">
        <v>1300</v>
      </c>
      <c r="B1315">
        <v>20</v>
      </c>
      <c r="C1315">
        <v>0</v>
      </c>
      <c r="D1315">
        <v>0</v>
      </c>
      <c r="E1315">
        <v>0</v>
      </c>
      <c r="F1315">
        <v>87.09</v>
      </c>
      <c r="G1315">
        <v>-5.66</v>
      </c>
      <c r="H1315">
        <v>-13.59</v>
      </c>
    </row>
    <row r="1316" spans="1:8" x14ac:dyDescent="0.25">
      <c r="A1316">
        <v>1301</v>
      </c>
      <c r="B1316">
        <v>15</v>
      </c>
      <c r="C1316">
        <v>0</v>
      </c>
      <c r="D1316">
        <v>0</v>
      </c>
      <c r="E1316">
        <v>0</v>
      </c>
      <c r="F1316">
        <v>88.99</v>
      </c>
      <c r="G1316">
        <v>-4.03</v>
      </c>
      <c r="H1316">
        <v>-11.27</v>
      </c>
    </row>
    <row r="1317" spans="1:8" x14ac:dyDescent="0.25">
      <c r="A1317">
        <v>1302</v>
      </c>
      <c r="B1317">
        <v>10</v>
      </c>
      <c r="C1317">
        <v>0</v>
      </c>
      <c r="D1317">
        <v>0</v>
      </c>
      <c r="E1317">
        <v>0</v>
      </c>
      <c r="F1317">
        <v>90.99</v>
      </c>
      <c r="G1317">
        <v>-2.33</v>
      </c>
      <c r="H1317">
        <v>-8.84</v>
      </c>
    </row>
    <row r="1318" spans="1:8" x14ac:dyDescent="0.25">
      <c r="A1318">
        <v>1303</v>
      </c>
      <c r="B1318">
        <v>7</v>
      </c>
      <c r="C1318">
        <v>0</v>
      </c>
      <c r="D1318">
        <v>0</v>
      </c>
      <c r="E1318">
        <v>0</v>
      </c>
      <c r="F1318">
        <v>92.18</v>
      </c>
      <c r="G1318">
        <v>-1.33</v>
      </c>
      <c r="H1318">
        <v>-7.39</v>
      </c>
    </row>
    <row r="1319" spans="1:8" x14ac:dyDescent="0.25">
      <c r="A1319">
        <v>1304</v>
      </c>
      <c r="B1319">
        <v>5</v>
      </c>
      <c r="C1319">
        <v>0</v>
      </c>
      <c r="D1319">
        <v>0</v>
      </c>
      <c r="E1319">
        <v>0</v>
      </c>
      <c r="F1319">
        <v>92.97</v>
      </c>
      <c r="G1319">
        <v>-0.68</v>
      </c>
      <c r="H1319">
        <v>-6.43</v>
      </c>
    </row>
    <row r="1320" spans="1:8" x14ac:dyDescent="0.25">
      <c r="A1320">
        <v>1305</v>
      </c>
      <c r="B1320">
        <v>3</v>
      </c>
      <c r="C1320">
        <v>0</v>
      </c>
      <c r="D1320">
        <v>0</v>
      </c>
      <c r="E1320">
        <v>0</v>
      </c>
      <c r="F1320">
        <v>93.78</v>
      </c>
      <c r="G1320">
        <v>-0.02</v>
      </c>
      <c r="H1320">
        <v>-5.45</v>
      </c>
    </row>
    <row r="1321" spans="1:8" x14ac:dyDescent="0.25">
      <c r="A1321">
        <v>1306</v>
      </c>
      <c r="B1321">
        <v>2</v>
      </c>
      <c r="C1321">
        <v>0</v>
      </c>
      <c r="D1321">
        <v>0</v>
      </c>
      <c r="E1321">
        <v>0</v>
      </c>
      <c r="F1321">
        <v>94.18</v>
      </c>
      <c r="G1321">
        <v>0.31</v>
      </c>
      <c r="H1321">
        <v>-4.95</v>
      </c>
    </row>
    <row r="1322" spans="1:8" x14ac:dyDescent="0.25">
      <c r="A1322">
        <v>1307</v>
      </c>
      <c r="B1322">
        <v>0</v>
      </c>
      <c r="C1322">
        <v>100</v>
      </c>
      <c r="D1322">
        <v>0</v>
      </c>
      <c r="E1322">
        <v>0</v>
      </c>
      <c r="F1322">
        <v>48</v>
      </c>
      <c r="G1322">
        <v>75</v>
      </c>
      <c r="H1322">
        <v>-4</v>
      </c>
    </row>
    <row r="1323" spans="1:8" x14ac:dyDescent="0.25">
      <c r="A1323">
        <v>1308</v>
      </c>
      <c r="B1323">
        <v>0</v>
      </c>
      <c r="C1323">
        <v>98</v>
      </c>
      <c r="D1323">
        <v>0</v>
      </c>
      <c r="E1323">
        <v>0</v>
      </c>
      <c r="F1323">
        <v>48.46</v>
      </c>
      <c r="G1323">
        <v>74.11</v>
      </c>
      <c r="H1323">
        <v>-4.16</v>
      </c>
    </row>
    <row r="1324" spans="1:8" x14ac:dyDescent="0.25">
      <c r="A1324">
        <v>1309</v>
      </c>
      <c r="B1324">
        <v>0</v>
      </c>
      <c r="C1324">
        <v>95</v>
      </c>
      <c r="D1324">
        <v>0</v>
      </c>
      <c r="E1324">
        <v>0</v>
      </c>
      <c r="F1324">
        <v>49.27</v>
      </c>
      <c r="G1324">
        <v>72.540000000000006</v>
      </c>
      <c r="H1324">
        <v>-4.3899999999999997</v>
      </c>
    </row>
    <row r="1325" spans="1:8" x14ac:dyDescent="0.25">
      <c r="A1325">
        <v>1310</v>
      </c>
      <c r="B1325">
        <v>0</v>
      </c>
      <c r="C1325">
        <v>90</v>
      </c>
      <c r="D1325">
        <v>0</v>
      </c>
      <c r="E1325">
        <v>0</v>
      </c>
      <c r="F1325">
        <v>51.04</v>
      </c>
      <c r="G1325">
        <v>69.19</v>
      </c>
      <c r="H1325">
        <v>-4.87</v>
      </c>
    </row>
    <row r="1326" spans="1:8" x14ac:dyDescent="0.25">
      <c r="A1326">
        <v>1311</v>
      </c>
      <c r="B1326">
        <v>0</v>
      </c>
      <c r="C1326">
        <v>85</v>
      </c>
      <c r="D1326">
        <v>0</v>
      </c>
      <c r="E1326">
        <v>0</v>
      </c>
      <c r="F1326">
        <v>52.96</v>
      </c>
      <c r="G1326">
        <v>65.55</v>
      </c>
      <c r="H1326">
        <v>-5.37</v>
      </c>
    </row>
    <row r="1327" spans="1:8" x14ac:dyDescent="0.25">
      <c r="A1327">
        <v>1312</v>
      </c>
      <c r="B1327">
        <v>0</v>
      </c>
      <c r="C1327">
        <v>80</v>
      </c>
      <c r="D1327">
        <v>0</v>
      </c>
      <c r="E1327">
        <v>0</v>
      </c>
      <c r="F1327">
        <v>55.23</v>
      </c>
      <c r="G1327">
        <v>61.34</v>
      </c>
      <c r="H1327">
        <v>-5.89</v>
      </c>
    </row>
    <row r="1328" spans="1:8" x14ac:dyDescent="0.25">
      <c r="A1328">
        <v>1313</v>
      </c>
      <c r="B1328">
        <v>0</v>
      </c>
      <c r="C1328">
        <v>75</v>
      </c>
      <c r="D1328">
        <v>0</v>
      </c>
      <c r="E1328">
        <v>0</v>
      </c>
      <c r="F1328">
        <v>57.52</v>
      </c>
      <c r="G1328">
        <v>57.16</v>
      </c>
      <c r="H1328">
        <v>-6.36</v>
      </c>
    </row>
    <row r="1329" spans="1:8" x14ac:dyDescent="0.25">
      <c r="A1329">
        <v>1314</v>
      </c>
      <c r="B1329">
        <v>0</v>
      </c>
      <c r="C1329">
        <v>70</v>
      </c>
      <c r="D1329">
        <v>0</v>
      </c>
      <c r="E1329">
        <v>0</v>
      </c>
      <c r="F1329">
        <v>59.97</v>
      </c>
      <c r="G1329">
        <v>52.78</v>
      </c>
      <c r="H1329">
        <v>-6.79</v>
      </c>
    </row>
    <row r="1330" spans="1:8" x14ac:dyDescent="0.25">
      <c r="A1330">
        <v>1315</v>
      </c>
      <c r="B1330">
        <v>0</v>
      </c>
      <c r="C1330">
        <v>60</v>
      </c>
      <c r="D1330">
        <v>0</v>
      </c>
      <c r="E1330">
        <v>0</v>
      </c>
      <c r="F1330">
        <v>64.98</v>
      </c>
      <c r="G1330">
        <v>44.16</v>
      </c>
      <c r="H1330">
        <v>-7.38</v>
      </c>
    </row>
    <row r="1331" spans="1:8" x14ac:dyDescent="0.25">
      <c r="A1331">
        <v>1316</v>
      </c>
      <c r="B1331">
        <v>0</v>
      </c>
      <c r="C1331">
        <v>50</v>
      </c>
      <c r="D1331">
        <v>0</v>
      </c>
      <c r="E1331">
        <v>0</v>
      </c>
      <c r="F1331">
        <v>70.069999999999993</v>
      </c>
      <c r="G1331">
        <v>35.979999999999997</v>
      </c>
      <c r="H1331">
        <v>-7.49</v>
      </c>
    </row>
    <row r="1332" spans="1:8" x14ac:dyDescent="0.25">
      <c r="A1332">
        <v>1317</v>
      </c>
      <c r="B1332">
        <v>0</v>
      </c>
      <c r="C1332">
        <v>40</v>
      </c>
      <c r="D1332">
        <v>0</v>
      </c>
      <c r="E1332">
        <v>0</v>
      </c>
      <c r="F1332">
        <v>75.09</v>
      </c>
      <c r="G1332">
        <v>28.3</v>
      </c>
      <c r="H1332">
        <v>-7.25</v>
      </c>
    </row>
    <row r="1333" spans="1:8" x14ac:dyDescent="0.25">
      <c r="A1333">
        <v>1318</v>
      </c>
      <c r="B1333">
        <v>0</v>
      </c>
      <c r="C1333">
        <v>30</v>
      </c>
      <c r="D1333">
        <v>0</v>
      </c>
      <c r="E1333">
        <v>0</v>
      </c>
      <c r="F1333">
        <v>80.06</v>
      </c>
      <c r="G1333">
        <v>21.14</v>
      </c>
      <c r="H1333">
        <v>-6.71</v>
      </c>
    </row>
    <row r="1334" spans="1:8" x14ac:dyDescent="0.25">
      <c r="A1334">
        <v>1319</v>
      </c>
      <c r="B1334">
        <v>0</v>
      </c>
      <c r="C1334">
        <v>25</v>
      </c>
      <c r="D1334">
        <v>0</v>
      </c>
      <c r="E1334">
        <v>0</v>
      </c>
      <c r="F1334">
        <v>82.52</v>
      </c>
      <c r="G1334">
        <v>17.670000000000002</v>
      </c>
      <c r="H1334">
        <v>-6.39</v>
      </c>
    </row>
    <row r="1335" spans="1:8" x14ac:dyDescent="0.25">
      <c r="A1335">
        <v>1320</v>
      </c>
      <c r="B1335">
        <v>0</v>
      </c>
      <c r="C1335">
        <v>20</v>
      </c>
      <c r="D1335">
        <v>0</v>
      </c>
      <c r="E1335">
        <v>0</v>
      </c>
      <c r="F1335">
        <v>85.05</v>
      </c>
      <c r="G1335">
        <v>14.22</v>
      </c>
      <c r="H1335">
        <v>-5.96</v>
      </c>
    </row>
    <row r="1336" spans="1:8" x14ac:dyDescent="0.25">
      <c r="A1336">
        <v>1321</v>
      </c>
      <c r="B1336">
        <v>0</v>
      </c>
      <c r="C1336">
        <v>15</v>
      </c>
      <c r="D1336">
        <v>0</v>
      </c>
      <c r="E1336">
        <v>0</v>
      </c>
      <c r="F1336">
        <v>87.46</v>
      </c>
      <c r="G1336">
        <v>10.97</v>
      </c>
      <c r="H1336">
        <v>-5.52</v>
      </c>
    </row>
    <row r="1337" spans="1:8" x14ac:dyDescent="0.25">
      <c r="A1337">
        <v>1322</v>
      </c>
      <c r="B1337">
        <v>0</v>
      </c>
      <c r="C1337">
        <v>10</v>
      </c>
      <c r="D1337">
        <v>0</v>
      </c>
      <c r="E1337">
        <v>0</v>
      </c>
      <c r="F1337">
        <v>89.89</v>
      </c>
      <c r="G1337">
        <v>7.72</v>
      </c>
      <c r="H1337">
        <v>-5.04</v>
      </c>
    </row>
    <row r="1338" spans="1:8" x14ac:dyDescent="0.25">
      <c r="A1338">
        <v>1323</v>
      </c>
      <c r="B1338">
        <v>0</v>
      </c>
      <c r="C1338">
        <v>7</v>
      </c>
      <c r="D1338">
        <v>0</v>
      </c>
      <c r="E1338">
        <v>0</v>
      </c>
      <c r="F1338">
        <v>91.42</v>
      </c>
      <c r="G1338">
        <v>5.69</v>
      </c>
      <c r="H1338">
        <v>-4.72</v>
      </c>
    </row>
    <row r="1339" spans="1:8" x14ac:dyDescent="0.25">
      <c r="A1339">
        <v>1324</v>
      </c>
      <c r="B1339">
        <v>0</v>
      </c>
      <c r="C1339">
        <v>5</v>
      </c>
      <c r="D1339">
        <v>0</v>
      </c>
      <c r="E1339">
        <v>0</v>
      </c>
      <c r="F1339">
        <v>92.44</v>
      </c>
      <c r="G1339">
        <v>4.34</v>
      </c>
      <c r="H1339">
        <v>-4.51</v>
      </c>
    </row>
    <row r="1340" spans="1:8" x14ac:dyDescent="0.25">
      <c r="A1340">
        <v>1325</v>
      </c>
      <c r="B1340">
        <v>0</v>
      </c>
      <c r="C1340">
        <v>3</v>
      </c>
      <c r="D1340">
        <v>0</v>
      </c>
      <c r="E1340">
        <v>0</v>
      </c>
      <c r="F1340">
        <v>93.45</v>
      </c>
      <c r="G1340">
        <v>3.02</v>
      </c>
      <c r="H1340">
        <v>-4.29</v>
      </c>
    </row>
    <row r="1341" spans="1:8" x14ac:dyDescent="0.25">
      <c r="A1341">
        <v>1326</v>
      </c>
      <c r="B1341">
        <v>0</v>
      </c>
      <c r="C1341">
        <v>2</v>
      </c>
      <c r="D1341">
        <v>0</v>
      </c>
      <c r="E1341">
        <v>0</v>
      </c>
      <c r="F1341">
        <v>93.95</v>
      </c>
      <c r="G1341">
        <v>2.34</v>
      </c>
      <c r="H1341">
        <v>-4.18</v>
      </c>
    </row>
    <row r="1342" spans="1:8" x14ac:dyDescent="0.25">
      <c r="A1342">
        <v>1327</v>
      </c>
      <c r="B1342">
        <v>0</v>
      </c>
      <c r="C1342">
        <v>0</v>
      </c>
      <c r="D1342">
        <v>100</v>
      </c>
      <c r="E1342">
        <v>0</v>
      </c>
      <c r="F1342">
        <v>89</v>
      </c>
      <c r="G1342">
        <v>-4</v>
      </c>
      <c r="H1342">
        <v>93</v>
      </c>
    </row>
    <row r="1343" spans="1:8" x14ac:dyDescent="0.25">
      <c r="A1343">
        <v>1328</v>
      </c>
      <c r="B1343">
        <v>0</v>
      </c>
      <c r="C1343">
        <v>0</v>
      </c>
      <c r="D1343">
        <v>98</v>
      </c>
      <c r="E1343">
        <v>0</v>
      </c>
      <c r="F1343">
        <v>89.03</v>
      </c>
      <c r="G1343">
        <v>-4.01</v>
      </c>
      <c r="H1343">
        <v>91.57</v>
      </c>
    </row>
    <row r="1344" spans="1:8" x14ac:dyDescent="0.25">
      <c r="A1344">
        <v>1329</v>
      </c>
      <c r="B1344">
        <v>0</v>
      </c>
      <c r="C1344">
        <v>0</v>
      </c>
      <c r="D1344">
        <v>95</v>
      </c>
      <c r="E1344">
        <v>0</v>
      </c>
      <c r="F1344">
        <v>89.11</v>
      </c>
      <c r="G1344">
        <v>-3.98</v>
      </c>
      <c r="H1344">
        <v>89.15</v>
      </c>
    </row>
    <row r="1345" spans="1:8" x14ac:dyDescent="0.25">
      <c r="A1345">
        <v>1330</v>
      </c>
      <c r="B1345">
        <v>0</v>
      </c>
      <c r="C1345">
        <v>0</v>
      </c>
      <c r="D1345">
        <v>90</v>
      </c>
      <c r="E1345">
        <v>0</v>
      </c>
      <c r="F1345">
        <v>89.3</v>
      </c>
      <c r="G1345">
        <v>-3.94</v>
      </c>
      <c r="H1345">
        <v>84.28</v>
      </c>
    </row>
    <row r="1346" spans="1:8" x14ac:dyDescent="0.25">
      <c r="A1346">
        <v>1331</v>
      </c>
      <c r="B1346">
        <v>0</v>
      </c>
      <c r="C1346">
        <v>0</v>
      </c>
      <c r="D1346">
        <v>85</v>
      </c>
      <c r="E1346">
        <v>0</v>
      </c>
      <c r="F1346">
        <v>89.52</v>
      </c>
      <c r="G1346">
        <v>-3.89</v>
      </c>
      <c r="H1346">
        <v>79.22</v>
      </c>
    </row>
    <row r="1347" spans="1:8" x14ac:dyDescent="0.25">
      <c r="A1347">
        <v>1332</v>
      </c>
      <c r="B1347">
        <v>0</v>
      </c>
      <c r="C1347">
        <v>0</v>
      </c>
      <c r="D1347">
        <v>80</v>
      </c>
      <c r="E1347">
        <v>0</v>
      </c>
      <c r="F1347">
        <v>89.77</v>
      </c>
      <c r="G1347">
        <v>-3.8</v>
      </c>
      <c r="H1347">
        <v>73.569999999999993</v>
      </c>
    </row>
    <row r="1348" spans="1:8" x14ac:dyDescent="0.25">
      <c r="A1348">
        <v>1333</v>
      </c>
      <c r="B1348">
        <v>0</v>
      </c>
      <c r="C1348">
        <v>0</v>
      </c>
      <c r="D1348">
        <v>75</v>
      </c>
      <c r="E1348">
        <v>0</v>
      </c>
      <c r="F1348">
        <v>90.02</v>
      </c>
      <c r="G1348">
        <v>-3.7</v>
      </c>
      <c r="H1348">
        <v>68.06</v>
      </c>
    </row>
    <row r="1349" spans="1:8" x14ac:dyDescent="0.25">
      <c r="A1349">
        <v>1334</v>
      </c>
      <c r="B1349">
        <v>0</v>
      </c>
      <c r="C1349">
        <v>0</v>
      </c>
      <c r="D1349">
        <v>70</v>
      </c>
      <c r="E1349">
        <v>0</v>
      </c>
      <c r="F1349">
        <v>90.29</v>
      </c>
      <c r="G1349">
        <v>-3.55</v>
      </c>
      <c r="H1349">
        <v>62.44</v>
      </c>
    </row>
    <row r="1350" spans="1:8" x14ac:dyDescent="0.25">
      <c r="A1350">
        <v>1335</v>
      </c>
      <c r="B1350">
        <v>0</v>
      </c>
      <c r="C1350">
        <v>0</v>
      </c>
      <c r="D1350">
        <v>60</v>
      </c>
      <c r="E1350">
        <v>0</v>
      </c>
      <c r="F1350">
        <v>90.87</v>
      </c>
      <c r="G1350">
        <v>-3.24</v>
      </c>
      <c r="H1350">
        <v>51.71</v>
      </c>
    </row>
    <row r="1351" spans="1:8" x14ac:dyDescent="0.25">
      <c r="A1351">
        <v>1336</v>
      </c>
      <c r="B1351">
        <v>0</v>
      </c>
      <c r="C1351">
        <v>0</v>
      </c>
      <c r="D1351">
        <v>50</v>
      </c>
      <c r="E1351">
        <v>0</v>
      </c>
      <c r="F1351">
        <v>91.49</v>
      </c>
      <c r="G1351">
        <v>-2.75</v>
      </c>
      <c r="H1351">
        <v>41.34</v>
      </c>
    </row>
    <row r="1352" spans="1:8" x14ac:dyDescent="0.25">
      <c r="A1352">
        <v>1337</v>
      </c>
      <c r="B1352">
        <v>0</v>
      </c>
      <c r="C1352">
        <v>0</v>
      </c>
      <c r="D1352">
        <v>40</v>
      </c>
      <c r="E1352">
        <v>0</v>
      </c>
      <c r="F1352">
        <v>92.13</v>
      </c>
      <c r="G1352">
        <v>-2.16</v>
      </c>
      <c r="H1352">
        <v>31.6</v>
      </c>
    </row>
    <row r="1353" spans="1:8" x14ac:dyDescent="0.25">
      <c r="A1353">
        <v>1338</v>
      </c>
      <c r="B1353">
        <v>0</v>
      </c>
      <c r="C1353">
        <v>0</v>
      </c>
      <c r="D1353">
        <v>30</v>
      </c>
      <c r="E1353">
        <v>0</v>
      </c>
      <c r="F1353">
        <v>92.8</v>
      </c>
      <c r="G1353">
        <v>-1.48</v>
      </c>
      <c r="H1353">
        <v>22.4</v>
      </c>
    </row>
    <row r="1354" spans="1:8" x14ac:dyDescent="0.25">
      <c r="A1354">
        <v>1339</v>
      </c>
      <c r="B1354">
        <v>0</v>
      </c>
      <c r="C1354">
        <v>0</v>
      </c>
      <c r="D1354">
        <v>25</v>
      </c>
      <c r="E1354">
        <v>0</v>
      </c>
      <c r="F1354">
        <v>93.13</v>
      </c>
      <c r="G1354">
        <v>-1.1100000000000001</v>
      </c>
      <c r="H1354">
        <v>17.920000000000002</v>
      </c>
    </row>
    <row r="1355" spans="1:8" x14ac:dyDescent="0.25">
      <c r="A1355">
        <v>1340</v>
      </c>
      <c r="B1355">
        <v>0</v>
      </c>
      <c r="C1355">
        <v>0</v>
      </c>
      <c r="D1355">
        <v>20</v>
      </c>
      <c r="E1355">
        <v>0</v>
      </c>
      <c r="F1355">
        <v>93.49</v>
      </c>
      <c r="G1355">
        <v>-0.71</v>
      </c>
      <c r="H1355">
        <v>13.36</v>
      </c>
    </row>
    <row r="1356" spans="1:8" x14ac:dyDescent="0.25">
      <c r="A1356">
        <v>1341</v>
      </c>
      <c r="B1356">
        <v>0</v>
      </c>
      <c r="C1356">
        <v>0</v>
      </c>
      <c r="D1356">
        <v>15</v>
      </c>
      <c r="E1356">
        <v>0</v>
      </c>
      <c r="F1356">
        <v>93.85</v>
      </c>
      <c r="G1356">
        <v>-0.3</v>
      </c>
      <c r="H1356">
        <v>9.1300000000000008</v>
      </c>
    </row>
    <row r="1357" spans="1:8" x14ac:dyDescent="0.25">
      <c r="A1357">
        <v>1342</v>
      </c>
      <c r="B1357">
        <v>0</v>
      </c>
      <c r="C1357">
        <v>0</v>
      </c>
      <c r="D1357">
        <v>10</v>
      </c>
      <c r="E1357">
        <v>0</v>
      </c>
      <c r="F1357">
        <v>94.22</v>
      </c>
      <c r="G1357">
        <v>0.12</v>
      </c>
      <c r="H1357">
        <v>4.76</v>
      </c>
    </row>
    <row r="1358" spans="1:8" x14ac:dyDescent="0.25">
      <c r="A1358">
        <v>1343</v>
      </c>
      <c r="B1358">
        <v>0</v>
      </c>
      <c r="C1358">
        <v>0</v>
      </c>
      <c r="D1358">
        <v>7</v>
      </c>
      <c r="E1358">
        <v>0</v>
      </c>
      <c r="F1358">
        <v>94.45</v>
      </c>
      <c r="G1358">
        <v>0.38</v>
      </c>
      <c r="H1358">
        <v>2.14</v>
      </c>
    </row>
    <row r="1359" spans="1:8" x14ac:dyDescent="0.25">
      <c r="A1359">
        <v>1344</v>
      </c>
      <c r="B1359">
        <v>0</v>
      </c>
      <c r="C1359">
        <v>0</v>
      </c>
      <c r="D1359">
        <v>5</v>
      </c>
      <c r="E1359">
        <v>0</v>
      </c>
      <c r="F1359">
        <v>94.6</v>
      </c>
      <c r="G1359">
        <v>0.55000000000000004</v>
      </c>
      <c r="H1359">
        <v>0.41</v>
      </c>
    </row>
    <row r="1360" spans="1:8" x14ac:dyDescent="0.25">
      <c r="A1360">
        <v>1345</v>
      </c>
      <c r="B1360">
        <v>0</v>
      </c>
      <c r="C1360">
        <v>0</v>
      </c>
      <c r="D1360">
        <v>3</v>
      </c>
      <c r="E1360">
        <v>0</v>
      </c>
      <c r="F1360">
        <v>94.76</v>
      </c>
      <c r="G1360">
        <v>0.72</v>
      </c>
      <c r="H1360">
        <v>-1.32</v>
      </c>
    </row>
    <row r="1361" spans="1:8" x14ac:dyDescent="0.25">
      <c r="A1361">
        <v>1346</v>
      </c>
      <c r="B1361">
        <v>0</v>
      </c>
      <c r="C1361">
        <v>0</v>
      </c>
      <c r="D1361">
        <v>2</v>
      </c>
      <c r="E1361">
        <v>0</v>
      </c>
      <c r="F1361">
        <v>94.83</v>
      </c>
      <c r="G1361">
        <v>0.8</v>
      </c>
      <c r="H1361">
        <v>-2.19</v>
      </c>
    </row>
    <row r="1362" spans="1:8" x14ac:dyDescent="0.25">
      <c r="A1362">
        <v>1347</v>
      </c>
      <c r="B1362">
        <v>0</v>
      </c>
      <c r="C1362">
        <v>0</v>
      </c>
      <c r="D1362">
        <v>0</v>
      </c>
      <c r="E1362">
        <v>100</v>
      </c>
      <c r="F1362">
        <v>16</v>
      </c>
      <c r="G1362">
        <v>0</v>
      </c>
      <c r="H1362">
        <v>0</v>
      </c>
    </row>
    <row r="1363" spans="1:8" x14ac:dyDescent="0.25">
      <c r="A1363">
        <v>1348</v>
      </c>
      <c r="B1363">
        <v>0</v>
      </c>
      <c r="C1363">
        <v>0</v>
      </c>
      <c r="D1363">
        <v>0</v>
      </c>
      <c r="E1363">
        <v>98</v>
      </c>
      <c r="F1363">
        <v>17.690000000000001</v>
      </c>
      <c r="G1363">
        <v>-0.09</v>
      </c>
      <c r="H1363">
        <v>-0.11</v>
      </c>
    </row>
    <row r="1364" spans="1:8" x14ac:dyDescent="0.25">
      <c r="A1364">
        <v>1349</v>
      </c>
      <c r="B1364">
        <v>0</v>
      </c>
      <c r="C1364">
        <v>0</v>
      </c>
      <c r="D1364">
        <v>0</v>
      </c>
      <c r="E1364">
        <v>95</v>
      </c>
      <c r="F1364">
        <v>20.62</v>
      </c>
      <c r="G1364">
        <v>0.02</v>
      </c>
      <c r="H1364">
        <v>-0.3</v>
      </c>
    </row>
    <row r="1365" spans="1:8" x14ac:dyDescent="0.25">
      <c r="A1365">
        <v>1350</v>
      </c>
      <c r="B1365">
        <v>0</v>
      </c>
      <c r="C1365">
        <v>0</v>
      </c>
      <c r="D1365">
        <v>0</v>
      </c>
      <c r="E1365">
        <v>90</v>
      </c>
      <c r="F1365">
        <v>25.78</v>
      </c>
      <c r="G1365">
        <v>0.13</v>
      </c>
      <c r="H1365">
        <v>-0.63</v>
      </c>
    </row>
    <row r="1366" spans="1:8" x14ac:dyDescent="0.25">
      <c r="A1366">
        <v>1351</v>
      </c>
      <c r="B1366">
        <v>0</v>
      </c>
      <c r="C1366">
        <v>0</v>
      </c>
      <c r="D1366">
        <v>0</v>
      </c>
      <c r="E1366">
        <v>85</v>
      </c>
      <c r="F1366">
        <v>30.82</v>
      </c>
      <c r="G1366">
        <v>0.18</v>
      </c>
      <c r="H1366">
        <v>-0.94</v>
      </c>
    </row>
    <row r="1367" spans="1:8" x14ac:dyDescent="0.25">
      <c r="A1367">
        <v>1352</v>
      </c>
      <c r="B1367">
        <v>0</v>
      </c>
      <c r="C1367">
        <v>0</v>
      </c>
      <c r="D1367">
        <v>0</v>
      </c>
      <c r="E1367">
        <v>80</v>
      </c>
      <c r="F1367">
        <v>35.68</v>
      </c>
      <c r="G1367">
        <v>0.18</v>
      </c>
      <c r="H1367">
        <v>-1.23</v>
      </c>
    </row>
    <row r="1368" spans="1:8" x14ac:dyDescent="0.25">
      <c r="A1368">
        <v>1353</v>
      </c>
      <c r="B1368">
        <v>0</v>
      </c>
      <c r="C1368">
        <v>0</v>
      </c>
      <c r="D1368">
        <v>0</v>
      </c>
      <c r="E1368">
        <v>75</v>
      </c>
      <c r="F1368">
        <v>40.369999999999997</v>
      </c>
      <c r="G1368">
        <v>0.21</v>
      </c>
      <c r="H1368">
        <v>-1.49</v>
      </c>
    </row>
    <row r="1369" spans="1:8" x14ac:dyDescent="0.25">
      <c r="A1369">
        <v>1354</v>
      </c>
      <c r="B1369">
        <v>0</v>
      </c>
      <c r="C1369">
        <v>0</v>
      </c>
      <c r="D1369">
        <v>0</v>
      </c>
      <c r="E1369">
        <v>70</v>
      </c>
      <c r="F1369">
        <v>44.71</v>
      </c>
      <c r="G1369">
        <v>0.27</v>
      </c>
      <c r="H1369">
        <v>-1.75</v>
      </c>
    </row>
    <row r="1370" spans="1:8" x14ac:dyDescent="0.25">
      <c r="A1370">
        <v>1355</v>
      </c>
      <c r="B1370">
        <v>0</v>
      </c>
      <c r="C1370">
        <v>0</v>
      </c>
      <c r="D1370">
        <v>0</v>
      </c>
      <c r="E1370">
        <v>60</v>
      </c>
      <c r="F1370">
        <v>52.81</v>
      </c>
      <c r="G1370">
        <v>0.41</v>
      </c>
      <c r="H1370">
        <v>-2.21</v>
      </c>
    </row>
    <row r="1371" spans="1:8" x14ac:dyDescent="0.25">
      <c r="A1371">
        <v>1356</v>
      </c>
      <c r="B1371">
        <v>0</v>
      </c>
      <c r="C1371">
        <v>0</v>
      </c>
      <c r="D1371">
        <v>0</v>
      </c>
      <c r="E1371">
        <v>50</v>
      </c>
      <c r="F1371">
        <v>60.4</v>
      </c>
      <c r="G1371">
        <v>0.46</v>
      </c>
      <c r="H1371">
        <v>-2.59</v>
      </c>
    </row>
    <row r="1372" spans="1:8" x14ac:dyDescent="0.25">
      <c r="A1372">
        <v>1357</v>
      </c>
      <c r="B1372">
        <v>0</v>
      </c>
      <c r="C1372">
        <v>0</v>
      </c>
      <c r="D1372">
        <v>0</v>
      </c>
      <c r="E1372">
        <v>40</v>
      </c>
      <c r="F1372">
        <v>67.400000000000006</v>
      </c>
      <c r="G1372">
        <v>0.55000000000000004</v>
      </c>
      <c r="H1372">
        <v>-2.9</v>
      </c>
    </row>
    <row r="1373" spans="1:8" x14ac:dyDescent="0.25">
      <c r="A1373">
        <v>1358</v>
      </c>
      <c r="B1373">
        <v>0</v>
      </c>
      <c r="C1373">
        <v>0</v>
      </c>
      <c r="D1373">
        <v>0</v>
      </c>
      <c r="E1373">
        <v>30</v>
      </c>
      <c r="F1373">
        <v>74.3</v>
      </c>
      <c r="G1373">
        <v>0.64</v>
      </c>
      <c r="H1373">
        <v>-3.22</v>
      </c>
    </row>
    <row r="1374" spans="1:8" x14ac:dyDescent="0.25">
      <c r="A1374">
        <v>1359</v>
      </c>
      <c r="B1374">
        <v>0</v>
      </c>
      <c r="C1374">
        <v>0</v>
      </c>
      <c r="D1374">
        <v>0</v>
      </c>
      <c r="E1374">
        <v>25</v>
      </c>
      <c r="F1374">
        <v>77.66</v>
      </c>
      <c r="G1374">
        <v>0.7</v>
      </c>
      <c r="H1374">
        <v>-3.37</v>
      </c>
    </row>
    <row r="1375" spans="1:8" x14ac:dyDescent="0.25">
      <c r="A1375">
        <v>1360</v>
      </c>
      <c r="B1375">
        <v>0</v>
      </c>
      <c r="C1375">
        <v>0</v>
      </c>
      <c r="D1375">
        <v>0</v>
      </c>
      <c r="E1375">
        <v>20</v>
      </c>
      <c r="F1375">
        <v>81.17</v>
      </c>
      <c r="G1375">
        <v>0.76</v>
      </c>
      <c r="H1375">
        <v>-3.5</v>
      </c>
    </row>
    <row r="1376" spans="1:8" x14ac:dyDescent="0.25">
      <c r="A1376">
        <v>1361</v>
      </c>
      <c r="B1376">
        <v>0</v>
      </c>
      <c r="C1376">
        <v>0</v>
      </c>
      <c r="D1376">
        <v>0</v>
      </c>
      <c r="E1376">
        <v>15</v>
      </c>
      <c r="F1376">
        <v>84.46</v>
      </c>
      <c r="G1376">
        <v>0.82</v>
      </c>
      <c r="H1376">
        <v>-3.62</v>
      </c>
    </row>
    <row r="1377" spans="1:8" x14ac:dyDescent="0.25">
      <c r="A1377">
        <v>1362</v>
      </c>
      <c r="B1377">
        <v>0</v>
      </c>
      <c r="C1377">
        <v>0</v>
      </c>
      <c r="D1377">
        <v>0</v>
      </c>
      <c r="E1377">
        <v>10</v>
      </c>
      <c r="F1377">
        <v>87.87</v>
      </c>
      <c r="G1377">
        <v>0.88</v>
      </c>
      <c r="H1377">
        <v>-3.73</v>
      </c>
    </row>
    <row r="1378" spans="1:8" x14ac:dyDescent="0.25">
      <c r="A1378">
        <v>1363</v>
      </c>
      <c r="B1378">
        <v>0</v>
      </c>
      <c r="C1378">
        <v>0</v>
      </c>
      <c r="D1378">
        <v>0</v>
      </c>
      <c r="E1378">
        <v>7</v>
      </c>
      <c r="F1378">
        <v>89.99</v>
      </c>
      <c r="G1378">
        <v>0.92</v>
      </c>
      <c r="H1378">
        <v>-3.8</v>
      </c>
    </row>
    <row r="1379" spans="1:8" x14ac:dyDescent="0.25">
      <c r="A1379">
        <v>1364</v>
      </c>
      <c r="B1379">
        <v>0</v>
      </c>
      <c r="C1379">
        <v>0</v>
      </c>
      <c r="D1379">
        <v>0</v>
      </c>
      <c r="E1379">
        <v>5</v>
      </c>
      <c r="F1379">
        <v>91.41</v>
      </c>
      <c r="G1379">
        <v>0.94</v>
      </c>
      <c r="H1379">
        <v>-3.85</v>
      </c>
    </row>
    <row r="1380" spans="1:8" x14ac:dyDescent="0.25">
      <c r="A1380">
        <v>1365</v>
      </c>
      <c r="B1380">
        <v>0</v>
      </c>
      <c r="C1380">
        <v>0</v>
      </c>
      <c r="D1380">
        <v>0</v>
      </c>
      <c r="E1380">
        <v>3</v>
      </c>
      <c r="F1380">
        <v>92.81</v>
      </c>
      <c r="G1380">
        <v>0.96</v>
      </c>
      <c r="H1380">
        <v>-3.89</v>
      </c>
    </row>
    <row r="1381" spans="1:8" x14ac:dyDescent="0.25">
      <c r="A1381">
        <v>1366</v>
      </c>
      <c r="B1381">
        <v>0</v>
      </c>
      <c r="C1381">
        <v>0</v>
      </c>
      <c r="D1381">
        <v>0</v>
      </c>
      <c r="E1381">
        <v>2</v>
      </c>
      <c r="F1381">
        <v>93.55</v>
      </c>
      <c r="G1381">
        <v>0.96</v>
      </c>
      <c r="H1381">
        <v>-3.92</v>
      </c>
    </row>
    <row r="1382" spans="1:8" x14ac:dyDescent="0.25">
      <c r="A1382">
        <v>1367</v>
      </c>
      <c r="B1382">
        <v>0</v>
      </c>
      <c r="C1382">
        <v>0</v>
      </c>
      <c r="D1382">
        <v>0</v>
      </c>
      <c r="E1382">
        <v>0</v>
      </c>
      <c r="F1382">
        <v>95</v>
      </c>
      <c r="G1382">
        <v>1</v>
      </c>
      <c r="H1382">
        <v>-4</v>
      </c>
    </row>
    <row r="1383" spans="1:8" x14ac:dyDescent="0.25">
      <c r="A1383">
        <v>1368</v>
      </c>
      <c r="B1383">
        <v>100</v>
      </c>
      <c r="C1383">
        <v>85</v>
      </c>
      <c r="D1383">
        <v>85</v>
      </c>
      <c r="E1383">
        <v>0</v>
      </c>
      <c r="F1383">
        <v>27.01</v>
      </c>
      <c r="G1383">
        <v>-5.79</v>
      </c>
      <c r="H1383">
        <v>-3.18</v>
      </c>
    </row>
    <row r="1384" spans="1:8" x14ac:dyDescent="0.25">
      <c r="A1384">
        <v>1369</v>
      </c>
      <c r="B1384">
        <v>80</v>
      </c>
      <c r="C1384">
        <v>65</v>
      </c>
      <c r="D1384">
        <v>65</v>
      </c>
      <c r="E1384">
        <v>0</v>
      </c>
      <c r="F1384">
        <v>38.409999999999997</v>
      </c>
      <c r="G1384">
        <v>-4.09</v>
      </c>
      <c r="H1384">
        <v>-3.52</v>
      </c>
    </row>
    <row r="1385" spans="1:8" x14ac:dyDescent="0.25">
      <c r="A1385">
        <v>1370</v>
      </c>
      <c r="B1385">
        <v>60</v>
      </c>
      <c r="C1385">
        <v>45</v>
      </c>
      <c r="D1385">
        <v>45</v>
      </c>
      <c r="E1385">
        <v>0</v>
      </c>
      <c r="F1385">
        <v>52.25</v>
      </c>
      <c r="G1385">
        <v>-2.4500000000000002</v>
      </c>
      <c r="H1385">
        <v>-4.04</v>
      </c>
    </row>
    <row r="1386" spans="1:8" x14ac:dyDescent="0.25">
      <c r="A1386">
        <v>1371</v>
      </c>
      <c r="B1386">
        <v>40</v>
      </c>
      <c r="C1386">
        <v>27</v>
      </c>
      <c r="D1386">
        <v>27</v>
      </c>
      <c r="E1386">
        <v>0</v>
      </c>
      <c r="F1386">
        <v>66.510000000000005</v>
      </c>
      <c r="G1386">
        <v>-1.57</v>
      </c>
      <c r="H1386">
        <v>-4.6500000000000004</v>
      </c>
    </row>
    <row r="1387" spans="1:8" x14ac:dyDescent="0.25">
      <c r="A1387">
        <v>1372</v>
      </c>
      <c r="B1387">
        <v>20</v>
      </c>
      <c r="C1387">
        <v>12</v>
      </c>
      <c r="D1387">
        <v>12</v>
      </c>
      <c r="E1387">
        <v>0</v>
      </c>
      <c r="F1387">
        <v>80.7</v>
      </c>
      <c r="G1387">
        <v>-0.62</v>
      </c>
      <c r="H1387">
        <v>-5.03</v>
      </c>
    </row>
    <row r="1388" spans="1:8" x14ac:dyDescent="0.25">
      <c r="A1388">
        <v>1373</v>
      </c>
      <c r="B1388">
        <v>10</v>
      </c>
      <c r="C1388">
        <v>6</v>
      </c>
      <c r="D1388">
        <v>6</v>
      </c>
      <c r="E1388">
        <v>0</v>
      </c>
      <c r="F1388">
        <v>87.65</v>
      </c>
      <c r="G1388">
        <v>0.28999999999999998</v>
      </c>
      <c r="H1388">
        <v>-4.5599999999999996</v>
      </c>
    </row>
    <row r="1389" spans="1:8" x14ac:dyDescent="0.25">
      <c r="A1389">
        <v>1374</v>
      </c>
      <c r="B1389">
        <v>5</v>
      </c>
      <c r="C1389">
        <v>3</v>
      </c>
      <c r="D1389">
        <v>3</v>
      </c>
      <c r="E1389">
        <v>0</v>
      </c>
      <c r="F1389">
        <v>91.29</v>
      </c>
      <c r="G1389">
        <v>0.73</v>
      </c>
      <c r="H1389">
        <v>-4.28</v>
      </c>
    </row>
    <row r="1390" spans="1:8" x14ac:dyDescent="0.25">
      <c r="A1390">
        <v>1375</v>
      </c>
      <c r="B1390">
        <v>40</v>
      </c>
      <c r="C1390">
        <v>27</v>
      </c>
      <c r="D1390">
        <v>27</v>
      </c>
      <c r="E1390">
        <v>10</v>
      </c>
      <c r="F1390">
        <v>61.52</v>
      </c>
      <c r="G1390">
        <v>-1.57</v>
      </c>
      <c r="H1390">
        <v>-4.47</v>
      </c>
    </row>
    <row r="1391" spans="1:8" x14ac:dyDescent="0.25">
      <c r="A1391">
        <v>1376</v>
      </c>
      <c r="B1391">
        <v>20</v>
      </c>
      <c r="C1391">
        <v>12</v>
      </c>
      <c r="D1391">
        <v>12</v>
      </c>
      <c r="E1391">
        <v>10</v>
      </c>
      <c r="F1391">
        <v>74.69</v>
      </c>
      <c r="G1391">
        <v>-0.75</v>
      </c>
      <c r="H1391">
        <v>-4.83</v>
      </c>
    </row>
    <row r="1392" spans="1:8" x14ac:dyDescent="0.25">
      <c r="A1392">
        <v>1377</v>
      </c>
      <c r="B1392">
        <v>10</v>
      </c>
      <c r="C1392">
        <v>6</v>
      </c>
      <c r="D1392">
        <v>6</v>
      </c>
      <c r="E1392">
        <v>10</v>
      </c>
      <c r="F1392">
        <v>81.16</v>
      </c>
      <c r="G1392">
        <v>0.09</v>
      </c>
      <c r="H1392">
        <v>-4.3600000000000003</v>
      </c>
    </row>
    <row r="1393" spans="1:8" x14ac:dyDescent="0.25">
      <c r="A1393">
        <v>1378</v>
      </c>
      <c r="B1393">
        <v>60</v>
      </c>
      <c r="C1393">
        <v>45</v>
      </c>
      <c r="D1393">
        <v>45</v>
      </c>
      <c r="E1393">
        <v>20</v>
      </c>
      <c r="F1393">
        <v>44.64</v>
      </c>
      <c r="G1393">
        <v>-2.3199999999999998</v>
      </c>
      <c r="H1393">
        <v>-3.73</v>
      </c>
    </row>
    <row r="1394" spans="1:8" x14ac:dyDescent="0.25">
      <c r="A1394">
        <v>1379</v>
      </c>
      <c r="B1394">
        <v>40</v>
      </c>
      <c r="C1394">
        <v>27</v>
      </c>
      <c r="D1394">
        <v>27</v>
      </c>
      <c r="E1394">
        <v>20</v>
      </c>
      <c r="F1394">
        <v>56.62</v>
      </c>
      <c r="G1394">
        <v>-1.52</v>
      </c>
      <c r="H1394">
        <v>-4.22</v>
      </c>
    </row>
    <row r="1395" spans="1:8" x14ac:dyDescent="0.25">
      <c r="A1395">
        <v>1380</v>
      </c>
      <c r="B1395">
        <v>20</v>
      </c>
      <c r="C1395">
        <v>12</v>
      </c>
      <c r="D1395">
        <v>12</v>
      </c>
      <c r="E1395">
        <v>20</v>
      </c>
      <c r="F1395">
        <v>68.77</v>
      </c>
      <c r="G1395">
        <v>-0.82</v>
      </c>
      <c r="H1395">
        <v>-4.5</v>
      </c>
    </row>
    <row r="1396" spans="1:8" x14ac:dyDescent="0.25">
      <c r="A1396">
        <v>1381</v>
      </c>
      <c r="B1396">
        <v>10</v>
      </c>
      <c r="C1396">
        <v>6</v>
      </c>
      <c r="D1396">
        <v>6</v>
      </c>
      <c r="E1396">
        <v>20</v>
      </c>
      <c r="F1396">
        <v>74.739999999999995</v>
      </c>
      <c r="G1396">
        <v>-0.04</v>
      </c>
      <c r="H1396">
        <v>-4.08</v>
      </c>
    </row>
    <row r="1397" spans="1:8" x14ac:dyDescent="0.25">
      <c r="A1397">
        <v>1382</v>
      </c>
      <c r="B1397">
        <v>80</v>
      </c>
      <c r="C1397">
        <v>65</v>
      </c>
      <c r="D1397">
        <v>65</v>
      </c>
      <c r="E1397">
        <v>40</v>
      </c>
      <c r="F1397">
        <v>27.97</v>
      </c>
      <c r="G1397">
        <v>-2.76</v>
      </c>
      <c r="H1397">
        <v>-2.38</v>
      </c>
    </row>
    <row r="1398" spans="1:8" x14ac:dyDescent="0.25">
      <c r="A1398">
        <v>1383</v>
      </c>
      <c r="B1398">
        <v>60</v>
      </c>
      <c r="C1398">
        <v>45</v>
      </c>
      <c r="D1398">
        <v>45</v>
      </c>
      <c r="E1398">
        <v>40</v>
      </c>
      <c r="F1398">
        <v>37.24</v>
      </c>
      <c r="G1398">
        <v>-2.1800000000000002</v>
      </c>
      <c r="H1398">
        <v>-3.13</v>
      </c>
    </row>
    <row r="1399" spans="1:8" x14ac:dyDescent="0.25">
      <c r="A1399">
        <v>1384</v>
      </c>
      <c r="B1399">
        <v>40</v>
      </c>
      <c r="C1399">
        <v>27</v>
      </c>
      <c r="D1399">
        <v>27</v>
      </c>
      <c r="E1399">
        <v>40</v>
      </c>
      <c r="F1399">
        <v>46.98</v>
      </c>
      <c r="G1399">
        <v>-1.5</v>
      </c>
      <c r="H1399">
        <v>-3.64</v>
      </c>
    </row>
    <row r="1400" spans="1:8" x14ac:dyDescent="0.25">
      <c r="A1400">
        <v>1385</v>
      </c>
      <c r="B1400">
        <v>20</v>
      </c>
      <c r="C1400">
        <v>12</v>
      </c>
      <c r="D1400">
        <v>12</v>
      </c>
      <c r="E1400">
        <v>40</v>
      </c>
      <c r="F1400">
        <v>57</v>
      </c>
      <c r="G1400">
        <v>-0.98</v>
      </c>
      <c r="H1400">
        <v>-3.85</v>
      </c>
    </row>
    <row r="1401" spans="1:8" x14ac:dyDescent="0.25">
      <c r="A1401">
        <v>1386</v>
      </c>
      <c r="B1401">
        <v>10</v>
      </c>
      <c r="C1401">
        <v>6</v>
      </c>
      <c r="D1401">
        <v>6</v>
      </c>
      <c r="E1401">
        <v>40</v>
      </c>
      <c r="F1401">
        <v>61.92</v>
      </c>
      <c r="G1401">
        <v>-0.28999999999999998</v>
      </c>
      <c r="H1401">
        <v>-3.46</v>
      </c>
    </row>
    <row r="1402" spans="1:8" x14ac:dyDescent="0.25">
      <c r="A1402">
        <v>1387</v>
      </c>
      <c r="B1402">
        <v>100</v>
      </c>
      <c r="C1402">
        <v>85</v>
      </c>
      <c r="D1402">
        <v>85</v>
      </c>
      <c r="E1402">
        <v>60</v>
      </c>
      <c r="F1402">
        <v>17.600000000000001</v>
      </c>
      <c r="G1402">
        <v>-2.86</v>
      </c>
      <c r="H1402">
        <v>-1.1599999999999999</v>
      </c>
    </row>
    <row r="1403" spans="1:8" x14ac:dyDescent="0.25">
      <c r="A1403">
        <v>1388</v>
      </c>
      <c r="B1403">
        <v>80</v>
      </c>
      <c r="C1403">
        <v>65</v>
      </c>
      <c r="D1403">
        <v>65</v>
      </c>
      <c r="E1403">
        <v>60</v>
      </c>
      <c r="F1403">
        <v>22.68</v>
      </c>
      <c r="G1403">
        <v>-2.4300000000000002</v>
      </c>
      <c r="H1403">
        <v>-1.92</v>
      </c>
    </row>
    <row r="1404" spans="1:8" x14ac:dyDescent="0.25">
      <c r="A1404">
        <v>1389</v>
      </c>
      <c r="B1404">
        <v>60</v>
      </c>
      <c r="C1404">
        <v>45</v>
      </c>
      <c r="D1404">
        <v>45</v>
      </c>
      <c r="E1404">
        <v>60</v>
      </c>
      <c r="F1404">
        <v>29.7</v>
      </c>
      <c r="G1404">
        <v>-1.95</v>
      </c>
      <c r="H1404">
        <v>-2.48</v>
      </c>
    </row>
    <row r="1405" spans="1:8" x14ac:dyDescent="0.25">
      <c r="A1405">
        <v>1390</v>
      </c>
      <c r="B1405">
        <v>40</v>
      </c>
      <c r="C1405">
        <v>27</v>
      </c>
      <c r="D1405">
        <v>27</v>
      </c>
      <c r="E1405">
        <v>60</v>
      </c>
      <c r="F1405">
        <v>37.11</v>
      </c>
      <c r="G1405">
        <v>-1.41</v>
      </c>
      <c r="H1405">
        <v>-2.88</v>
      </c>
    </row>
    <row r="1406" spans="1:8" x14ac:dyDescent="0.25">
      <c r="A1406">
        <v>1391</v>
      </c>
      <c r="B1406">
        <v>20</v>
      </c>
      <c r="C1406">
        <v>12</v>
      </c>
      <c r="D1406">
        <v>12</v>
      </c>
      <c r="E1406">
        <v>60</v>
      </c>
      <c r="F1406">
        <v>44.72</v>
      </c>
      <c r="G1406">
        <v>-0.99</v>
      </c>
      <c r="H1406">
        <v>-3.03</v>
      </c>
    </row>
    <row r="1407" spans="1:8" x14ac:dyDescent="0.25">
      <c r="A1407">
        <v>1392</v>
      </c>
      <c r="B1407">
        <v>10</v>
      </c>
      <c r="C1407">
        <v>6</v>
      </c>
      <c r="D1407">
        <v>6</v>
      </c>
      <c r="E1407">
        <v>60</v>
      </c>
      <c r="F1407">
        <v>48.44</v>
      </c>
      <c r="G1407">
        <v>-0.39</v>
      </c>
      <c r="H1407">
        <v>-2.71</v>
      </c>
    </row>
    <row r="1408" spans="1:8" x14ac:dyDescent="0.25">
      <c r="A1408">
        <v>1393</v>
      </c>
      <c r="B1408">
        <v>100</v>
      </c>
      <c r="C1408">
        <v>85</v>
      </c>
      <c r="D1408">
        <v>85</v>
      </c>
      <c r="E1408">
        <v>80</v>
      </c>
      <c r="F1408">
        <v>13.69</v>
      </c>
      <c r="G1408">
        <v>-2.06</v>
      </c>
      <c r="H1408">
        <v>-0.59</v>
      </c>
    </row>
    <row r="1409" spans="1:8" x14ac:dyDescent="0.25">
      <c r="A1409">
        <v>1394</v>
      </c>
      <c r="B1409">
        <v>80</v>
      </c>
      <c r="C1409">
        <v>65</v>
      </c>
      <c r="D1409">
        <v>65</v>
      </c>
      <c r="E1409">
        <v>80</v>
      </c>
      <c r="F1409">
        <v>16.760000000000002</v>
      </c>
      <c r="G1409">
        <v>-1.8</v>
      </c>
      <c r="H1409">
        <v>-1.05</v>
      </c>
    </row>
    <row r="1410" spans="1:8" x14ac:dyDescent="0.25">
      <c r="A1410">
        <v>1395</v>
      </c>
      <c r="B1410">
        <v>60</v>
      </c>
      <c r="C1410">
        <v>45</v>
      </c>
      <c r="D1410">
        <v>45</v>
      </c>
      <c r="E1410">
        <v>80</v>
      </c>
      <c r="F1410">
        <v>21.12</v>
      </c>
      <c r="G1410">
        <v>-1.65</v>
      </c>
      <c r="H1410">
        <v>-1.73</v>
      </c>
    </row>
    <row r="1411" spans="1:8" x14ac:dyDescent="0.25">
      <c r="A1411">
        <v>1396</v>
      </c>
      <c r="B1411">
        <v>40</v>
      </c>
      <c r="C1411">
        <v>27</v>
      </c>
      <c r="D1411">
        <v>27</v>
      </c>
      <c r="E1411">
        <v>80</v>
      </c>
      <c r="F1411">
        <v>25.94</v>
      </c>
      <c r="G1411">
        <v>-1.31</v>
      </c>
      <c r="H1411">
        <v>-1.94</v>
      </c>
    </row>
    <row r="1412" spans="1:8" x14ac:dyDescent="0.25">
      <c r="A1412">
        <v>1397</v>
      </c>
      <c r="B1412">
        <v>20</v>
      </c>
      <c r="C1412">
        <v>12</v>
      </c>
      <c r="D1412">
        <v>12</v>
      </c>
      <c r="E1412">
        <v>80</v>
      </c>
      <c r="F1412">
        <v>30.16</v>
      </c>
      <c r="G1412">
        <v>-0.84</v>
      </c>
      <c r="H1412">
        <v>-1.81</v>
      </c>
    </row>
    <row r="1413" spans="1:8" x14ac:dyDescent="0.25">
      <c r="A1413">
        <v>1398</v>
      </c>
      <c r="B1413">
        <v>10</v>
      </c>
      <c r="C1413">
        <v>6</v>
      </c>
      <c r="D1413">
        <v>6</v>
      </c>
      <c r="E1413">
        <v>80</v>
      </c>
      <c r="F1413">
        <v>32.770000000000003</v>
      </c>
      <c r="G1413">
        <v>-0.41</v>
      </c>
      <c r="H1413">
        <v>-1.68</v>
      </c>
    </row>
    <row r="1414" spans="1:8" x14ac:dyDescent="0.25">
      <c r="A1414">
        <v>1399</v>
      </c>
      <c r="B1414">
        <v>100</v>
      </c>
      <c r="C1414">
        <v>85</v>
      </c>
      <c r="D1414">
        <v>85</v>
      </c>
      <c r="E1414">
        <v>100</v>
      </c>
      <c r="F1414">
        <v>9.23</v>
      </c>
      <c r="G1414">
        <v>-0.89</v>
      </c>
      <c r="H1414">
        <v>0.05</v>
      </c>
    </row>
    <row r="1415" spans="1:8" x14ac:dyDescent="0.25">
      <c r="A1415">
        <v>1400</v>
      </c>
      <c r="B1415">
        <v>80</v>
      </c>
      <c r="C1415">
        <v>65</v>
      </c>
      <c r="D1415">
        <v>65</v>
      </c>
      <c r="E1415">
        <v>100</v>
      </c>
      <c r="F1415">
        <v>10.210000000000001</v>
      </c>
      <c r="G1415">
        <v>-1.0900000000000001</v>
      </c>
      <c r="H1415">
        <v>-0.2</v>
      </c>
    </row>
    <row r="1416" spans="1:8" x14ac:dyDescent="0.25">
      <c r="A1416">
        <v>1401</v>
      </c>
      <c r="B1416">
        <v>60</v>
      </c>
      <c r="C1416">
        <v>45</v>
      </c>
      <c r="D1416">
        <v>45</v>
      </c>
      <c r="E1416">
        <v>100</v>
      </c>
      <c r="F1416">
        <v>11.62</v>
      </c>
      <c r="G1416">
        <v>-0.95</v>
      </c>
      <c r="H1416">
        <v>-0.51</v>
      </c>
    </row>
    <row r="1417" spans="1:8" x14ac:dyDescent="0.25">
      <c r="A1417">
        <v>1402</v>
      </c>
      <c r="B1417">
        <v>40</v>
      </c>
      <c r="C1417">
        <v>27</v>
      </c>
      <c r="D1417">
        <v>27</v>
      </c>
      <c r="E1417">
        <v>100</v>
      </c>
      <c r="F1417">
        <v>13.18</v>
      </c>
      <c r="G1417">
        <v>-0.93</v>
      </c>
      <c r="H1417">
        <v>-0.56999999999999995</v>
      </c>
    </row>
    <row r="1418" spans="1:8" x14ac:dyDescent="0.25">
      <c r="A1418">
        <v>1403</v>
      </c>
      <c r="B1418">
        <v>20</v>
      </c>
      <c r="C1418">
        <v>12</v>
      </c>
      <c r="D1418">
        <v>12</v>
      </c>
      <c r="E1418">
        <v>100</v>
      </c>
      <c r="F1418">
        <v>14.69</v>
      </c>
      <c r="G1418">
        <v>-0.77</v>
      </c>
      <c r="H1418">
        <v>-0.62</v>
      </c>
    </row>
    <row r="1419" spans="1:8" x14ac:dyDescent="0.25">
      <c r="A1419">
        <v>1404</v>
      </c>
      <c r="B1419">
        <v>10</v>
      </c>
      <c r="C1419">
        <v>6</v>
      </c>
      <c r="D1419">
        <v>6</v>
      </c>
      <c r="E1419">
        <v>100</v>
      </c>
      <c r="F1419">
        <v>15.4</v>
      </c>
      <c r="G1419">
        <v>-0.47</v>
      </c>
      <c r="H1419">
        <v>-0.4</v>
      </c>
    </row>
    <row r="1420" spans="1:8" x14ac:dyDescent="0.25">
      <c r="A1420">
        <v>1405</v>
      </c>
      <c r="B1420">
        <v>100</v>
      </c>
      <c r="C1420">
        <v>0</v>
      </c>
      <c r="D1420">
        <v>0</v>
      </c>
      <c r="E1420">
        <v>70</v>
      </c>
      <c r="F1420">
        <v>27.28</v>
      </c>
      <c r="G1420">
        <v>-19.13</v>
      </c>
      <c r="H1420">
        <v>-24.19</v>
      </c>
    </row>
    <row r="1421" spans="1:8" x14ac:dyDescent="0.25">
      <c r="A1421">
        <v>1406</v>
      </c>
      <c r="B1421">
        <v>0</v>
      </c>
      <c r="C1421">
        <v>100</v>
      </c>
      <c r="D1421">
        <v>0</v>
      </c>
      <c r="E1421">
        <v>70</v>
      </c>
      <c r="F1421">
        <v>23.8</v>
      </c>
      <c r="G1421">
        <v>35.11</v>
      </c>
      <c r="H1421">
        <v>-1.52</v>
      </c>
    </row>
    <row r="1422" spans="1:8" x14ac:dyDescent="0.25">
      <c r="A1422">
        <v>1407</v>
      </c>
      <c r="B1422">
        <v>0</v>
      </c>
      <c r="C1422">
        <v>0</v>
      </c>
      <c r="D1422">
        <v>100</v>
      </c>
      <c r="E1422">
        <v>70</v>
      </c>
      <c r="F1422">
        <v>41.98</v>
      </c>
      <c r="G1422">
        <v>-4.62</v>
      </c>
      <c r="H1422">
        <v>40.36</v>
      </c>
    </row>
    <row r="1423" spans="1:8" x14ac:dyDescent="0.25">
      <c r="A1423">
        <v>1408</v>
      </c>
      <c r="B1423">
        <v>100</v>
      </c>
      <c r="C1423">
        <v>100</v>
      </c>
      <c r="D1423">
        <v>0</v>
      </c>
      <c r="E1423">
        <v>70</v>
      </c>
      <c r="F1423">
        <v>15.29</v>
      </c>
      <c r="G1423">
        <v>9.51</v>
      </c>
      <c r="H1423">
        <v>-19.43</v>
      </c>
    </row>
    <row r="1424" spans="1:8" x14ac:dyDescent="0.25">
      <c r="A1424">
        <v>1409</v>
      </c>
      <c r="B1424">
        <v>100</v>
      </c>
      <c r="C1424">
        <v>0</v>
      </c>
      <c r="D1424">
        <v>100</v>
      </c>
      <c r="E1424">
        <v>70</v>
      </c>
      <c r="F1424">
        <v>26.66</v>
      </c>
      <c r="G1424">
        <v>-31.48</v>
      </c>
      <c r="H1424">
        <v>12.22</v>
      </c>
    </row>
    <row r="1425" spans="1:8" x14ac:dyDescent="0.25">
      <c r="A1425">
        <v>1410</v>
      </c>
      <c r="B1425">
        <v>0</v>
      </c>
      <c r="C1425">
        <v>100</v>
      </c>
      <c r="D1425">
        <v>100</v>
      </c>
      <c r="E1425">
        <v>70</v>
      </c>
      <c r="F1425">
        <v>23.81</v>
      </c>
      <c r="G1425">
        <v>28.67</v>
      </c>
      <c r="H1425">
        <v>20.239999999999998</v>
      </c>
    </row>
    <row r="1426" spans="1:8" x14ac:dyDescent="0.25">
      <c r="A1426">
        <v>1411</v>
      </c>
      <c r="B1426">
        <v>40</v>
      </c>
      <c r="C1426">
        <v>40</v>
      </c>
      <c r="D1426">
        <v>0</v>
      </c>
      <c r="E1426">
        <v>70</v>
      </c>
      <c r="F1426">
        <v>30.08</v>
      </c>
      <c r="G1426">
        <v>5.57</v>
      </c>
      <c r="H1426">
        <v>-11.29</v>
      </c>
    </row>
    <row r="1427" spans="1:8" x14ac:dyDescent="0.25">
      <c r="A1427">
        <v>1412</v>
      </c>
      <c r="B1427">
        <v>40</v>
      </c>
      <c r="C1427">
        <v>0</v>
      </c>
      <c r="D1427">
        <v>40</v>
      </c>
      <c r="E1427">
        <v>70</v>
      </c>
      <c r="F1427">
        <v>36.68</v>
      </c>
      <c r="G1427">
        <v>-10.8</v>
      </c>
      <c r="H1427">
        <v>4.43</v>
      </c>
    </row>
    <row r="1428" spans="1:8" x14ac:dyDescent="0.25">
      <c r="A1428">
        <v>1413</v>
      </c>
      <c r="B1428">
        <v>0</v>
      </c>
      <c r="C1428">
        <v>40</v>
      </c>
      <c r="D1428">
        <v>40</v>
      </c>
      <c r="E1428">
        <v>70</v>
      </c>
      <c r="F1428">
        <v>35.270000000000003</v>
      </c>
      <c r="G1428">
        <v>10.34</v>
      </c>
      <c r="H1428">
        <v>10.34</v>
      </c>
    </row>
    <row r="1429" spans="1:8" x14ac:dyDescent="0.25">
      <c r="A1429">
        <v>1414</v>
      </c>
      <c r="B1429">
        <v>3</v>
      </c>
      <c r="C1429">
        <v>3</v>
      </c>
      <c r="D1429">
        <v>0</v>
      </c>
      <c r="E1429">
        <v>0</v>
      </c>
      <c r="F1429">
        <v>92.26</v>
      </c>
      <c r="G1429">
        <v>1.99</v>
      </c>
      <c r="H1429">
        <v>-5.75</v>
      </c>
    </row>
    <row r="1430" spans="1:8" x14ac:dyDescent="0.25">
      <c r="A1430">
        <v>1415</v>
      </c>
      <c r="B1430">
        <v>3</v>
      </c>
      <c r="C1430">
        <v>0</v>
      </c>
      <c r="D1430">
        <v>3</v>
      </c>
      <c r="E1430">
        <v>0</v>
      </c>
      <c r="F1430">
        <v>93.55</v>
      </c>
      <c r="G1430">
        <v>-0.32</v>
      </c>
      <c r="H1430">
        <v>-2.8</v>
      </c>
    </row>
    <row r="1431" spans="1:8" x14ac:dyDescent="0.25">
      <c r="A1431">
        <v>1416</v>
      </c>
      <c r="B1431">
        <v>0</v>
      </c>
      <c r="C1431">
        <v>3</v>
      </c>
      <c r="D1431">
        <v>3</v>
      </c>
      <c r="E1431">
        <v>0</v>
      </c>
      <c r="F1431">
        <v>93.24</v>
      </c>
      <c r="G1431">
        <v>2.75</v>
      </c>
      <c r="H1431">
        <v>-1.73</v>
      </c>
    </row>
    <row r="1432" spans="1:8" x14ac:dyDescent="0.25">
      <c r="A1432">
        <v>1417</v>
      </c>
      <c r="B1432">
        <v>3</v>
      </c>
      <c r="C1432">
        <v>3</v>
      </c>
      <c r="D1432">
        <v>3</v>
      </c>
      <c r="E1432">
        <v>0</v>
      </c>
      <c r="F1432">
        <v>92.12</v>
      </c>
      <c r="G1432">
        <v>1.47</v>
      </c>
      <c r="H1432">
        <v>-3.25</v>
      </c>
    </row>
    <row r="1433" spans="1:8" x14ac:dyDescent="0.25">
      <c r="A1433">
        <v>1418</v>
      </c>
      <c r="B1433">
        <v>3</v>
      </c>
      <c r="C1433">
        <v>0</v>
      </c>
      <c r="D1433">
        <v>0</v>
      </c>
      <c r="E1433">
        <v>3</v>
      </c>
      <c r="F1433">
        <v>91.63</v>
      </c>
      <c r="G1433">
        <v>-0.03</v>
      </c>
      <c r="H1433">
        <v>-5.34</v>
      </c>
    </row>
    <row r="1434" spans="1:8" x14ac:dyDescent="0.25">
      <c r="A1434">
        <v>1419</v>
      </c>
      <c r="B1434">
        <v>0</v>
      </c>
      <c r="C1434">
        <v>3</v>
      </c>
      <c r="D1434">
        <v>0</v>
      </c>
      <c r="E1434">
        <v>3</v>
      </c>
      <c r="F1434">
        <v>91.36</v>
      </c>
      <c r="G1434">
        <v>2.86</v>
      </c>
      <c r="H1434">
        <v>-4.21</v>
      </c>
    </row>
    <row r="1435" spans="1:8" x14ac:dyDescent="0.25">
      <c r="A1435">
        <v>1420</v>
      </c>
      <c r="B1435">
        <v>3</v>
      </c>
      <c r="C1435">
        <v>3</v>
      </c>
      <c r="D1435">
        <v>0</v>
      </c>
      <c r="E1435">
        <v>3</v>
      </c>
      <c r="F1435">
        <v>90.2</v>
      </c>
      <c r="G1435">
        <v>1.87</v>
      </c>
      <c r="H1435">
        <v>-5.63</v>
      </c>
    </row>
    <row r="1436" spans="1:8" x14ac:dyDescent="0.25">
      <c r="A1436">
        <v>1421</v>
      </c>
      <c r="B1436">
        <v>0</v>
      </c>
      <c r="C1436">
        <v>0</v>
      </c>
      <c r="D1436">
        <v>3</v>
      </c>
      <c r="E1436">
        <v>3</v>
      </c>
      <c r="F1436">
        <v>92.59</v>
      </c>
      <c r="G1436">
        <v>0.67</v>
      </c>
      <c r="H1436">
        <v>-1.41</v>
      </c>
    </row>
    <row r="1437" spans="1:8" x14ac:dyDescent="0.25">
      <c r="A1437">
        <v>1422</v>
      </c>
      <c r="B1437">
        <v>3</v>
      </c>
      <c r="C1437">
        <v>0</v>
      </c>
      <c r="D1437">
        <v>3</v>
      </c>
      <c r="E1437">
        <v>3</v>
      </c>
      <c r="F1437">
        <v>91.41</v>
      </c>
      <c r="G1437">
        <v>-0.34</v>
      </c>
      <c r="H1437">
        <v>-2.86</v>
      </c>
    </row>
    <row r="1438" spans="1:8" x14ac:dyDescent="0.25">
      <c r="A1438">
        <v>1423</v>
      </c>
      <c r="B1438">
        <v>0</v>
      </c>
      <c r="C1438">
        <v>3</v>
      </c>
      <c r="D1438">
        <v>3</v>
      </c>
      <c r="E1438">
        <v>3</v>
      </c>
      <c r="F1438">
        <v>91.15</v>
      </c>
      <c r="G1438">
        <v>2.59</v>
      </c>
      <c r="H1438">
        <v>-1.79</v>
      </c>
    </row>
    <row r="1439" spans="1:8" x14ac:dyDescent="0.25">
      <c r="A1439">
        <v>1424</v>
      </c>
      <c r="B1439">
        <v>3</v>
      </c>
      <c r="C1439">
        <v>3</v>
      </c>
      <c r="D1439">
        <v>3</v>
      </c>
      <c r="E1439">
        <v>3</v>
      </c>
      <c r="F1439">
        <v>90.13</v>
      </c>
      <c r="G1439">
        <v>1.34</v>
      </c>
      <c r="H1439">
        <v>-3.28</v>
      </c>
    </row>
    <row r="1440" spans="1:8" x14ac:dyDescent="0.25">
      <c r="A1440">
        <v>1425</v>
      </c>
      <c r="B1440">
        <v>7</v>
      </c>
      <c r="C1440">
        <v>7</v>
      </c>
      <c r="D1440">
        <v>0</v>
      </c>
      <c r="E1440">
        <v>0</v>
      </c>
      <c r="F1440">
        <v>88.76</v>
      </c>
      <c r="G1440">
        <v>3.23</v>
      </c>
      <c r="H1440">
        <v>-8.02</v>
      </c>
    </row>
    <row r="1441" spans="1:8" x14ac:dyDescent="0.25">
      <c r="A1441">
        <v>1426</v>
      </c>
      <c r="B1441">
        <v>7</v>
      </c>
      <c r="C1441">
        <v>0</v>
      </c>
      <c r="D1441">
        <v>7</v>
      </c>
      <c r="E1441">
        <v>0</v>
      </c>
      <c r="F1441">
        <v>91.68</v>
      </c>
      <c r="G1441">
        <v>-2.13</v>
      </c>
      <c r="H1441">
        <v>-1.32</v>
      </c>
    </row>
    <row r="1442" spans="1:8" x14ac:dyDescent="0.25">
      <c r="A1442">
        <v>1427</v>
      </c>
      <c r="B1442">
        <v>0</v>
      </c>
      <c r="C1442">
        <v>7</v>
      </c>
      <c r="D1442">
        <v>7</v>
      </c>
      <c r="E1442">
        <v>0</v>
      </c>
      <c r="F1442">
        <v>90.96</v>
      </c>
      <c r="G1442">
        <v>5.09</v>
      </c>
      <c r="H1442">
        <v>1.1499999999999999</v>
      </c>
    </row>
    <row r="1443" spans="1:8" x14ac:dyDescent="0.25">
      <c r="A1443">
        <v>1428</v>
      </c>
      <c r="B1443">
        <v>7</v>
      </c>
      <c r="C1443">
        <v>7</v>
      </c>
      <c r="D1443">
        <v>7</v>
      </c>
      <c r="E1443">
        <v>0</v>
      </c>
      <c r="F1443">
        <v>88.37</v>
      </c>
      <c r="G1443">
        <v>1.98</v>
      </c>
      <c r="H1443">
        <v>-2.27</v>
      </c>
    </row>
    <row r="1444" spans="1:8" x14ac:dyDescent="0.25">
      <c r="A1444">
        <v>1429</v>
      </c>
      <c r="B1444">
        <v>7</v>
      </c>
      <c r="C1444">
        <v>0</v>
      </c>
      <c r="D1444">
        <v>0</v>
      </c>
      <c r="E1444">
        <v>7</v>
      </c>
      <c r="F1444">
        <v>87.35</v>
      </c>
      <c r="G1444">
        <v>-1.32</v>
      </c>
      <c r="H1444">
        <v>-7.04</v>
      </c>
    </row>
    <row r="1445" spans="1:8" x14ac:dyDescent="0.25">
      <c r="A1445">
        <v>1430</v>
      </c>
      <c r="B1445">
        <v>0</v>
      </c>
      <c r="C1445">
        <v>7</v>
      </c>
      <c r="D1445">
        <v>0</v>
      </c>
      <c r="E1445">
        <v>7</v>
      </c>
      <c r="F1445">
        <v>86.66</v>
      </c>
      <c r="G1445">
        <v>5.28</v>
      </c>
      <c r="H1445">
        <v>-4.51</v>
      </c>
    </row>
    <row r="1446" spans="1:8" x14ac:dyDescent="0.25">
      <c r="A1446">
        <v>1431</v>
      </c>
      <c r="B1446">
        <v>7</v>
      </c>
      <c r="C1446">
        <v>7</v>
      </c>
      <c r="D1446">
        <v>0</v>
      </c>
      <c r="E1446">
        <v>7</v>
      </c>
      <c r="F1446">
        <v>84.13</v>
      </c>
      <c r="G1446">
        <v>2.97</v>
      </c>
      <c r="H1446">
        <v>-7.64</v>
      </c>
    </row>
    <row r="1447" spans="1:8" x14ac:dyDescent="0.25">
      <c r="A1447">
        <v>1432</v>
      </c>
      <c r="B1447">
        <v>0</v>
      </c>
      <c r="C1447">
        <v>0</v>
      </c>
      <c r="D1447">
        <v>7</v>
      </c>
      <c r="E1447">
        <v>7</v>
      </c>
      <c r="F1447">
        <v>89.48</v>
      </c>
      <c r="G1447">
        <v>0.26</v>
      </c>
      <c r="H1447">
        <v>1.86</v>
      </c>
    </row>
    <row r="1448" spans="1:8" x14ac:dyDescent="0.25">
      <c r="A1448">
        <v>1433</v>
      </c>
      <c r="B1448">
        <v>7</v>
      </c>
      <c r="C1448">
        <v>0</v>
      </c>
      <c r="D1448">
        <v>7</v>
      </c>
      <c r="E1448">
        <v>7</v>
      </c>
      <c r="F1448">
        <v>86.86</v>
      </c>
      <c r="G1448">
        <v>-2.1</v>
      </c>
      <c r="H1448">
        <v>-1.38</v>
      </c>
    </row>
    <row r="1449" spans="1:8" x14ac:dyDescent="0.25">
      <c r="A1449">
        <v>1434</v>
      </c>
      <c r="B1449">
        <v>0</v>
      </c>
      <c r="C1449">
        <v>7</v>
      </c>
      <c r="D1449">
        <v>7</v>
      </c>
      <c r="E1449">
        <v>7</v>
      </c>
      <c r="F1449">
        <v>86.21</v>
      </c>
      <c r="G1449">
        <v>4.68</v>
      </c>
      <c r="H1449">
        <v>0.97</v>
      </c>
    </row>
    <row r="1450" spans="1:8" x14ac:dyDescent="0.25">
      <c r="A1450">
        <v>1435</v>
      </c>
      <c r="B1450">
        <v>7</v>
      </c>
      <c r="C1450">
        <v>7</v>
      </c>
      <c r="D1450">
        <v>7</v>
      </c>
      <c r="E1450">
        <v>7</v>
      </c>
      <c r="F1450">
        <v>83.83</v>
      </c>
      <c r="G1450">
        <v>1.74</v>
      </c>
      <c r="H1450">
        <v>-2.27</v>
      </c>
    </row>
    <row r="1451" spans="1:8" x14ac:dyDescent="0.25">
      <c r="A1451">
        <v>1436</v>
      </c>
      <c r="B1451">
        <v>40</v>
      </c>
      <c r="C1451">
        <v>3</v>
      </c>
      <c r="D1451">
        <v>0</v>
      </c>
      <c r="E1451">
        <v>0</v>
      </c>
      <c r="F1451">
        <v>77.89</v>
      </c>
      <c r="G1451">
        <v>-10.99</v>
      </c>
      <c r="H1451">
        <v>-23.25</v>
      </c>
    </row>
    <row r="1452" spans="1:8" x14ac:dyDescent="0.25">
      <c r="A1452">
        <v>1437</v>
      </c>
      <c r="B1452">
        <v>3</v>
      </c>
      <c r="C1452">
        <v>40</v>
      </c>
      <c r="D1452">
        <v>0</v>
      </c>
      <c r="E1452">
        <v>0</v>
      </c>
      <c r="F1452">
        <v>74.14</v>
      </c>
      <c r="G1452">
        <v>27.03</v>
      </c>
      <c r="H1452">
        <v>-8.56</v>
      </c>
    </row>
    <row r="1453" spans="1:8" x14ac:dyDescent="0.25">
      <c r="A1453">
        <v>1438</v>
      </c>
      <c r="B1453">
        <v>40</v>
      </c>
      <c r="C1453">
        <v>0</v>
      </c>
      <c r="D1453">
        <v>3</v>
      </c>
      <c r="E1453">
        <v>0</v>
      </c>
      <c r="F1453">
        <v>78.97</v>
      </c>
      <c r="G1453">
        <v>-13.38</v>
      </c>
      <c r="H1453">
        <v>-20.61</v>
      </c>
    </row>
    <row r="1454" spans="1:8" x14ac:dyDescent="0.25">
      <c r="A1454">
        <v>1439</v>
      </c>
      <c r="B1454">
        <v>40</v>
      </c>
      <c r="C1454">
        <v>3</v>
      </c>
      <c r="D1454">
        <v>3</v>
      </c>
      <c r="E1454">
        <v>0</v>
      </c>
      <c r="F1454">
        <v>77.7</v>
      </c>
      <c r="G1454">
        <v>-11.68</v>
      </c>
      <c r="H1454">
        <v>-20.85</v>
      </c>
    </row>
    <row r="1455" spans="1:8" x14ac:dyDescent="0.25">
      <c r="A1455">
        <v>1440</v>
      </c>
      <c r="B1455">
        <v>0</v>
      </c>
      <c r="C1455">
        <v>40</v>
      </c>
      <c r="D1455">
        <v>3</v>
      </c>
      <c r="E1455">
        <v>0</v>
      </c>
      <c r="F1455">
        <v>74.989999999999995</v>
      </c>
      <c r="G1455">
        <v>28.08</v>
      </c>
      <c r="H1455">
        <v>-5.07</v>
      </c>
    </row>
    <row r="1456" spans="1:8" x14ac:dyDescent="0.25">
      <c r="A1456">
        <v>1441</v>
      </c>
      <c r="B1456">
        <v>3</v>
      </c>
      <c r="C1456">
        <v>40</v>
      </c>
      <c r="D1456">
        <v>3</v>
      </c>
      <c r="E1456">
        <v>0</v>
      </c>
      <c r="F1456">
        <v>73.95</v>
      </c>
      <c r="G1456">
        <v>26.88</v>
      </c>
      <c r="H1456">
        <v>-6.42</v>
      </c>
    </row>
    <row r="1457" spans="1:8" x14ac:dyDescent="0.25">
      <c r="A1457">
        <v>1442</v>
      </c>
      <c r="B1457">
        <v>40</v>
      </c>
      <c r="C1457">
        <v>40</v>
      </c>
      <c r="D1457">
        <v>3</v>
      </c>
      <c r="E1457">
        <v>0</v>
      </c>
      <c r="F1457">
        <v>62.38</v>
      </c>
      <c r="G1457">
        <v>10.91</v>
      </c>
      <c r="H1457">
        <v>-22.19</v>
      </c>
    </row>
    <row r="1458" spans="1:8" x14ac:dyDescent="0.25">
      <c r="A1458">
        <v>1443</v>
      </c>
      <c r="B1458">
        <v>3</v>
      </c>
      <c r="C1458">
        <v>0</v>
      </c>
      <c r="D1458">
        <v>40</v>
      </c>
      <c r="E1458">
        <v>0</v>
      </c>
      <c r="F1458">
        <v>90.97</v>
      </c>
      <c r="G1458">
        <v>-3.47</v>
      </c>
      <c r="H1458">
        <v>29.96</v>
      </c>
    </row>
    <row r="1459" spans="1:8" x14ac:dyDescent="0.25">
      <c r="A1459">
        <v>1444</v>
      </c>
      <c r="B1459">
        <v>0</v>
      </c>
      <c r="C1459">
        <v>3</v>
      </c>
      <c r="D1459">
        <v>40</v>
      </c>
      <c r="E1459">
        <v>0</v>
      </c>
      <c r="F1459">
        <v>90.7</v>
      </c>
      <c r="G1459">
        <v>-0.11</v>
      </c>
      <c r="H1459">
        <v>30.76</v>
      </c>
    </row>
    <row r="1460" spans="1:8" x14ac:dyDescent="0.25">
      <c r="A1460">
        <v>1445</v>
      </c>
      <c r="B1460">
        <v>3</v>
      </c>
      <c r="C1460">
        <v>3</v>
      </c>
      <c r="D1460">
        <v>40</v>
      </c>
      <c r="E1460">
        <v>0</v>
      </c>
      <c r="F1460">
        <v>89.57</v>
      </c>
      <c r="G1460">
        <v>-1.51</v>
      </c>
      <c r="H1460">
        <v>29.21</v>
      </c>
    </row>
    <row r="1461" spans="1:8" x14ac:dyDescent="0.25">
      <c r="A1461">
        <v>1446</v>
      </c>
      <c r="B1461">
        <v>40</v>
      </c>
      <c r="C1461">
        <v>3</v>
      </c>
      <c r="D1461">
        <v>40</v>
      </c>
      <c r="E1461">
        <v>0</v>
      </c>
      <c r="F1461">
        <v>75.64</v>
      </c>
      <c r="G1461">
        <v>-18.16</v>
      </c>
      <c r="H1461">
        <v>9.86</v>
      </c>
    </row>
    <row r="1462" spans="1:8" x14ac:dyDescent="0.25">
      <c r="A1462">
        <v>1447</v>
      </c>
      <c r="B1462">
        <v>3</v>
      </c>
      <c r="C1462">
        <v>40</v>
      </c>
      <c r="D1462">
        <v>40</v>
      </c>
      <c r="E1462">
        <v>0</v>
      </c>
      <c r="F1462">
        <v>72.61</v>
      </c>
      <c r="G1462">
        <v>23.96</v>
      </c>
      <c r="H1462">
        <v>20.71</v>
      </c>
    </row>
    <row r="1463" spans="1:8" x14ac:dyDescent="0.25">
      <c r="A1463">
        <v>1448</v>
      </c>
      <c r="B1463">
        <v>40</v>
      </c>
      <c r="C1463">
        <v>0</v>
      </c>
      <c r="D1463">
        <v>0</v>
      </c>
      <c r="E1463">
        <v>3</v>
      </c>
      <c r="F1463">
        <v>77.349999999999994</v>
      </c>
      <c r="G1463">
        <v>-12.53</v>
      </c>
      <c r="H1463">
        <v>-22.66</v>
      </c>
    </row>
    <row r="1464" spans="1:8" x14ac:dyDescent="0.25">
      <c r="A1464">
        <v>1449</v>
      </c>
      <c r="B1464">
        <v>40</v>
      </c>
      <c r="C1464">
        <v>3</v>
      </c>
      <c r="D1464">
        <v>0</v>
      </c>
      <c r="E1464">
        <v>3</v>
      </c>
      <c r="F1464">
        <v>76.14</v>
      </c>
      <c r="G1464">
        <v>-10.83</v>
      </c>
      <c r="H1464">
        <v>-22.77</v>
      </c>
    </row>
    <row r="1465" spans="1:8" x14ac:dyDescent="0.25">
      <c r="A1465">
        <v>1450</v>
      </c>
      <c r="B1465">
        <v>0</v>
      </c>
      <c r="C1465">
        <v>40</v>
      </c>
      <c r="D1465">
        <v>0</v>
      </c>
      <c r="E1465">
        <v>3</v>
      </c>
      <c r="F1465">
        <v>73.42</v>
      </c>
      <c r="G1465">
        <v>27.57</v>
      </c>
      <c r="H1465">
        <v>-7.11</v>
      </c>
    </row>
    <row r="1466" spans="1:8" x14ac:dyDescent="0.25">
      <c r="A1466">
        <v>1451</v>
      </c>
      <c r="B1466">
        <v>3</v>
      </c>
      <c r="C1466">
        <v>40</v>
      </c>
      <c r="D1466">
        <v>0</v>
      </c>
      <c r="E1466">
        <v>3</v>
      </c>
      <c r="F1466">
        <v>72.489999999999995</v>
      </c>
      <c r="G1466">
        <v>26.33</v>
      </c>
      <c r="H1466">
        <v>-8.4</v>
      </c>
    </row>
    <row r="1467" spans="1:8" x14ac:dyDescent="0.25">
      <c r="A1467">
        <v>1452</v>
      </c>
      <c r="B1467">
        <v>40</v>
      </c>
      <c r="C1467">
        <v>40</v>
      </c>
      <c r="D1467">
        <v>0</v>
      </c>
      <c r="E1467">
        <v>3</v>
      </c>
      <c r="F1467">
        <v>61.19</v>
      </c>
      <c r="G1467">
        <v>11.04</v>
      </c>
      <c r="H1467">
        <v>-23.68</v>
      </c>
    </row>
    <row r="1468" spans="1:8" x14ac:dyDescent="0.25">
      <c r="A1468">
        <v>1453</v>
      </c>
      <c r="B1468">
        <v>40</v>
      </c>
      <c r="C1468">
        <v>0</v>
      </c>
      <c r="D1468">
        <v>3</v>
      </c>
      <c r="E1468">
        <v>3</v>
      </c>
      <c r="F1468">
        <v>77.16</v>
      </c>
      <c r="G1468">
        <v>-13.14</v>
      </c>
      <c r="H1468">
        <v>-20.25</v>
      </c>
    </row>
    <row r="1469" spans="1:8" x14ac:dyDescent="0.25">
      <c r="A1469">
        <v>1454</v>
      </c>
      <c r="B1469">
        <v>40</v>
      </c>
      <c r="C1469">
        <v>3</v>
      </c>
      <c r="D1469">
        <v>3</v>
      </c>
      <c r="E1469">
        <v>3</v>
      </c>
      <c r="F1469">
        <v>75.959999999999994</v>
      </c>
      <c r="G1469">
        <v>-11.5</v>
      </c>
      <c r="H1469">
        <v>-20.48</v>
      </c>
    </row>
    <row r="1470" spans="1:8" x14ac:dyDescent="0.25">
      <c r="A1470">
        <v>1455</v>
      </c>
      <c r="B1470">
        <v>0</v>
      </c>
      <c r="C1470">
        <v>40</v>
      </c>
      <c r="D1470">
        <v>3</v>
      </c>
      <c r="E1470">
        <v>3</v>
      </c>
      <c r="F1470">
        <v>73.319999999999993</v>
      </c>
      <c r="G1470">
        <v>27.36</v>
      </c>
      <c r="H1470">
        <v>-5.07</v>
      </c>
    </row>
    <row r="1471" spans="1:8" x14ac:dyDescent="0.25">
      <c r="A1471">
        <v>1456</v>
      </c>
      <c r="B1471">
        <v>3</v>
      </c>
      <c r="C1471">
        <v>40</v>
      </c>
      <c r="D1471">
        <v>3</v>
      </c>
      <c r="E1471">
        <v>3</v>
      </c>
      <c r="F1471">
        <v>72.31</v>
      </c>
      <c r="G1471">
        <v>26.19</v>
      </c>
      <c r="H1471">
        <v>-6.39</v>
      </c>
    </row>
    <row r="1472" spans="1:8" x14ac:dyDescent="0.25">
      <c r="A1472">
        <v>1457</v>
      </c>
      <c r="B1472">
        <v>40</v>
      </c>
      <c r="C1472">
        <v>40</v>
      </c>
      <c r="D1472">
        <v>3</v>
      </c>
      <c r="E1472">
        <v>3</v>
      </c>
      <c r="F1472">
        <v>60.97</v>
      </c>
      <c r="G1472">
        <v>10.61</v>
      </c>
      <c r="H1472">
        <v>-21.82</v>
      </c>
    </row>
    <row r="1473" spans="1:8" x14ac:dyDescent="0.25">
      <c r="A1473">
        <v>1458</v>
      </c>
      <c r="B1473">
        <v>0</v>
      </c>
      <c r="C1473">
        <v>0</v>
      </c>
      <c r="D1473">
        <v>40</v>
      </c>
      <c r="E1473">
        <v>3</v>
      </c>
      <c r="F1473">
        <v>90.02</v>
      </c>
      <c r="G1473">
        <v>-2.2200000000000002</v>
      </c>
      <c r="H1473">
        <v>30.71</v>
      </c>
    </row>
    <row r="1474" spans="1:8" x14ac:dyDescent="0.25">
      <c r="A1474">
        <v>1459</v>
      </c>
      <c r="B1474">
        <v>3</v>
      </c>
      <c r="C1474">
        <v>0</v>
      </c>
      <c r="D1474">
        <v>40</v>
      </c>
      <c r="E1474">
        <v>3</v>
      </c>
      <c r="F1474">
        <v>88.88</v>
      </c>
      <c r="G1474">
        <v>-3.51</v>
      </c>
      <c r="H1474">
        <v>29.13</v>
      </c>
    </row>
    <row r="1475" spans="1:8" x14ac:dyDescent="0.25">
      <c r="A1475">
        <v>1460</v>
      </c>
      <c r="B1475">
        <v>40</v>
      </c>
      <c r="C1475">
        <v>0</v>
      </c>
      <c r="D1475">
        <v>40</v>
      </c>
      <c r="E1475">
        <v>3</v>
      </c>
      <c r="F1475">
        <v>75.150000000000006</v>
      </c>
      <c r="G1475">
        <v>-19.61</v>
      </c>
      <c r="H1475">
        <v>10.130000000000001</v>
      </c>
    </row>
    <row r="1476" spans="1:8" x14ac:dyDescent="0.25">
      <c r="A1476">
        <v>1461</v>
      </c>
      <c r="B1476">
        <v>0</v>
      </c>
      <c r="C1476">
        <v>3</v>
      </c>
      <c r="D1476">
        <v>40</v>
      </c>
      <c r="E1476">
        <v>3</v>
      </c>
      <c r="F1476">
        <v>88.65</v>
      </c>
      <c r="G1476">
        <v>-0.27</v>
      </c>
      <c r="H1476">
        <v>29.91</v>
      </c>
    </row>
    <row r="1477" spans="1:8" x14ac:dyDescent="0.25">
      <c r="A1477">
        <v>1462</v>
      </c>
      <c r="B1477">
        <v>3</v>
      </c>
      <c r="C1477">
        <v>3</v>
      </c>
      <c r="D1477">
        <v>40</v>
      </c>
      <c r="E1477">
        <v>3</v>
      </c>
      <c r="F1477">
        <v>87.56</v>
      </c>
      <c r="G1477">
        <v>-1.64</v>
      </c>
      <c r="H1477">
        <v>28.41</v>
      </c>
    </row>
    <row r="1478" spans="1:8" x14ac:dyDescent="0.25">
      <c r="A1478">
        <v>1463</v>
      </c>
      <c r="B1478">
        <v>40</v>
      </c>
      <c r="C1478">
        <v>3</v>
      </c>
      <c r="D1478">
        <v>40</v>
      </c>
      <c r="E1478">
        <v>3</v>
      </c>
      <c r="F1478">
        <v>73.95</v>
      </c>
      <c r="G1478">
        <v>-17.88</v>
      </c>
      <c r="H1478">
        <v>9.5</v>
      </c>
    </row>
    <row r="1479" spans="1:8" x14ac:dyDescent="0.25">
      <c r="A1479">
        <v>1464</v>
      </c>
      <c r="B1479">
        <v>0</v>
      </c>
      <c r="C1479">
        <v>40</v>
      </c>
      <c r="D1479">
        <v>40</v>
      </c>
      <c r="E1479">
        <v>3</v>
      </c>
      <c r="F1479">
        <v>72.02</v>
      </c>
      <c r="G1479">
        <v>24.65</v>
      </c>
      <c r="H1479">
        <v>21.6</v>
      </c>
    </row>
    <row r="1480" spans="1:8" x14ac:dyDescent="0.25">
      <c r="A1480">
        <v>1465</v>
      </c>
      <c r="B1480">
        <v>3</v>
      </c>
      <c r="C1480">
        <v>40</v>
      </c>
      <c r="D1480">
        <v>40</v>
      </c>
      <c r="E1480">
        <v>3</v>
      </c>
      <c r="F1480">
        <v>70.98</v>
      </c>
      <c r="G1480">
        <v>23.27</v>
      </c>
      <c r="H1480">
        <v>20.13</v>
      </c>
    </row>
    <row r="1481" spans="1:8" x14ac:dyDescent="0.25">
      <c r="A1481">
        <v>1466</v>
      </c>
      <c r="B1481">
        <v>40</v>
      </c>
      <c r="C1481">
        <v>40</v>
      </c>
      <c r="D1481">
        <v>40</v>
      </c>
      <c r="E1481">
        <v>3</v>
      </c>
      <c r="F1481">
        <v>59.15</v>
      </c>
      <c r="G1481">
        <v>5.33</v>
      </c>
      <c r="H1481">
        <v>2.2999999999999998</v>
      </c>
    </row>
    <row r="1482" spans="1:8" x14ac:dyDescent="0.25">
      <c r="A1482">
        <v>1467</v>
      </c>
      <c r="B1482">
        <v>3</v>
      </c>
      <c r="C1482">
        <v>0</v>
      </c>
      <c r="D1482">
        <v>0</v>
      </c>
      <c r="E1482">
        <v>40</v>
      </c>
      <c r="F1482">
        <v>66.53</v>
      </c>
      <c r="G1482">
        <v>-0.22</v>
      </c>
      <c r="H1482">
        <v>-4.0199999999999996</v>
      </c>
    </row>
    <row r="1483" spans="1:8" x14ac:dyDescent="0.25">
      <c r="A1483">
        <v>1468</v>
      </c>
      <c r="B1483">
        <v>0</v>
      </c>
      <c r="C1483">
        <v>3</v>
      </c>
      <c r="D1483">
        <v>0</v>
      </c>
      <c r="E1483">
        <v>40</v>
      </c>
      <c r="F1483">
        <v>66.34</v>
      </c>
      <c r="G1483">
        <v>1.94</v>
      </c>
      <c r="H1483">
        <v>-3.09</v>
      </c>
    </row>
    <row r="1484" spans="1:8" x14ac:dyDescent="0.25">
      <c r="A1484">
        <v>1469</v>
      </c>
      <c r="B1484">
        <v>3</v>
      </c>
      <c r="C1484">
        <v>3</v>
      </c>
      <c r="D1484">
        <v>0</v>
      </c>
      <c r="E1484">
        <v>40</v>
      </c>
      <c r="F1484">
        <v>65.5</v>
      </c>
      <c r="G1484">
        <v>1.17</v>
      </c>
      <c r="H1484">
        <v>-4.17</v>
      </c>
    </row>
    <row r="1485" spans="1:8" x14ac:dyDescent="0.25">
      <c r="A1485">
        <v>1470</v>
      </c>
      <c r="B1485">
        <v>40</v>
      </c>
      <c r="C1485">
        <v>3</v>
      </c>
      <c r="D1485">
        <v>0</v>
      </c>
      <c r="E1485">
        <v>40</v>
      </c>
      <c r="F1485">
        <v>55.3</v>
      </c>
      <c r="G1485">
        <v>-8.41</v>
      </c>
      <c r="H1485">
        <v>-16.559999999999999</v>
      </c>
    </row>
    <row r="1486" spans="1:8" x14ac:dyDescent="0.25">
      <c r="A1486">
        <v>1471</v>
      </c>
      <c r="B1486">
        <v>3</v>
      </c>
      <c r="C1486">
        <v>40</v>
      </c>
      <c r="D1486">
        <v>0</v>
      </c>
      <c r="E1486">
        <v>40</v>
      </c>
      <c r="F1486">
        <v>52.75</v>
      </c>
      <c r="G1486">
        <v>18.98</v>
      </c>
      <c r="H1486">
        <v>-5.94</v>
      </c>
    </row>
    <row r="1487" spans="1:8" x14ac:dyDescent="0.25">
      <c r="A1487">
        <v>1472</v>
      </c>
      <c r="B1487">
        <v>0</v>
      </c>
      <c r="C1487">
        <v>0</v>
      </c>
      <c r="D1487">
        <v>3</v>
      </c>
      <c r="E1487">
        <v>40</v>
      </c>
      <c r="F1487">
        <v>67.239999999999995</v>
      </c>
      <c r="G1487">
        <v>0.27</v>
      </c>
      <c r="H1487">
        <v>-1.08</v>
      </c>
    </row>
    <row r="1488" spans="1:8" x14ac:dyDescent="0.25">
      <c r="A1488">
        <v>1473</v>
      </c>
      <c r="B1488">
        <v>3</v>
      </c>
      <c r="C1488">
        <v>0</v>
      </c>
      <c r="D1488">
        <v>3</v>
      </c>
      <c r="E1488">
        <v>40</v>
      </c>
      <c r="F1488">
        <v>66.38</v>
      </c>
      <c r="G1488">
        <v>-0.53</v>
      </c>
      <c r="H1488">
        <v>-2.19</v>
      </c>
    </row>
    <row r="1489" spans="1:8" x14ac:dyDescent="0.25">
      <c r="A1489">
        <v>1474</v>
      </c>
      <c r="B1489">
        <v>40</v>
      </c>
      <c r="C1489">
        <v>0</v>
      </c>
      <c r="D1489">
        <v>3</v>
      </c>
      <c r="E1489">
        <v>40</v>
      </c>
      <c r="F1489">
        <v>56.06</v>
      </c>
      <c r="G1489">
        <v>-10.220000000000001</v>
      </c>
      <c r="H1489">
        <v>-14.72</v>
      </c>
    </row>
    <row r="1490" spans="1:8" x14ac:dyDescent="0.25">
      <c r="A1490">
        <v>1475</v>
      </c>
      <c r="B1490">
        <v>0</v>
      </c>
      <c r="C1490">
        <v>3</v>
      </c>
      <c r="D1490">
        <v>3</v>
      </c>
      <c r="E1490">
        <v>40</v>
      </c>
      <c r="F1490">
        <v>66.180000000000007</v>
      </c>
      <c r="G1490">
        <v>1.72</v>
      </c>
      <c r="H1490">
        <v>-1.4</v>
      </c>
    </row>
    <row r="1491" spans="1:8" x14ac:dyDescent="0.25">
      <c r="A1491">
        <v>1476</v>
      </c>
      <c r="B1491">
        <v>3</v>
      </c>
      <c r="C1491">
        <v>3</v>
      </c>
      <c r="D1491">
        <v>3</v>
      </c>
      <c r="E1491">
        <v>40</v>
      </c>
      <c r="F1491">
        <v>65.069999999999993</v>
      </c>
      <c r="G1491">
        <v>0.72</v>
      </c>
      <c r="H1491">
        <v>-2.52</v>
      </c>
    </row>
    <row r="1492" spans="1:8" x14ac:dyDescent="0.25">
      <c r="A1492">
        <v>1477</v>
      </c>
      <c r="B1492">
        <v>40</v>
      </c>
      <c r="C1492">
        <v>3</v>
      </c>
      <c r="D1492">
        <v>3</v>
      </c>
      <c r="E1492">
        <v>40</v>
      </c>
      <c r="F1492">
        <v>55.09</v>
      </c>
      <c r="G1492">
        <v>-8.93</v>
      </c>
      <c r="H1492">
        <v>-14.87</v>
      </c>
    </row>
    <row r="1493" spans="1:8" x14ac:dyDescent="0.25">
      <c r="A1493">
        <v>1478</v>
      </c>
      <c r="B1493">
        <v>0</v>
      </c>
      <c r="C1493">
        <v>40</v>
      </c>
      <c r="D1493">
        <v>3</v>
      </c>
      <c r="E1493">
        <v>40</v>
      </c>
      <c r="F1493">
        <v>53.38</v>
      </c>
      <c r="G1493">
        <v>19.670000000000002</v>
      </c>
      <c r="H1493">
        <v>-3.45</v>
      </c>
    </row>
    <row r="1494" spans="1:8" x14ac:dyDescent="0.25">
      <c r="A1494">
        <v>1479</v>
      </c>
      <c r="B1494">
        <v>3</v>
      </c>
      <c r="C1494">
        <v>40</v>
      </c>
      <c r="D1494">
        <v>3</v>
      </c>
      <c r="E1494">
        <v>40</v>
      </c>
      <c r="F1494">
        <v>52.55</v>
      </c>
      <c r="G1494">
        <v>18.77</v>
      </c>
      <c r="H1494">
        <v>-4.47</v>
      </c>
    </row>
    <row r="1495" spans="1:8" x14ac:dyDescent="0.25">
      <c r="A1495">
        <v>1480</v>
      </c>
      <c r="B1495">
        <v>40</v>
      </c>
      <c r="C1495">
        <v>40</v>
      </c>
      <c r="D1495">
        <v>3</v>
      </c>
      <c r="E1495">
        <v>40</v>
      </c>
      <c r="F1495">
        <v>44.33</v>
      </c>
      <c r="G1495">
        <v>7.73</v>
      </c>
      <c r="H1495">
        <v>-16.010000000000002</v>
      </c>
    </row>
    <row r="1496" spans="1:8" x14ac:dyDescent="0.25">
      <c r="A1496">
        <v>1481</v>
      </c>
      <c r="B1496">
        <v>3</v>
      </c>
      <c r="C1496">
        <v>0</v>
      </c>
      <c r="D1496">
        <v>40</v>
      </c>
      <c r="E1496">
        <v>40</v>
      </c>
      <c r="F1496">
        <v>64.37</v>
      </c>
      <c r="G1496">
        <v>-3.52</v>
      </c>
      <c r="H1496">
        <v>20.45</v>
      </c>
    </row>
    <row r="1497" spans="1:8" x14ac:dyDescent="0.25">
      <c r="A1497">
        <v>1482</v>
      </c>
      <c r="B1497">
        <v>0</v>
      </c>
      <c r="C1497">
        <v>3</v>
      </c>
      <c r="D1497">
        <v>40</v>
      </c>
      <c r="E1497">
        <v>40</v>
      </c>
      <c r="F1497">
        <v>64.19</v>
      </c>
      <c r="G1497">
        <v>-1.07</v>
      </c>
      <c r="H1497">
        <v>21.08</v>
      </c>
    </row>
    <row r="1498" spans="1:8" x14ac:dyDescent="0.25">
      <c r="A1498">
        <v>1483</v>
      </c>
      <c r="B1498">
        <v>3</v>
      </c>
      <c r="C1498">
        <v>3</v>
      </c>
      <c r="D1498">
        <v>40</v>
      </c>
      <c r="E1498">
        <v>40</v>
      </c>
      <c r="F1498">
        <v>63.32</v>
      </c>
      <c r="G1498">
        <v>-2.11</v>
      </c>
      <c r="H1498">
        <v>19.93</v>
      </c>
    </row>
    <row r="1499" spans="1:8" x14ac:dyDescent="0.25">
      <c r="A1499">
        <v>1484</v>
      </c>
      <c r="B1499">
        <v>40</v>
      </c>
      <c r="C1499">
        <v>3</v>
      </c>
      <c r="D1499">
        <v>40</v>
      </c>
      <c r="E1499">
        <v>40</v>
      </c>
      <c r="F1499">
        <v>53.69</v>
      </c>
      <c r="G1499">
        <v>-13.8</v>
      </c>
      <c r="H1499">
        <v>6.34</v>
      </c>
    </row>
    <row r="1500" spans="1:8" x14ac:dyDescent="0.25">
      <c r="A1500">
        <v>1485</v>
      </c>
      <c r="B1500">
        <v>3</v>
      </c>
      <c r="C1500">
        <v>40</v>
      </c>
      <c r="D1500">
        <v>40</v>
      </c>
      <c r="E1500">
        <v>40</v>
      </c>
      <c r="F1500">
        <v>51.47</v>
      </c>
      <c r="G1500">
        <v>15.89</v>
      </c>
      <c r="H1500">
        <v>14.23</v>
      </c>
    </row>
    <row r="1501" spans="1:8" x14ac:dyDescent="0.25">
      <c r="A1501">
        <v>1486</v>
      </c>
      <c r="B1501">
        <v>0</v>
      </c>
      <c r="C1501">
        <v>0</v>
      </c>
      <c r="D1501">
        <v>0</v>
      </c>
      <c r="E1501">
        <v>10</v>
      </c>
      <c r="F1501">
        <v>87.87</v>
      </c>
      <c r="G1501">
        <v>0.88</v>
      </c>
      <c r="H1501">
        <v>-3.73</v>
      </c>
    </row>
    <row r="1502" spans="1:8" x14ac:dyDescent="0.25">
      <c r="A1502">
        <v>1487</v>
      </c>
      <c r="B1502">
        <v>0</v>
      </c>
      <c r="C1502">
        <v>0</v>
      </c>
      <c r="D1502">
        <v>10</v>
      </c>
      <c r="E1502">
        <v>10</v>
      </c>
      <c r="F1502">
        <v>87.15</v>
      </c>
      <c r="G1502">
        <v>-0.04</v>
      </c>
      <c r="H1502">
        <v>4.17</v>
      </c>
    </row>
    <row r="1503" spans="1:8" x14ac:dyDescent="0.25">
      <c r="A1503">
        <v>1488</v>
      </c>
      <c r="B1503">
        <v>0</v>
      </c>
      <c r="C1503">
        <v>0</v>
      </c>
      <c r="D1503">
        <v>20</v>
      </c>
      <c r="E1503">
        <v>10</v>
      </c>
      <c r="F1503">
        <v>86.45</v>
      </c>
      <c r="G1503">
        <v>-0.87</v>
      </c>
      <c r="H1503">
        <v>12.14</v>
      </c>
    </row>
    <row r="1504" spans="1:8" x14ac:dyDescent="0.25">
      <c r="A1504">
        <v>1489</v>
      </c>
      <c r="B1504">
        <v>0</v>
      </c>
      <c r="C1504">
        <v>0</v>
      </c>
      <c r="D1504">
        <v>40</v>
      </c>
      <c r="E1504">
        <v>10</v>
      </c>
      <c r="F1504">
        <v>85.19</v>
      </c>
      <c r="G1504">
        <v>-2.34</v>
      </c>
      <c r="H1504">
        <v>28.87</v>
      </c>
    </row>
    <row r="1505" spans="1:8" x14ac:dyDescent="0.25">
      <c r="A1505">
        <v>1490</v>
      </c>
      <c r="B1505">
        <v>0</v>
      </c>
      <c r="C1505">
        <v>0</v>
      </c>
      <c r="D1505">
        <v>70</v>
      </c>
      <c r="E1505">
        <v>10</v>
      </c>
      <c r="F1505">
        <v>83.45</v>
      </c>
      <c r="G1505">
        <v>-3.77</v>
      </c>
      <c r="H1505">
        <v>57.22</v>
      </c>
    </row>
    <row r="1506" spans="1:8" x14ac:dyDescent="0.25">
      <c r="A1506">
        <v>1491</v>
      </c>
      <c r="B1506">
        <v>0</v>
      </c>
      <c r="C1506">
        <v>10</v>
      </c>
      <c r="D1506">
        <v>0</v>
      </c>
      <c r="E1506">
        <v>10</v>
      </c>
      <c r="F1506">
        <v>83.2</v>
      </c>
      <c r="G1506">
        <v>7.01</v>
      </c>
      <c r="H1506">
        <v>-4.6900000000000004</v>
      </c>
    </row>
    <row r="1507" spans="1:8" x14ac:dyDescent="0.25">
      <c r="A1507">
        <v>1492</v>
      </c>
      <c r="B1507">
        <v>0</v>
      </c>
      <c r="C1507">
        <v>10</v>
      </c>
      <c r="D1507">
        <v>10</v>
      </c>
      <c r="E1507">
        <v>10</v>
      </c>
      <c r="F1507">
        <v>82.6</v>
      </c>
      <c r="G1507">
        <v>6.15</v>
      </c>
      <c r="H1507">
        <v>2.85</v>
      </c>
    </row>
    <row r="1508" spans="1:8" x14ac:dyDescent="0.25">
      <c r="A1508">
        <v>1493</v>
      </c>
      <c r="B1508">
        <v>0</v>
      </c>
      <c r="C1508">
        <v>10</v>
      </c>
      <c r="D1508">
        <v>20</v>
      </c>
      <c r="E1508">
        <v>10</v>
      </c>
      <c r="F1508">
        <v>81.97</v>
      </c>
      <c r="G1508">
        <v>5.32</v>
      </c>
      <c r="H1508">
        <v>10.52</v>
      </c>
    </row>
    <row r="1509" spans="1:8" x14ac:dyDescent="0.25">
      <c r="A1509">
        <v>1494</v>
      </c>
      <c r="B1509">
        <v>0</v>
      </c>
      <c r="C1509">
        <v>10</v>
      </c>
      <c r="D1509">
        <v>40</v>
      </c>
      <c r="E1509">
        <v>10</v>
      </c>
      <c r="F1509">
        <v>80.84</v>
      </c>
      <c r="G1509">
        <v>3.95</v>
      </c>
      <c r="H1509">
        <v>26.51</v>
      </c>
    </row>
    <row r="1510" spans="1:8" x14ac:dyDescent="0.25">
      <c r="A1510">
        <v>1495</v>
      </c>
      <c r="B1510">
        <v>0</v>
      </c>
      <c r="C1510">
        <v>10</v>
      </c>
      <c r="D1510">
        <v>70</v>
      </c>
      <c r="E1510">
        <v>10</v>
      </c>
      <c r="F1510">
        <v>79.25</v>
      </c>
      <c r="G1510">
        <v>2.5499999999999998</v>
      </c>
      <c r="H1510">
        <v>53.52</v>
      </c>
    </row>
    <row r="1511" spans="1:8" x14ac:dyDescent="0.25">
      <c r="A1511">
        <v>1496</v>
      </c>
      <c r="B1511">
        <v>0</v>
      </c>
      <c r="C1511">
        <v>20</v>
      </c>
      <c r="D1511">
        <v>0</v>
      </c>
      <c r="E1511">
        <v>10</v>
      </c>
      <c r="F1511">
        <v>78.7</v>
      </c>
      <c r="G1511">
        <v>13.04</v>
      </c>
      <c r="H1511">
        <v>-5.54</v>
      </c>
    </row>
    <row r="1512" spans="1:8" x14ac:dyDescent="0.25">
      <c r="A1512">
        <v>1497</v>
      </c>
      <c r="B1512">
        <v>0</v>
      </c>
      <c r="C1512">
        <v>20</v>
      </c>
      <c r="D1512">
        <v>10</v>
      </c>
      <c r="E1512">
        <v>10</v>
      </c>
      <c r="F1512">
        <v>78.180000000000007</v>
      </c>
      <c r="G1512">
        <v>12.25</v>
      </c>
      <c r="H1512">
        <v>1.64</v>
      </c>
    </row>
    <row r="1513" spans="1:8" x14ac:dyDescent="0.25">
      <c r="A1513">
        <v>1498</v>
      </c>
      <c r="B1513">
        <v>0</v>
      </c>
      <c r="C1513">
        <v>20</v>
      </c>
      <c r="D1513">
        <v>20</v>
      </c>
      <c r="E1513">
        <v>10</v>
      </c>
      <c r="F1513">
        <v>77.66</v>
      </c>
      <c r="G1513">
        <v>11.4</v>
      </c>
      <c r="H1513">
        <v>9.0500000000000007</v>
      </c>
    </row>
    <row r="1514" spans="1:8" x14ac:dyDescent="0.25">
      <c r="A1514">
        <v>1499</v>
      </c>
      <c r="B1514">
        <v>0</v>
      </c>
      <c r="C1514">
        <v>20</v>
      </c>
      <c r="D1514">
        <v>40</v>
      </c>
      <c r="E1514">
        <v>10</v>
      </c>
      <c r="F1514">
        <v>76.63</v>
      </c>
      <c r="G1514">
        <v>10.17</v>
      </c>
      <c r="H1514">
        <v>24.38</v>
      </c>
    </row>
    <row r="1515" spans="1:8" x14ac:dyDescent="0.25">
      <c r="A1515">
        <v>1500</v>
      </c>
      <c r="B1515">
        <v>0</v>
      </c>
      <c r="C1515">
        <v>20</v>
      </c>
      <c r="D1515">
        <v>70</v>
      </c>
      <c r="E1515">
        <v>10</v>
      </c>
      <c r="F1515">
        <v>75.2</v>
      </c>
      <c r="G1515">
        <v>8.7799999999999994</v>
      </c>
      <c r="H1515">
        <v>50.05</v>
      </c>
    </row>
    <row r="1516" spans="1:8" x14ac:dyDescent="0.25">
      <c r="A1516">
        <v>1501</v>
      </c>
      <c r="B1516">
        <v>0</v>
      </c>
      <c r="C1516">
        <v>40</v>
      </c>
      <c r="D1516">
        <v>0</v>
      </c>
      <c r="E1516">
        <v>10</v>
      </c>
      <c r="F1516">
        <v>69.53</v>
      </c>
      <c r="G1516">
        <v>26.03</v>
      </c>
      <c r="H1516">
        <v>-6.77</v>
      </c>
    </row>
    <row r="1517" spans="1:8" x14ac:dyDescent="0.25">
      <c r="A1517">
        <v>1502</v>
      </c>
      <c r="B1517">
        <v>0</v>
      </c>
      <c r="C1517">
        <v>40</v>
      </c>
      <c r="D1517">
        <v>10</v>
      </c>
      <c r="E1517">
        <v>10</v>
      </c>
      <c r="F1517">
        <v>69.2</v>
      </c>
      <c r="G1517">
        <v>25.25</v>
      </c>
      <c r="H1517">
        <v>-0.14000000000000001</v>
      </c>
    </row>
    <row r="1518" spans="1:8" x14ac:dyDescent="0.25">
      <c r="A1518">
        <v>1503</v>
      </c>
      <c r="B1518">
        <v>0</v>
      </c>
      <c r="C1518">
        <v>40</v>
      </c>
      <c r="D1518">
        <v>20</v>
      </c>
      <c r="E1518">
        <v>10</v>
      </c>
      <c r="F1518">
        <v>68.849999999999994</v>
      </c>
      <c r="G1518">
        <v>24.5</v>
      </c>
      <c r="H1518">
        <v>6.69</v>
      </c>
    </row>
    <row r="1519" spans="1:8" x14ac:dyDescent="0.25">
      <c r="A1519">
        <v>1504</v>
      </c>
      <c r="B1519">
        <v>0</v>
      </c>
      <c r="C1519">
        <v>40</v>
      </c>
      <c r="D1519">
        <v>40</v>
      </c>
      <c r="E1519">
        <v>10</v>
      </c>
      <c r="F1519">
        <v>68.180000000000007</v>
      </c>
      <c r="G1519">
        <v>23.14</v>
      </c>
      <c r="H1519">
        <v>20.37</v>
      </c>
    </row>
    <row r="1520" spans="1:8" x14ac:dyDescent="0.25">
      <c r="A1520">
        <v>1505</v>
      </c>
      <c r="B1520">
        <v>0</v>
      </c>
      <c r="C1520">
        <v>40</v>
      </c>
      <c r="D1520">
        <v>70</v>
      </c>
      <c r="E1520">
        <v>10</v>
      </c>
      <c r="F1520">
        <v>67.03</v>
      </c>
      <c r="G1520">
        <v>21.8</v>
      </c>
      <c r="H1520">
        <v>43.45</v>
      </c>
    </row>
    <row r="1521" spans="1:8" x14ac:dyDescent="0.25">
      <c r="A1521">
        <v>1506</v>
      </c>
      <c r="B1521">
        <v>0</v>
      </c>
      <c r="C1521">
        <v>70</v>
      </c>
      <c r="D1521">
        <v>0</v>
      </c>
      <c r="E1521">
        <v>10</v>
      </c>
      <c r="F1521">
        <v>55.55</v>
      </c>
      <c r="G1521">
        <v>48.65</v>
      </c>
      <c r="H1521">
        <v>-6.41</v>
      </c>
    </row>
    <row r="1522" spans="1:8" x14ac:dyDescent="0.25">
      <c r="A1522">
        <v>1507</v>
      </c>
      <c r="B1522">
        <v>0</v>
      </c>
      <c r="C1522">
        <v>70</v>
      </c>
      <c r="D1522">
        <v>10</v>
      </c>
      <c r="E1522">
        <v>10</v>
      </c>
      <c r="F1522">
        <v>55.51</v>
      </c>
      <c r="G1522">
        <v>47.86</v>
      </c>
      <c r="H1522">
        <v>-0.9</v>
      </c>
    </row>
    <row r="1523" spans="1:8" x14ac:dyDescent="0.25">
      <c r="A1523">
        <v>1508</v>
      </c>
      <c r="B1523">
        <v>0</v>
      </c>
      <c r="C1523">
        <v>70</v>
      </c>
      <c r="D1523">
        <v>20</v>
      </c>
      <c r="E1523">
        <v>10</v>
      </c>
      <c r="F1523">
        <v>55.45</v>
      </c>
      <c r="G1523">
        <v>46.97</v>
      </c>
      <c r="H1523">
        <v>4.8099999999999996</v>
      </c>
    </row>
    <row r="1524" spans="1:8" x14ac:dyDescent="0.25">
      <c r="A1524">
        <v>1509</v>
      </c>
      <c r="B1524">
        <v>0</v>
      </c>
      <c r="C1524">
        <v>70</v>
      </c>
      <c r="D1524">
        <v>40</v>
      </c>
      <c r="E1524">
        <v>10</v>
      </c>
      <c r="F1524">
        <v>55.24</v>
      </c>
      <c r="G1524">
        <v>45.52</v>
      </c>
      <c r="H1524">
        <v>16.23</v>
      </c>
    </row>
    <row r="1525" spans="1:8" x14ac:dyDescent="0.25">
      <c r="A1525">
        <v>1510</v>
      </c>
      <c r="B1525">
        <v>0</v>
      </c>
      <c r="C1525">
        <v>70</v>
      </c>
      <c r="D1525">
        <v>70</v>
      </c>
      <c r="E1525">
        <v>10</v>
      </c>
      <c r="F1525">
        <v>54.56</v>
      </c>
      <c r="G1525">
        <v>43.82</v>
      </c>
      <c r="H1525">
        <v>34.869999999999997</v>
      </c>
    </row>
    <row r="1526" spans="1:8" x14ac:dyDescent="0.25">
      <c r="A1526">
        <v>1511</v>
      </c>
      <c r="B1526">
        <v>10</v>
      </c>
      <c r="C1526">
        <v>0</v>
      </c>
      <c r="D1526">
        <v>0</v>
      </c>
      <c r="E1526">
        <v>10</v>
      </c>
      <c r="F1526">
        <v>84.17</v>
      </c>
      <c r="G1526">
        <v>-2.25</v>
      </c>
      <c r="H1526">
        <v>-8.25</v>
      </c>
    </row>
    <row r="1527" spans="1:8" x14ac:dyDescent="0.25">
      <c r="A1527">
        <v>1512</v>
      </c>
      <c r="B1527">
        <v>10</v>
      </c>
      <c r="C1527">
        <v>0</v>
      </c>
      <c r="D1527">
        <v>10</v>
      </c>
      <c r="E1527">
        <v>10</v>
      </c>
      <c r="F1527">
        <v>83.51</v>
      </c>
      <c r="G1527">
        <v>-3.44</v>
      </c>
      <c r="H1527">
        <v>-0.38</v>
      </c>
    </row>
    <row r="1528" spans="1:8" x14ac:dyDescent="0.25">
      <c r="A1528">
        <v>1513</v>
      </c>
      <c r="B1528">
        <v>10</v>
      </c>
      <c r="C1528">
        <v>0</v>
      </c>
      <c r="D1528">
        <v>20</v>
      </c>
      <c r="E1528">
        <v>10</v>
      </c>
      <c r="F1528">
        <v>82.88</v>
      </c>
      <c r="G1528">
        <v>-4.45</v>
      </c>
      <c r="H1528">
        <v>7.52</v>
      </c>
    </row>
    <row r="1529" spans="1:8" x14ac:dyDescent="0.25">
      <c r="A1529">
        <v>1514</v>
      </c>
      <c r="B1529">
        <v>10</v>
      </c>
      <c r="C1529">
        <v>0</v>
      </c>
      <c r="D1529">
        <v>40</v>
      </c>
      <c r="E1529">
        <v>10</v>
      </c>
      <c r="F1529">
        <v>81.67</v>
      </c>
      <c r="G1529">
        <v>-6.37</v>
      </c>
      <c r="H1529">
        <v>23.91</v>
      </c>
    </row>
    <row r="1530" spans="1:8" x14ac:dyDescent="0.25">
      <c r="A1530">
        <v>1515</v>
      </c>
      <c r="B1530">
        <v>10</v>
      </c>
      <c r="C1530">
        <v>0</v>
      </c>
      <c r="D1530">
        <v>70</v>
      </c>
      <c r="E1530">
        <v>10</v>
      </c>
      <c r="F1530">
        <v>80.02</v>
      </c>
      <c r="G1530">
        <v>-8.19</v>
      </c>
      <c r="H1530">
        <v>51.73</v>
      </c>
    </row>
    <row r="1531" spans="1:8" x14ac:dyDescent="0.25">
      <c r="A1531">
        <v>1516</v>
      </c>
      <c r="B1531">
        <v>10</v>
      </c>
      <c r="C1531">
        <v>10</v>
      </c>
      <c r="D1531">
        <v>0</v>
      </c>
      <c r="E1531">
        <v>10</v>
      </c>
      <c r="F1531">
        <v>79.73</v>
      </c>
      <c r="G1531">
        <v>3.71</v>
      </c>
      <c r="H1531">
        <v>-9.0299999999999994</v>
      </c>
    </row>
    <row r="1532" spans="1:8" x14ac:dyDescent="0.25">
      <c r="A1532">
        <v>1517</v>
      </c>
      <c r="B1532">
        <v>10</v>
      </c>
      <c r="C1532">
        <v>10</v>
      </c>
      <c r="D1532">
        <v>10</v>
      </c>
      <c r="E1532">
        <v>10</v>
      </c>
      <c r="F1532">
        <v>79.23</v>
      </c>
      <c r="G1532">
        <v>1.99</v>
      </c>
      <c r="H1532">
        <v>-1.65</v>
      </c>
    </row>
    <row r="1533" spans="1:8" x14ac:dyDescent="0.25">
      <c r="A1533">
        <v>1518</v>
      </c>
      <c r="B1533">
        <v>10</v>
      </c>
      <c r="C1533">
        <v>10</v>
      </c>
      <c r="D1533">
        <v>20</v>
      </c>
      <c r="E1533">
        <v>10</v>
      </c>
      <c r="F1533">
        <v>78.63</v>
      </c>
      <c r="G1533">
        <v>0.93</v>
      </c>
      <c r="H1533">
        <v>6.12</v>
      </c>
    </row>
    <row r="1534" spans="1:8" x14ac:dyDescent="0.25">
      <c r="A1534">
        <v>1519</v>
      </c>
      <c r="B1534">
        <v>10</v>
      </c>
      <c r="C1534">
        <v>10</v>
      </c>
      <c r="D1534">
        <v>40</v>
      </c>
      <c r="E1534">
        <v>10</v>
      </c>
      <c r="F1534">
        <v>77.48</v>
      </c>
      <c r="G1534">
        <v>-0.67</v>
      </c>
      <c r="H1534">
        <v>21.66</v>
      </c>
    </row>
    <row r="1535" spans="1:8" x14ac:dyDescent="0.25">
      <c r="A1535">
        <v>1520</v>
      </c>
      <c r="B1535">
        <v>10</v>
      </c>
      <c r="C1535">
        <v>10</v>
      </c>
      <c r="D1535">
        <v>70</v>
      </c>
      <c r="E1535">
        <v>10</v>
      </c>
      <c r="F1535">
        <v>75.91</v>
      </c>
      <c r="G1535">
        <v>-2.3199999999999998</v>
      </c>
      <c r="H1535">
        <v>48.37</v>
      </c>
    </row>
    <row r="1536" spans="1:8" x14ac:dyDescent="0.25">
      <c r="A1536">
        <v>1521</v>
      </c>
      <c r="B1536">
        <v>10</v>
      </c>
      <c r="C1536">
        <v>20</v>
      </c>
      <c r="D1536">
        <v>0</v>
      </c>
      <c r="E1536">
        <v>10</v>
      </c>
      <c r="F1536">
        <v>75.42</v>
      </c>
      <c r="G1536">
        <v>9.59</v>
      </c>
      <c r="H1536">
        <v>-9.75</v>
      </c>
    </row>
    <row r="1537" spans="1:8" x14ac:dyDescent="0.25">
      <c r="A1537">
        <v>1522</v>
      </c>
      <c r="B1537">
        <v>10</v>
      </c>
      <c r="C1537">
        <v>20</v>
      </c>
      <c r="D1537">
        <v>10</v>
      </c>
      <c r="E1537">
        <v>10</v>
      </c>
      <c r="F1537">
        <v>74.81</v>
      </c>
      <c r="G1537">
        <v>8.14</v>
      </c>
      <c r="H1537">
        <v>-2.74</v>
      </c>
    </row>
    <row r="1538" spans="1:8" x14ac:dyDescent="0.25">
      <c r="A1538">
        <v>1523</v>
      </c>
      <c r="B1538">
        <v>10</v>
      </c>
      <c r="C1538">
        <v>20</v>
      </c>
      <c r="D1538">
        <v>20</v>
      </c>
      <c r="E1538">
        <v>10</v>
      </c>
      <c r="F1538">
        <v>74.31</v>
      </c>
      <c r="G1538">
        <v>7.09</v>
      </c>
      <c r="H1538">
        <v>4.6399999999999997</v>
      </c>
    </row>
    <row r="1539" spans="1:8" x14ac:dyDescent="0.25">
      <c r="A1539">
        <v>1524</v>
      </c>
      <c r="B1539">
        <v>10</v>
      </c>
      <c r="C1539">
        <v>20</v>
      </c>
      <c r="D1539">
        <v>40</v>
      </c>
      <c r="E1539">
        <v>10</v>
      </c>
      <c r="F1539">
        <v>73.260000000000005</v>
      </c>
      <c r="G1539">
        <v>5.55</v>
      </c>
      <c r="H1539">
        <v>19.48</v>
      </c>
    </row>
    <row r="1540" spans="1:8" x14ac:dyDescent="0.25">
      <c r="A1540">
        <v>1525</v>
      </c>
      <c r="B1540">
        <v>10</v>
      </c>
      <c r="C1540">
        <v>20</v>
      </c>
      <c r="D1540">
        <v>70</v>
      </c>
      <c r="E1540">
        <v>10</v>
      </c>
      <c r="F1540">
        <v>71.88</v>
      </c>
      <c r="G1540">
        <v>3.85</v>
      </c>
      <c r="H1540">
        <v>44.89</v>
      </c>
    </row>
    <row r="1541" spans="1:8" x14ac:dyDescent="0.25">
      <c r="A1541">
        <v>1526</v>
      </c>
      <c r="B1541">
        <v>10</v>
      </c>
      <c r="C1541">
        <v>40</v>
      </c>
      <c r="D1541">
        <v>0</v>
      </c>
      <c r="E1541">
        <v>10</v>
      </c>
      <c r="F1541">
        <v>66.59</v>
      </c>
      <c r="G1541">
        <v>22.16</v>
      </c>
      <c r="H1541">
        <v>-10.86</v>
      </c>
    </row>
    <row r="1542" spans="1:8" x14ac:dyDescent="0.25">
      <c r="A1542">
        <v>1527</v>
      </c>
      <c r="B1542">
        <v>10</v>
      </c>
      <c r="C1542">
        <v>40</v>
      </c>
      <c r="D1542">
        <v>10</v>
      </c>
      <c r="E1542">
        <v>10</v>
      </c>
      <c r="F1542">
        <v>65.94</v>
      </c>
      <c r="G1542">
        <v>21.23</v>
      </c>
      <c r="H1542">
        <v>-4.4400000000000004</v>
      </c>
    </row>
    <row r="1543" spans="1:8" x14ac:dyDescent="0.25">
      <c r="A1543">
        <v>1528</v>
      </c>
      <c r="B1543">
        <v>10</v>
      </c>
      <c r="C1543">
        <v>40</v>
      </c>
      <c r="D1543">
        <v>20</v>
      </c>
      <c r="E1543">
        <v>10</v>
      </c>
      <c r="F1543">
        <v>65.569999999999993</v>
      </c>
      <c r="G1543">
        <v>20.27</v>
      </c>
      <c r="H1543">
        <v>2.27</v>
      </c>
    </row>
    <row r="1544" spans="1:8" x14ac:dyDescent="0.25">
      <c r="A1544">
        <v>1529</v>
      </c>
      <c r="B1544">
        <v>10</v>
      </c>
      <c r="C1544">
        <v>40</v>
      </c>
      <c r="D1544">
        <v>40</v>
      </c>
      <c r="E1544">
        <v>10</v>
      </c>
      <c r="F1544">
        <v>64.83</v>
      </c>
      <c r="G1544">
        <v>18.600000000000001</v>
      </c>
      <c r="H1544">
        <v>15.49</v>
      </c>
    </row>
    <row r="1545" spans="1:8" x14ac:dyDescent="0.25">
      <c r="A1545">
        <v>1530</v>
      </c>
      <c r="B1545">
        <v>10</v>
      </c>
      <c r="C1545">
        <v>40</v>
      </c>
      <c r="D1545">
        <v>70</v>
      </c>
      <c r="E1545">
        <v>10</v>
      </c>
      <c r="F1545">
        <v>63.77</v>
      </c>
      <c r="G1545">
        <v>16.86</v>
      </c>
      <c r="H1545">
        <v>38.299999999999997</v>
      </c>
    </row>
    <row r="1546" spans="1:8" x14ac:dyDescent="0.25">
      <c r="A1546">
        <v>1531</v>
      </c>
      <c r="B1546">
        <v>10</v>
      </c>
      <c r="C1546">
        <v>70</v>
      </c>
      <c r="D1546">
        <v>0</v>
      </c>
      <c r="E1546">
        <v>10</v>
      </c>
      <c r="F1546">
        <v>53.15</v>
      </c>
      <c r="G1546">
        <v>44.14</v>
      </c>
      <c r="H1546">
        <v>-10.38</v>
      </c>
    </row>
    <row r="1547" spans="1:8" x14ac:dyDescent="0.25">
      <c r="A1547">
        <v>1532</v>
      </c>
      <c r="B1547">
        <v>10</v>
      </c>
      <c r="C1547">
        <v>70</v>
      </c>
      <c r="D1547">
        <v>10</v>
      </c>
      <c r="E1547">
        <v>10</v>
      </c>
      <c r="F1547">
        <v>52.73</v>
      </c>
      <c r="G1547">
        <v>43.44</v>
      </c>
      <c r="H1547">
        <v>-5.03</v>
      </c>
    </row>
    <row r="1548" spans="1:8" x14ac:dyDescent="0.25">
      <c r="A1548">
        <v>1533</v>
      </c>
      <c r="B1548">
        <v>10</v>
      </c>
      <c r="C1548">
        <v>70</v>
      </c>
      <c r="D1548">
        <v>20</v>
      </c>
      <c r="E1548">
        <v>10</v>
      </c>
      <c r="F1548">
        <v>52.6</v>
      </c>
      <c r="G1548">
        <v>42.44</v>
      </c>
      <c r="H1548">
        <v>0.48</v>
      </c>
    </row>
    <row r="1549" spans="1:8" x14ac:dyDescent="0.25">
      <c r="A1549">
        <v>1534</v>
      </c>
      <c r="B1549">
        <v>10</v>
      </c>
      <c r="C1549">
        <v>70</v>
      </c>
      <c r="D1549">
        <v>40</v>
      </c>
      <c r="E1549">
        <v>10</v>
      </c>
      <c r="F1549">
        <v>52.29</v>
      </c>
      <c r="G1549">
        <v>40.770000000000003</v>
      </c>
      <c r="H1549">
        <v>11.48</v>
      </c>
    </row>
    <row r="1550" spans="1:8" x14ac:dyDescent="0.25">
      <c r="A1550">
        <v>1535</v>
      </c>
      <c r="B1550">
        <v>10</v>
      </c>
      <c r="C1550">
        <v>70</v>
      </c>
      <c r="D1550">
        <v>70</v>
      </c>
      <c r="E1550">
        <v>10</v>
      </c>
      <c r="F1550">
        <v>51.58</v>
      </c>
      <c r="G1550">
        <v>38.840000000000003</v>
      </c>
      <c r="H1550">
        <v>29.86</v>
      </c>
    </row>
    <row r="1551" spans="1:8" x14ac:dyDescent="0.25">
      <c r="A1551">
        <v>1536</v>
      </c>
      <c r="B1551">
        <v>20</v>
      </c>
      <c r="C1551">
        <v>0</v>
      </c>
      <c r="D1551">
        <v>0</v>
      </c>
      <c r="E1551">
        <v>10</v>
      </c>
      <c r="F1551">
        <v>80.540000000000006</v>
      </c>
      <c r="G1551">
        <v>-5.37</v>
      </c>
      <c r="H1551">
        <v>-12.64</v>
      </c>
    </row>
    <row r="1552" spans="1:8" x14ac:dyDescent="0.25">
      <c r="A1552">
        <v>1537</v>
      </c>
      <c r="B1552">
        <v>20</v>
      </c>
      <c r="C1552">
        <v>0</v>
      </c>
      <c r="D1552">
        <v>10</v>
      </c>
      <c r="E1552">
        <v>10</v>
      </c>
      <c r="F1552">
        <v>79.900000000000006</v>
      </c>
      <c r="G1552">
        <v>-6.83</v>
      </c>
      <c r="H1552">
        <v>-4.8600000000000003</v>
      </c>
    </row>
    <row r="1553" spans="1:8" x14ac:dyDescent="0.25">
      <c r="A1553">
        <v>1538</v>
      </c>
      <c r="B1553">
        <v>20</v>
      </c>
      <c r="C1553">
        <v>0</v>
      </c>
      <c r="D1553">
        <v>20</v>
      </c>
      <c r="E1553">
        <v>10</v>
      </c>
      <c r="F1553">
        <v>79.319999999999993</v>
      </c>
      <c r="G1553">
        <v>-8.02</v>
      </c>
      <c r="H1553">
        <v>2.9</v>
      </c>
    </row>
    <row r="1554" spans="1:8" x14ac:dyDescent="0.25">
      <c r="A1554">
        <v>1539</v>
      </c>
      <c r="B1554">
        <v>20</v>
      </c>
      <c r="C1554">
        <v>0</v>
      </c>
      <c r="D1554">
        <v>40</v>
      </c>
      <c r="E1554">
        <v>10</v>
      </c>
      <c r="F1554">
        <v>78.16</v>
      </c>
      <c r="G1554">
        <v>-10.37</v>
      </c>
      <c r="H1554">
        <v>19.05</v>
      </c>
    </row>
    <row r="1555" spans="1:8" x14ac:dyDescent="0.25">
      <c r="A1555">
        <v>1540</v>
      </c>
      <c r="B1555">
        <v>20</v>
      </c>
      <c r="C1555">
        <v>0</v>
      </c>
      <c r="D1555">
        <v>70</v>
      </c>
      <c r="E1555">
        <v>10</v>
      </c>
      <c r="F1555">
        <v>76.58</v>
      </c>
      <c r="G1555">
        <v>-12.65</v>
      </c>
      <c r="H1555">
        <v>46.23</v>
      </c>
    </row>
    <row r="1556" spans="1:8" x14ac:dyDescent="0.25">
      <c r="A1556">
        <v>1541</v>
      </c>
      <c r="B1556">
        <v>20</v>
      </c>
      <c r="C1556">
        <v>10</v>
      </c>
      <c r="D1556">
        <v>0</v>
      </c>
      <c r="E1556">
        <v>10</v>
      </c>
      <c r="F1556">
        <v>76.28</v>
      </c>
      <c r="G1556">
        <v>0.39</v>
      </c>
      <c r="H1556">
        <v>-13.31</v>
      </c>
    </row>
    <row r="1557" spans="1:8" x14ac:dyDescent="0.25">
      <c r="A1557">
        <v>1542</v>
      </c>
      <c r="B1557">
        <v>20</v>
      </c>
      <c r="C1557">
        <v>10</v>
      </c>
      <c r="D1557">
        <v>10</v>
      </c>
      <c r="E1557">
        <v>10</v>
      </c>
      <c r="F1557">
        <v>75.66</v>
      </c>
      <c r="G1557">
        <v>-1.69</v>
      </c>
      <c r="H1557">
        <v>-6.23</v>
      </c>
    </row>
    <row r="1558" spans="1:8" x14ac:dyDescent="0.25">
      <c r="A1558">
        <v>1543</v>
      </c>
      <c r="B1558">
        <v>20</v>
      </c>
      <c r="C1558">
        <v>10</v>
      </c>
      <c r="D1558">
        <v>20</v>
      </c>
      <c r="E1558">
        <v>10</v>
      </c>
      <c r="F1558">
        <v>75.09</v>
      </c>
      <c r="G1558">
        <v>-2.93</v>
      </c>
      <c r="H1558">
        <v>1.44</v>
      </c>
    </row>
    <row r="1559" spans="1:8" x14ac:dyDescent="0.25">
      <c r="A1559">
        <v>1544</v>
      </c>
      <c r="B1559">
        <v>20</v>
      </c>
      <c r="C1559">
        <v>10</v>
      </c>
      <c r="D1559">
        <v>40</v>
      </c>
      <c r="E1559">
        <v>10</v>
      </c>
      <c r="F1559">
        <v>73.989999999999995</v>
      </c>
      <c r="G1559">
        <v>-4.9000000000000004</v>
      </c>
      <c r="H1559">
        <v>16.71</v>
      </c>
    </row>
    <row r="1560" spans="1:8" x14ac:dyDescent="0.25">
      <c r="A1560">
        <v>1545</v>
      </c>
      <c r="B1560">
        <v>20</v>
      </c>
      <c r="C1560">
        <v>10</v>
      </c>
      <c r="D1560">
        <v>70</v>
      </c>
      <c r="E1560">
        <v>10</v>
      </c>
      <c r="F1560">
        <v>72.510000000000005</v>
      </c>
      <c r="G1560">
        <v>-6.93</v>
      </c>
      <c r="H1560">
        <v>42.89</v>
      </c>
    </row>
    <row r="1561" spans="1:8" x14ac:dyDescent="0.25">
      <c r="A1561">
        <v>1546</v>
      </c>
      <c r="B1561">
        <v>20</v>
      </c>
      <c r="C1561">
        <v>20</v>
      </c>
      <c r="D1561">
        <v>0</v>
      </c>
      <c r="E1561">
        <v>10</v>
      </c>
      <c r="F1561">
        <v>72.16</v>
      </c>
      <c r="G1561">
        <v>6.13</v>
      </c>
      <c r="H1561">
        <v>-13.92</v>
      </c>
    </row>
    <row r="1562" spans="1:8" x14ac:dyDescent="0.25">
      <c r="A1562">
        <v>1547</v>
      </c>
      <c r="B1562">
        <v>20</v>
      </c>
      <c r="C1562">
        <v>20</v>
      </c>
      <c r="D1562">
        <v>10</v>
      </c>
      <c r="E1562">
        <v>10</v>
      </c>
      <c r="F1562">
        <v>71.42</v>
      </c>
      <c r="G1562">
        <v>4.33</v>
      </c>
      <c r="H1562">
        <v>-7.21</v>
      </c>
    </row>
    <row r="1563" spans="1:8" x14ac:dyDescent="0.25">
      <c r="A1563">
        <v>1548</v>
      </c>
      <c r="B1563">
        <v>20</v>
      </c>
      <c r="C1563">
        <v>20</v>
      </c>
      <c r="D1563">
        <v>20</v>
      </c>
      <c r="E1563">
        <v>10</v>
      </c>
      <c r="F1563">
        <v>70.930000000000007</v>
      </c>
      <c r="G1563">
        <v>3.09</v>
      </c>
      <c r="H1563">
        <v>0.02</v>
      </c>
    </row>
    <row r="1564" spans="1:8" x14ac:dyDescent="0.25">
      <c r="A1564">
        <v>1549</v>
      </c>
      <c r="B1564">
        <v>20</v>
      </c>
      <c r="C1564">
        <v>20</v>
      </c>
      <c r="D1564">
        <v>40</v>
      </c>
      <c r="E1564">
        <v>10</v>
      </c>
      <c r="F1564">
        <v>69.86</v>
      </c>
      <c r="G1564">
        <v>1.02</v>
      </c>
      <c r="H1564">
        <v>14.55</v>
      </c>
    </row>
    <row r="1565" spans="1:8" x14ac:dyDescent="0.25">
      <c r="A1565">
        <v>1550</v>
      </c>
      <c r="B1565">
        <v>20</v>
      </c>
      <c r="C1565">
        <v>20</v>
      </c>
      <c r="D1565">
        <v>70</v>
      </c>
      <c r="E1565">
        <v>10</v>
      </c>
      <c r="F1565">
        <v>68.5</v>
      </c>
      <c r="G1565">
        <v>-1.07</v>
      </c>
      <c r="H1565">
        <v>39.549999999999997</v>
      </c>
    </row>
    <row r="1566" spans="1:8" x14ac:dyDescent="0.25">
      <c r="A1566">
        <v>1551</v>
      </c>
      <c r="B1566">
        <v>20</v>
      </c>
      <c r="C1566">
        <v>40</v>
      </c>
      <c r="D1566">
        <v>0</v>
      </c>
      <c r="E1566">
        <v>10</v>
      </c>
      <c r="F1566">
        <v>63.67</v>
      </c>
      <c r="G1566">
        <v>18.34</v>
      </c>
      <c r="H1566">
        <v>-14.84</v>
      </c>
    </row>
    <row r="1567" spans="1:8" x14ac:dyDescent="0.25">
      <c r="A1567">
        <v>1552</v>
      </c>
      <c r="B1567">
        <v>20</v>
      </c>
      <c r="C1567">
        <v>40</v>
      </c>
      <c r="D1567">
        <v>10</v>
      </c>
      <c r="E1567">
        <v>10</v>
      </c>
      <c r="F1567">
        <v>62.92</v>
      </c>
      <c r="G1567">
        <v>17.100000000000001</v>
      </c>
      <c r="H1567">
        <v>-8.68</v>
      </c>
    </row>
    <row r="1568" spans="1:8" x14ac:dyDescent="0.25">
      <c r="A1568">
        <v>1553</v>
      </c>
      <c r="B1568">
        <v>20</v>
      </c>
      <c r="C1568">
        <v>40</v>
      </c>
      <c r="D1568">
        <v>20</v>
      </c>
      <c r="E1568">
        <v>10</v>
      </c>
      <c r="F1568">
        <v>62.39</v>
      </c>
      <c r="G1568">
        <v>15.92</v>
      </c>
      <c r="H1568">
        <v>-2.2200000000000002</v>
      </c>
    </row>
    <row r="1569" spans="1:8" x14ac:dyDescent="0.25">
      <c r="A1569">
        <v>1554</v>
      </c>
      <c r="B1569">
        <v>20</v>
      </c>
      <c r="C1569">
        <v>40</v>
      </c>
      <c r="D1569">
        <v>40</v>
      </c>
      <c r="E1569">
        <v>10</v>
      </c>
      <c r="F1569">
        <v>61.62</v>
      </c>
      <c r="G1569">
        <v>13.94</v>
      </c>
      <c r="H1569">
        <v>10.66</v>
      </c>
    </row>
    <row r="1570" spans="1:8" x14ac:dyDescent="0.25">
      <c r="A1570">
        <v>1555</v>
      </c>
      <c r="B1570">
        <v>20</v>
      </c>
      <c r="C1570">
        <v>40</v>
      </c>
      <c r="D1570">
        <v>70</v>
      </c>
      <c r="E1570">
        <v>10</v>
      </c>
      <c r="F1570">
        <v>60.53</v>
      </c>
      <c r="G1570">
        <v>11.84</v>
      </c>
      <c r="H1570">
        <v>33.07</v>
      </c>
    </row>
    <row r="1571" spans="1:8" x14ac:dyDescent="0.25">
      <c r="A1571">
        <v>1556</v>
      </c>
      <c r="B1571">
        <v>20</v>
      </c>
      <c r="C1571">
        <v>70</v>
      </c>
      <c r="D1571">
        <v>0</v>
      </c>
      <c r="E1571">
        <v>10</v>
      </c>
      <c r="F1571">
        <v>50.75</v>
      </c>
      <c r="G1571">
        <v>39.56</v>
      </c>
      <c r="H1571">
        <v>-14.34</v>
      </c>
    </row>
    <row r="1572" spans="1:8" x14ac:dyDescent="0.25">
      <c r="A1572">
        <v>1557</v>
      </c>
      <c r="B1572">
        <v>20</v>
      </c>
      <c r="C1572">
        <v>70</v>
      </c>
      <c r="D1572">
        <v>10</v>
      </c>
      <c r="E1572">
        <v>10</v>
      </c>
      <c r="F1572">
        <v>50.24</v>
      </c>
      <c r="G1572">
        <v>38.700000000000003</v>
      </c>
      <c r="H1572">
        <v>-9.16</v>
      </c>
    </row>
    <row r="1573" spans="1:8" x14ac:dyDescent="0.25">
      <c r="A1573">
        <v>1558</v>
      </c>
      <c r="B1573">
        <v>20</v>
      </c>
      <c r="C1573">
        <v>70</v>
      </c>
      <c r="D1573">
        <v>20</v>
      </c>
      <c r="E1573">
        <v>10</v>
      </c>
      <c r="F1573">
        <v>49.82</v>
      </c>
      <c r="G1573">
        <v>37.72</v>
      </c>
      <c r="H1573">
        <v>-3.9</v>
      </c>
    </row>
    <row r="1574" spans="1:8" x14ac:dyDescent="0.25">
      <c r="A1574">
        <v>1559</v>
      </c>
      <c r="B1574">
        <v>20</v>
      </c>
      <c r="C1574">
        <v>70</v>
      </c>
      <c r="D1574">
        <v>40</v>
      </c>
      <c r="E1574">
        <v>10</v>
      </c>
      <c r="F1574">
        <v>49.42</v>
      </c>
      <c r="G1574">
        <v>35.840000000000003</v>
      </c>
      <c r="H1574">
        <v>6.73</v>
      </c>
    </row>
    <row r="1575" spans="1:8" x14ac:dyDescent="0.25">
      <c r="A1575">
        <v>1560</v>
      </c>
      <c r="B1575">
        <v>20</v>
      </c>
      <c r="C1575">
        <v>70</v>
      </c>
      <c r="D1575">
        <v>70</v>
      </c>
      <c r="E1575">
        <v>10</v>
      </c>
      <c r="F1575">
        <v>48.66</v>
      </c>
      <c r="G1575">
        <v>33.659999999999997</v>
      </c>
      <c r="H1575">
        <v>24.78</v>
      </c>
    </row>
    <row r="1576" spans="1:8" x14ac:dyDescent="0.25">
      <c r="A1576">
        <v>1561</v>
      </c>
      <c r="B1576">
        <v>40</v>
      </c>
      <c r="C1576">
        <v>0</v>
      </c>
      <c r="D1576">
        <v>0</v>
      </c>
      <c r="E1576">
        <v>10</v>
      </c>
      <c r="F1576">
        <v>73.239999999999995</v>
      </c>
      <c r="G1576">
        <v>-12.02</v>
      </c>
      <c r="H1576">
        <v>-21.5</v>
      </c>
    </row>
    <row r="1577" spans="1:8" x14ac:dyDescent="0.25">
      <c r="A1577">
        <v>1562</v>
      </c>
      <c r="B1577">
        <v>40</v>
      </c>
      <c r="C1577">
        <v>0</v>
      </c>
      <c r="D1577">
        <v>10</v>
      </c>
      <c r="E1577">
        <v>10</v>
      </c>
      <c r="F1577">
        <v>72.7</v>
      </c>
      <c r="G1577">
        <v>-13.89</v>
      </c>
      <c r="H1577">
        <v>-13.84</v>
      </c>
    </row>
    <row r="1578" spans="1:8" x14ac:dyDescent="0.25">
      <c r="A1578">
        <v>1563</v>
      </c>
      <c r="B1578">
        <v>40</v>
      </c>
      <c r="C1578">
        <v>0</v>
      </c>
      <c r="D1578">
        <v>20</v>
      </c>
      <c r="E1578">
        <v>10</v>
      </c>
      <c r="F1578">
        <v>72.180000000000007</v>
      </c>
      <c r="G1578">
        <v>-15.66</v>
      </c>
      <c r="H1578">
        <v>-6.16</v>
      </c>
    </row>
    <row r="1579" spans="1:8" x14ac:dyDescent="0.25">
      <c r="A1579">
        <v>1564</v>
      </c>
      <c r="B1579">
        <v>40</v>
      </c>
      <c r="C1579">
        <v>0</v>
      </c>
      <c r="D1579">
        <v>40</v>
      </c>
      <c r="E1579">
        <v>10</v>
      </c>
      <c r="F1579">
        <v>71.180000000000007</v>
      </c>
      <c r="G1579">
        <v>-18.84</v>
      </c>
      <c r="H1579">
        <v>9.43</v>
      </c>
    </row>
    <row r="1580" spans="1:8" x14ac:dyDescent="0.25">
      <c r="A1580">
        <v>1565</v>
      </c>
      <c r="B1580">
        <v>40</v>
      </c>
      <c r="C1580">
        <v>0</v>
      </c>
      <c r="D1580">
        <v>70</v>
      </c>
      <c r="E1580">
        <v>10</v>
      </c>
      <c r="F1580">
        <v>69.67</v>
      </c>
      <c r="G1580">
        <v>-22.16</v>
      </c>
      <c r="H1580">
        <v>35.380000000000003</v>
      </c>
    </row>
    <row r="1581" spans="1:8" x14ac:dyDescent="0.25">
      <c r="A1581">
        <v>1566</v>
      </c>
      <c r="B1581">
        <v>40</v>
      </c>
      <c r="C1581">
        <v>10</v>
      </c>
      <c r="D1581">
        <v>0</v>
      </c>
      <c r="E1581">
        <v>10</v>
      </c>
      <c r="F1581">
        <v>69.33</v>
      </c>
      <c r="G1581">
        <v>-6.47</v>
      </c>
      <c r="H1581">
        <v>-21.9</v>
      </c>
    </row>
    <row r="1582" spans="1:8" x14ac:dyDescent="0.25">
      <c r="A1582">
        <v>1567</v>
      </c>
      <c r="B1582">
        <v>40</v>
      </c>
      <c r="C1582">
        <v>10</v>
      </c>
      <c r="D1582">
        <v>10</v>
      </c>
      <c r="E1582">
        <v>10</v>
      </c>
      <c r="F1582">
        <v>68.900000000000006</v>
      </c>
      <c r="G1582">
        <v>-8.66</v>
      </c>
      <c r="H1582">
        <v>-14.65</v>
      </c>
    </row>
    <row r="1583" spans="1:8" x14ac:dyDescent="0.25">
      <c r="A1583">
        <v>1568</v>
      </c>
      <c r="B1583">
        <v>40</v>
      </c>
      <c r="C1583">
        <v>10</v>
      </c>
      <c r="D1583">
        <v>20</v>
      </c>
      <c r="E1583">
        <v>10</v>
      </c>
      <c r="F1583">
        <v>68.400000000000006</v>
      </c>
      <c r="G1583">
        <v>-10.37</v>
      </c>
      <c r="H1583">
        <v>-7.2</v>
      </c>
    </row>
    <row r="1584" spans="1:8" x14ac:dyDescent="0.25">
      <c r="A1584">
        <v>1569</v>
      </c>
      <c r="B1584">
        <v>40</v>
      </c>
      <c r="C1584">
        <v>10</v>
      </c>
      <c r="D1584">
        <v>40</v>
      </c>
      <c r="E1584">
        <v>10</v>
      </c>
      <c r="F1584">
        <v>67.42</v>
      </c>
      <c r="G1584">
        <v>-13.36</v>
      </c>
      <c r="H1584">
        <v>7.57</v>
      </c>
    </row>
    <row r="1585" spans="1:8" x14ac:dyDescent="0.25">
      <c r="A1585">
        <v>1570</v>
      </c>
      <c r="B1585">
        <v>40</v>
      </c>
      <c r="C1585">
        <v>10</v>
      </c>
      <c r="D1585">
        <v>70</v>
      </c>
      <c r="E1585">
        <v>10</v>
      </c>
      <c r="F1585">
        <v>65.95</v>
      </c>
      <c r="G1585">
        <v>-16.420000000000002</v>
      </c>
      <c r="H1585">
        <v>32.47</v>
      </c>
    </row>
    <row r="1586" spans="1:8" x14ac:dyDescent="0.25">
      <c r="A1586">
        <v>1571</v>
      </c>
      <c r="B1586">
        <v>40</v>
      </c>
      <c r="C1586">
        <v>20</v>
      </c>
      <c r="D1586">
        <v>0</v>
      </c>
      <c r="E1586">
        <v>10</v>
      </c>
      <c r="F1586">
        <v>65.52</v>
      </c>
      <c r="G1586">
        <v>-1.02</v>
      </c>
      <c r="H1586">
        <v>-22.27</v>
      </c>
    </row>
    <row r="1587" spans="1:8" x14ac:dyDescent="0.25">
      <c r="A1587">
        <v>1572</v>
      </c>
      <c r="B1587">
        <v>40</v>
      </c>
      <c r="C1587">
        <v>20</v>
      </c>
      <c r="D1587">
        <v>10</v>
      </c>
      <c r="E1587">
        <v>10</v>
      </c>
      <c r="F1587">
        <v>65.040000000000006</v>
      </c>
      <c r="G1587">
        <v>-2.99</v>
      </c>
      <c r="H1587">
        <v>-15.38</v>
      </c>
    </row>
    <row r="1588" spans="1:8" x14ac:dyDescent="0.25">
      <c r="A1588">
        <v>1573</v>
      </c>
      <c r="B1588">
        <v>40</v>
      </c>
      <c r="C1588">
        <v>20</v>
      </c>
      <c r="D1588">
        <v>20</v>
      </c>
      <c r="E1588">
        <v>10</v>
      </c>
      <c r="F1588">
        <v>64.58</v>
      </c>
      <c r="G1588">
        <v>-4.74</v>
      </c>
      <c r="H1588">
        <v>-8.39</v>
      </c>
    </row>
    <row r="1589" spans="1:8" x14ac:dyDescent="0.25">
      <c r="A1589">
        <v>1574</v>
      </c>
      <c r="B1589">
        <v>40</v>
      </c>
      <c r="C1589">
        <v>20</v>
      </c>
      <c r="D1589">
        <v>40</v>
      </c>
      <c r="E1589">
        <v>10</v>
      </c>
      <c r="F1589">
        <v>63.63</v>
      </c>
      <c r="G1589">
        <v>-7.61</v>
      </c>
      <c r="H1589">
        <v>5.76</v>
      </c>
    </row>
    <row r="1590" spans="1:8" x14ac:dyDescent="0.25">
      <c r="A1590">
        <v>1575</v>
      </c>
      <c r="B1590">
        <v>40</v>
      </c>
      <c r="C1590">
        <v>20</v>
      </c>
      <c r="D1590">
        <v>70</v>
      </c>
      <c r="E1590">
        <v>10</v>
      </c>
      <c r="F1590">
        <v>62.24</v>
      </c>
      <c r="G1590">
        <v>-10.62</v>
      </c>
      <c r="H1590">
        <v>29.48</v>
      </c>
    </row>
    <row r="1591" spans="1:8" x14ac:dyDescent="0.25">
      <c r="A1591">
        <v>1576</v>
      </c>
      <c r="B1591">
        <v>40</v>
      </c>
      <c r="C1591">
        <v>40</v>
      </c>
      <c r="D1591">
        <v>0</v>
      </c>
      <c r="E1591">
        <v>10</v>
      </c>
      <c r="F1591">
        <v>57.89</v>
      </c>
      <c r="G1591">
        <v>10.46</v>
      </c>
      <c r="H1591">
        <v>-22.64</v>
      </c>
    </row>
    <row r="1592" spans="1:8" x14ac:dyDescent="0.25">
      <c r="A1592">
        <v>1577</v>
      </c>
      <c r="B1592">
        <v>40</v>
      </c>
      <c r="C1592">
        <v>40</v>
      </c>
      <c r="D1592">
        <v>10</v>
      </c>
      <c r="E1592">
        <v>10</v>
      </c>
      <c r="F1592">
        <v>57.23</v>
      </c>
      <c r="G1592">
        <v>9.0299999999999994</v>
      </c>
      <c r="H1592">
        <v>-16.52</v>
      </c>
    </row>
    <row r="1593" spans="1:8" x14ac:dyDescent="0.25">
      <c r="A1593">
        <v>1578</v>
      </c>
      <c r="B1593">
        <v>40</v>
      </c>
      <c r="C1593">
        <v>40</v>
      </c>
      <c r="D1593">
        <v>20</v>
      </c>
      <c r="E1593">
        <v>10</v>
      </c>
      <c r="F1593">
        <v>56.68</v>
      </c>
      <c r="G1593">
        <v>7.64</v>
      </c>
      <c r="H1593">
        <v>-10.31</v>
      </c>
    </row>
    <row r="1594" spans="1:8" x14ac:dyDescent="0.25">
      <c r="A1594">
        <v>1579</v>
      </c>
      <c r="B1594">
        <v>40</v>
      </c>
      <c r="C1594">
        <v>40</v>
      </c>
      <c r="D1594">
        <v>40</v>
      </c>
      <c r="E1594">
        <v>10</v>
      </c>
      <c r="F1594">
        <v>55.97</v>
      </c>
      <c r="G1594">
        <v>4.8899999999999997</v>
      </c>
      <c r="H1594">
        <v>2.0499999999999998</v>
      </c>
    </row>
    <row r="1595" spans="1:8" x14ac:dyDescent="0.25">
      <c r="A1595">
        <v>1580</v>
      </c>
      <c r="B1595">
        <v>40</v>
      </c>
      <c r="C1595">
        <v>40</v>
      </c>
      <c r="D1595">
        <v>70</v>
      </c>
      <c r="E1595">
        <v>10</v>
      </c>
      <c r="F1595">
        <v>54.74</v>
      </c>
      <c r="G1595">
        <v>1.98</v>
      </c>
      <c r="H1595">
        <v>23.51</v>
      </c>
    </row>
    <row r="1596" spans="1:8" x14ac:dyDescent="0.25">
      <c r="A1596">
        <v>1581</v>
      </c>
      <c r="B1596">
        <v>40</v>
      </c>
      <c r="C1596">
        <v>70</v>
      </c>
      <c r="D1596">
        <v>0</v>
      </c>
      <c r="E1596">
        <v>10</v>
      </c>
      <c r="F1596">
        <v>45.95</v>
      </c>
      <c r="G1596">
        <v>30.44</v>
      </c>
      <c r="H1596">
        <v>-22.03</v>
      </c>
    </row>
    <row r="1597" spans="1:8" x14ac:dyDescent="0.25">
      <c r="A1597">
        <v>1582</v>
      </c>
      <c r="B1597">
        <v>40</v>
      </c>
      <c r="C1597">
        <v>70</v>
      </c>
      <c r="D1597">
        <v>10</v>
      </c>
      <c r="E1597">
        <v>10</v>
      </c>
      <c r="F1597">
        <v>45.44</v>
      </c>
      <c r="G1597">
        <v>29.41</v>
      </c>
      <c r="H1597">
        <v>-16.93</v>
      </c>
    </row>
    <row r="1598" spans="1:8" x14ac:dyDescent="0.25">
      <c r="A1598">
        <v>1583</v>
      </c>
      <c r="B1598">
        <v>40</v>
      </c>
      <c r="C1598">
        <v>70</v>
      </c>
      <c r="D1598">
        <v>20</v>
      </c>
      <c r="E1598">
        <v>10</v>
      </c>
      <c r="F1598">
        <v>45.01</v>
      </c>
      <c r="G1598">
        <v>28.28</v>
      </c>
      <c r="H1598">
        <v>-11.82</v>
      </c>
    </row>
    <row r="1599" spans="1:8" x14ac:dyDescent="0.25">
      <c r="A1599">
        <v>1584</v>
      </c>
      <c r="B1599">
        <v>40</v>
      </c>
      <c r="C1599">
        <v>70</v>
      </c>
      <c r="D1599">
        <v>40</v>
      </c>
      <c r="E1599">
        <v>10</v>
      </c>
      <c r="F1599">
        <v>44.4</v>
      </c>
      <c r="G1599">
        <v>26.02</v>
      </c>
      <c r="H1599">
        <v>-1.7</v>
      </c>
    </row>
    <row r="1600" spans="1:8" x14ac:dyDescent="0.25">
      <c r="A1600">
        <v>1585</v>
      </c>
      <c r="B1600">
        <v>40</v>
      </c>
      <c r="C1600">
        <v>70</v>
      </c>
      <c r="D1600">
        <v>70</v>
      </c>
      <c r="E1600">
        <v>10</v>
      </c>
      <c r="F1600">
        <v>43.59</v>
      </c>
      <c r="G1600">
        <v>23.24</v>
      </c>
      <c r="H1600">
        <v>15.71</v>
      </c>
    </row>
    <row r="1601" spans="1:8" x14ac:dyDescent="0.25">
      <c r="A1601">
        <v>1586</v>
      </c>
      <c r="B1601">
        <v>70</v>
      </c>
      <c r="C1601">
        <v>0</v>
      </c>
      <c r="D1601">
        <v>0</v>
      </c>
      <c r="E1601">
        <v>10</v>
      </c>
      <c r="F1601">
        <v>61.89</v>
      </c>
      <c r="G1601">
        <v>-23.59</v>
      </c>
      <c r="H1601">
        <v>-34.799999999999997</v>
      </c>
    </row>
    <row r="1602" spans="1:8" x14ac:dyDescent="0.25">
      <c r="A1602">
        <v>1587</v>
      </c>
      <c r="B1602">
        <v>70</v>
      </c>
      <c r="C1602">
        <v>0</v>
      </c>
      <c r="D1602">
        <v>10</v>
      </c>
      <c r="E1602">
        <v>10</v>
      </c>
      <c r="F1602">
        <v>61.43</v>
      </c>
      <c r="G1602">
        <v>-26.39</v>
      </c>
      <c r="H1602">
        <v>-27.41</v>
      </c>
    </row>
    <row r="1603" spans="1:8" x14ac:dyDescent="0.25">
      <c r="A1603">
        <v>1588</v>
      </c>
      <c r="B1603">
        <v>70</v>
      </c>
      <c r="C1603">
        <v>0</v>
      </c>
      <c r="D1603">
        <v>20</v>
      </c>
      <c r="E1603">
        <v>10</v>
      </c>
      <c r="F1603">
        <v>61.02</v>
      </c>
      <c r="G1603">
        <v>-28.98</v>
      </c>
      <c r="H1603">
        <v>-20.059999999999999</v>
      </c>
    </row>
    <row r="1604" spans="1:8" x14ac:dyDescent="0.25">
      <c r="A1604">
        <v>1589</v>
      </c>
      <c r="B1604">
        <v>70</v>
      </c>
      <c r="C1604">
        <v>0</v>
      </c>
      <c r="D1604">
        <v>40</v>
      </c>
      <c r="E1604">
        <v>10</v>
      </c>
      <c r="F1604">
        <v>60.14</v>
      </c>
      <c r="G1604">
        <v>-33.700000000000003</v>
      </c>
      <c r="H1604">
        <v>-5.22</v>
      </c>
    </row>
    <row r="1605" spans="1:8" x14ac:dyDescent="0.25">
      <c r="A1605">
        <v>1590</v>
      </c>
      <c r="B1605">
        <v>70</v>
      </c>
      <c r="C1605">
        <v>0</v>
      </c>
      <c r="D1605">
        <v>70</v>
      </c>
      <c r="E1605">
        <v>10</v>
      </c>
      <c r="F1605">
        <v>58.71</v>
      </c>
      <c r="G1605">
        <v>-39.130000000000003</v>
      </c>
      <c r="H1605">
        <v>18.66</v>
      </c>
    </row>
    <row r="1606" spans="1:8" x14ac:dyDescent="0.25">
      <c r="A1606">
        <v>1591</v>
      </c>
      <c r="B1606">
        <v>70</v>
      </c>
      <c r="C1606">
        <v>10</v>
      </c>
      <c r="D1606">
        <v>0</v>
      </c>
      <c r="E1606">
        <v>10</v>
      </c>
      <c r="F1606">
        <v>58.59</v>
      </c>
      <c r="G1606">
        <v>-18.399999999999999</v>
      </c>
      <c r="H1606">
        <v>-34.71</v>
      </c>
    </row>
    <row r="1607" spans="1:8" x14ac:dyDescent="0.25">
      <c r="A1607">
        <v>1592</v>
      </c>
      <c r="B1607">
        <v>70</v>
      </c>
      <c r="C1607">
        <v>10</v>
      </c>
      <c r="D1607">
        <v>10</v>
      </c>
      <c r="E1607">
        <v>10</v>
      </c>
      <c r="F1607">
        <v>58.4</v>
      </c>
      <c r="G1607">
        <v>-21.03</v>
      </c>
      <c r="H1607">
        <v>-27.45</v>
      </c>
    </row>
    <row r="1608" spans="1:8" x14ac:dyDescent="0.25">
      <c r="A1608">
        <v>1593</v>
      </c>
      <c r="B1608">
        <v>70</v>
      </c>
      <c r="C1608">
        <v>10</v>
      </c>
      <c r="D1608">
        <v>20</v>
      </c>
      <c r="E1608">
        <v>10</v>
      </c>
      <c r="F1608">
        <v>57.97</v>
      </c>
      <c r="G1608">
        <v>-23.52</v>
      </c>
      <c r="H1608">
        <v>-20.37</v>
      </c>
    </row>
    <row r="1609" spans="1:8" x14ac:dyDescent="0.25">
      <c r="A1609">
        <v>1594</v>
      </c>
      <c r="B1609">
        <v>70</v>
      </c>
      <c r="C1609">
        <v>10</v>
      </c>
      <c r="D1609">
        <v>40</v>
      </c>
      <c r="E1609">
        <v>10</v>
      </c>
      <c r="F1609">
        <v>57.12</v>
      </c>
      <c r="G1609">
        <v>-27.95</v>
      </c>
      <c r="H1609">
        <v>-6.38</v>
      </c>
    </row>
    <row r="1610" spans="1:8" x14ac:dyDescent="0.25">
      <c r="A1610">
        <v>1595</v>
      </c>
      <c r="B1610">
        <v>70</v>
      </c>
      <c r="C1610">
        <v>10</v>
      </c>
      <c r="D1610">
        <v>70</v>
      </c>
      <c r="E1610">
        <v>10</v>
      </c>
      <c r="F1610">
        <v>55.76</v>
      </c>
      <c r="G1610">
        <v>-33.17</v>
      </c>
      <c r="H1610">
        <v>16.72</v>
      </c>
    </row>
    <row r="1611" spans="1:8" x14ac:dyDescent="0.25">
      <c r="A1611">
        <v>1596</v>
      </c>
      <c r="B1611">
        <v>70</v>
      </c>
      <c r="C1611">
        <v>20</v>
      </c>
      <c r="D1611">
        <v>0</v>
      </c>
      <c r="E1611">
        <v>10</v>
      </c>
      <c r="F1611">
        <v>55.37</v>
      </c>
      <c r="G1611">
        <v>-13.32</v>
      </c>
      <c r="H1611">
        <v>-34.64</v>
      </c>
    </row>
    <row r="1612" spans="1:8" x14ac:dyDescent="0.25">
      <c r="A1612">
        <v>1597</v>
      </c>
      <c r="B1612">
        <v>70</v>
      </c>
      <c r="C1612">
        <v>20</v>
      </c>
      <c r="D1612">
        <v>10</v>
      </c>
      <c r="E1612">
        <v>10</v>
      </c>
      <c r="F1612">
        <v>55.13</v>
      </c>
      <c r="G1612">
        <v>-15.71</v>
      </c>
      <c r="H1612">
        <v>-27.75</v>
      </c>
    </row>
    <row r="1613" spans="1:8" x14ac:dyDescent="0.25">
      <c r="A1613">
        <v>1598</v>
      </c>
      <c r="B1613">
        <v>70</v>
      </c>
      <c r="C1613">
        <v>20</v>
      </c>
      <c r="D1613">
        <v>20</v>
      </c>
      <c r="E1613">
        <v>10</v>
      </c>
      <c r="F1613">
        <v>54.83</v>
      </c>
      <c r="G1613">
        <v>-18.04</v>
      </c>
      <c r="H1613">
        <v>-20.89</v>
      </c>
    </row>
    <row r="1614" spans="1:8" x14ac:dyDescent="0.25">
      <c r="A1614">
        <v>1599</v>
      </c>
      <c r="B1614">
        <v>70</v>
      </c>
      <c r="C1614">
        <v>20</v>
      </c>
      <c r="D1614">
        <v>40</v>
      </c>
      <c r="E1614">
        <v>10</v>
      </c>
      <c r="F1614">
        <v>53.99</v>
      </c>
      <c r="G1614">
        <v>-22.24</v>
      </c>
      <c r="H1614">
        <v>-7.66</v>
      </c>
    </row>
    <row r="1615" spans="1:8" x14ac:dyDescent="0.25">
      <c r="A1615">
        <v>1600</v>
      </c>
      <c r="B1615">
        <v>70</v>
      </c>
      <c r="C1615">
        <v>20</v>
      </c>
      <c r="D1615">
        <v>70</v>
      </c>
      <c r="E1615">
        <v>10</v>
      </c>
      <c r="F1615">
        <v>52.73</v>
      </c>
      <c r="G1615">
        <v>-27.24</v>
      </c>
      <c r="H1615">
        <v>14.52</v>
      </c>
    </row>
    <row r="1616" spans="1:8" x14ac:dyDescent="0.25">
      <c r="A1616">
        <v>1601</v>
      </c>
      <c r="B1616">
        <v>70</v>
      </c>
      <c r="C1616">
        <v>40</v>
      </c>
      <c r="D1616">
        <v>0</v>
      </c>
      <c r="E1616">
        <v>10</v>
      </c>
      <c r="F1616">
        <v>48.84</v>
      </c>
      <c r="G1616">
        <v>-2.64</v>
      </c>
      <c r="H1616">
        <v>-34.29</v>
      </c>
    </row>
    <row r="1617" spans="1:8" x14ac:dyDescent="0.25">
      <c r="A1617">
        <v>1602</v>
      </c>
      <c r="B1617">
        <v>70</v>
      </c>
      <c r="C1617">
        <v>40</v>
      </c>
      <c r="D1617">
        <v>10</v>
      </c>
      <c r="E1617">
        <v>10</v>
      </c>
      <c r="F1617">
        <v>48.49</v>
      </c>
      <c r="G1617">
        <v>-4.5599999999999996</v>
      </c>
      <c r="H1617">
        <v>-28.21</v>
      </c>
    </row>
    <row r="1618" spans="1:8" x14ac:dyDescent="0.25">
      <c r="A1618">
        <v>1603</v>
      </c>
      <c r="B1618">
        <v>70</v>
      </c>
      <c r="C1618">
        <v>40</v>
      </c>
      <c r="D1618">
        <v>20</v>
      </c>
      <c r="E1618">
        <v>10</v>
      </c>
      <c r="F1618">
        <v>48.12</v>
      </c>
      <c r="G1618">
        <v>-6.5</v>
      </c>
      <c r="H1618">
        <v>-22.11</v>
      </c>
    </row>
    <row r="1619" spans="1:8" x14ac:dyDescent="0.25">
      <c r="A1619">
        <v>1604</v>
      </c>
      <c r="B1619">
        <v>70</v>
      </c>
      <c r="C1619">
        <v>40</v>
      </c>
      <c r="D1619">
        <v>40</v>
      </c>
      <c r="E1619">
        <v>10</v>
      </c>
      <c r="F1619">
        <v>47.36</v>
      </c>
      <c r="G1619">
        <v>-10.199999999999999</v>
      </c>
      <c r="H1619">
        <v>-10.42</v>
      </c>
    </row>
    <row r="1620" spans="1:8" x14ac:dyDescent="0.25">
      <c r="A1620">
        <v>1605</v>
      </c>
      <c r="B1620">
        <v>70</v>
      </c>
      <c r="C1620">
        <v>40</v>
      </c>
      <c r="D1620">
        <v>70</v>
      </c>
      <c r="E1620">
        <v>10</v>
      </c>
      <c r="F1620">
        <v>46.27</v>
      </c>
      <c r="G1620">
        <v>-14.7</v>
      </c>
      <c r="H1620">
        <v>9.74</v>
      </c>
    </row>
    <row r="1621" spans="1:8" x14ac:dyDescent="0.25">
      <c r="A1621">
        <v>1606</v>
      </c>
      <c r="B1621">
        <v>70</v>
      </c>
      <c r="C1621">
        <v>70</v>
      </c>
      <c r="D1621">
        <v>0</v>
      </c>
      <c r="E1621">
        <v>10</v>
      </c>
      <c r="F1621">
        <v>38.479999999999997</v>
      </c>
      <c r="G1621">
        <v>15.68</v>
      </c>
      <c r="H1621">
        <v>-33.36</v>
      </c>
    </row>
    <row r="1622" spans="1:8" x14ac:dyDescent="0.25">
      <c r="A1622">
        <v>1607</v>
      </c>
      <c r="B1622">
        <v>70</v>
      </c>
      <c r="C1622">
        <v>70</v>
      </c>
      <c r="D1622">
        <v>10</v>
      </c>
      <c r="E1622">
        <v>10</v>
      </c>
      <c r="F1622">
        <v>38.119999999999997</v>
      </c>
      <c r="G1622">
        <v>14.36</v>
      </c>
      <c r="H1622">
        <v>-28.3</v>
      </c>
    </row>
    <row r="1623" spans="1:8" x14ac:dyDescent="0.25">
      <c r="A1623">
        <v>1608</v>
      </c>
      <c r="B1623">
        <v>70</v>
      </c>
      <c r="C1623">
        <v>70</v>
      </c>
      <c r="D1623">
        <v>20</v>
      </c>
      <c r="E1623">
        <v>10</v>
      </c>
      <c r="F1623">
        <v>37.78</v>
      </c>
      <c r="G1623">
        <v>12.89</v>
      </c>
      <c r="H1623">
        <v>-23.28</v>
      </c>
    </row>
    <row r="1624" spans="1:8" x14ac:dyDescent="0.25">
      <c r="A1624">
        <v>1609</v>
      </c>
      <c r="B1624">
        <v>70</v>
      </c>
      <c r="C1624">
        <v>70</v>
      </c>
      <c r="D1624">
        <v>40</v>
      </c>
      <c r="E1624">
        <v>10</v>
      </c>
      <c r="F1624">
        <v>37.200000000000003</v>
      </c>
      <c r="G1624">
        <v>9.83</v>
      </c>
      <c r="H1624">
        <v>-13.51</v>
      </c>
    </row>
    <row r="1625" spans="1:8" x14ac:dyDescent="0.25">
      <c r="A1625">
        <v>1610</v>
      </c>
      <c r="B1625">
        <v>70</v>
      </c>
      <c r="C1625">
        <v>70</v>
      </c>
      <c r="D1625">
        <v>70</v>
      </c>
      <c r="E1625">
        <v>10</v>
      </c>
      <c r="F1625">
        <v>36.409999999999997</v>
      </c>
      <c r="G1625">
        <v>5.81</v>
      </c>
      <c r="H1625">
        <v>3.05</v>
      </c>
    </row>
    <row r="1626" spans="1:8" x14ac:dyDescent="0.25">
      <c r="A1626">
        <v>1611</v>
      </c>
      <c r="B1626">
        <v>50</v>
      </c>
      <c r="C1626">
        <v>40</v>
      </c>
      <c r="D1626">
        <v>40</v>
      </c>
      <c r="E1626">
        <v>0</v>
      </c>
      <c r="F1626">
        <v>57.46</v>
      </c>
      <c r="G1626">
        <v>0.38</v>
      </c>
      <c r="H1626">
        <v>-2.0299999999999998</v>
      </c>
    </row>
    <row r="1627" spans="1:8" x14ac:dyDescent="0.25">
      <c r="A1627">
        <v>1612</v>
      </c>
      <c r="B1627">
        <v>100</v>
      </c>
      <c r="C1627">
        <v>0</v>
      </c>
      <c r="D1627">
        <v>0</v>
      </c>
      <c r="E1627">
        <v>10</v>
      </c>
      <c r="F1627">
        <v>51.99</v>
      </c>
      <c r="G1627">
        <v>-34.74</v>
      </c>
      <c r="H1627">
        <v>-46.14</v>
      </c>
    </row>
    <row r="1628" spans="1:8" x14ac:dyDescent="0.25">
      <c r="A1628">
        <v>1613</v>
      </c>
      <c r="B1628">
        <v>0</v>
      </c>
      <c r="C1628">
        <v>100</v>
      </c>
      <c r="D1628">
        <v>0</v>
      </c>
      <c r="E1628">
        <v>10</v>
      </c>
      <c r="F1628">
        <v>44.54</v>
      </c>
      <c r="G1628">
        <v>69.09</v>
      </c>
      <c r="H1628">
        <v>-4.07</v>
      </c>
    </row>
    <row r="1629" spans="1:8" x14ac:dyDescent="0.25">
      <c r="A1629">
        <v>1614</v>
      </c>
      <c r="B1629">
        <v>0</v>
      </c>
      <c r="C1629">
        <v>0</v>
      </c>
      <c r="D1629">
        <v>100</v>
      </c>
      <c r="E1629">
        <v>10</v>
      </c>
      <c r="F1629">
        <v>82.2</v>
      </c>
      <c r="G1629">
        <v>-4.22</v>
      </c>
      <c r="H1629">
        <v>85.3</v>
      </c>
    </row>
    <row r="1630" spans="1:8" x14ac:dyDescent="0.25">
      <c r="A1630">
        <v>1615</v>
      </c>
      <c r="B1630">
        <v>0</v>
      </c>
      <c r="C1630">
        <v>100</v>
      </c>
      <c r="D1630">
        <v>100</v>
      </c>
      <c r="E1630">
        <v>10</v>
      </c>
      <c r="F1630">
        <v>43.74</v>
      </c>
      <c r="G1630">
        <v>62.04</v>
      </c>
      <c r="H1630">
        <v>43.54</v>
      </c>
    </row>
    <row r="1631" spans="1:8" x14ac:dyDescent="0.25">
      <c r="A1631">
        <v>1616</v>
      </c>
      <c r="B1631">
        <v>100</v>
      </c>
      <c r="C1631">
        <v>0</v>
      </c>
      <c r="D1631">
        <v>100</v>
      </c>
      <c r="E1631">
        <v>10</v>
      </c>
      <c r="F1631">
        <v>47.22</v>
      </c>
      <c r="G1631">
        <v>-60.96</v>
      </c>
      <c r="H1631">
        <v>24.16</v>
      </c>
    </row>
    <row r="1632" spans="1:8" x14ac:dyDescent="0.25">
      <c r="A1632">
        <v>1617</v>
      </c>
      <c r="B1632">
        <v>100</v>
      </c>
      <c r="C1632">
        <v>100</v>
      </c>
      <c r="D1632">
        <v>0</v>
      </c>
      <c r="E1632">
        <v>10</v>
      </c>
      <c r="F1632">
        <v>24.1</v>
      </c>
      <c r="G1632">
        <v>17.89</v>
      </c>
      <c r="H1632">
        <v>-42.18</v>
      </c>
    </row>
    <row r="1633" spans="1:1" x14ac:dyDescent="0.25">
      <c r="A1633" t="s">
        <v>4</v>
      </c>
    </row>
  </sheetData>
  <sortState ref="A24:J1640">
    <sortCondition ref="A24:A164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3"/>
  <sheetViews>
    <sheetView workbookViewId="0">
      <selection activeCell="A2" sqref="A2"/>
    </sheetView>
  </sheetViews>
  <sheetFormatPr defaultRowHeight="15" x14ac:dyDescent="0.25"/>
  <sheetData>
    <row r="1" spans="1:18" ht="21" x14ac:dyDescent="0.35">
      <c r="A1" s="2" t="s">
        <v>11</v>
      </c>
    </row>
    <row r="3" spans="1:18" x14ac:dyDescent="0.25">
      <c r="B3" s="3" t="s">
        <v>12</v>
      </c>
    </row>
    <row r="4" spans="1:18" x14ac:dyDescent="0.25">
      <c r="B4" t="s">
        <v>40</v>
      </c>
    </row>
    <row r="5" spans="1:18" x14ac:dyDescent="0.25">
      <c r="A5" t="str">
        <f>IF(COUNT(R11:R203)&gt;0, "ERROR", "")</f>
        <v/>
      </c>
      <c r="B5" t="s">
        <v>45</v>
      </c>
    </row>
    <row r="6" spans="1:18" x14ac:dyDescent="0.25">
      <c r="B6" t="s">
        <v>44</v>
      </c>
    </row>
    <row r="8" spans="1:18" x14ac:dyDescent="0.25">
      <c r="B8" s="15" t="s">
        <v>43</v>
      </c>
      <c r="C8">
        <f>MATCH("*CMYK_C", INDEX(INPUTdata!A1:L40, MATCH("BEGIN_DATA_FORMAT", INPUTdata!$A1:$A40, 0)+1, 1):INDEX(INPUTdata!A1:L40, MATCH("BEGIN_DATA_FORMAT", INPUTdata!$A1:$A40, 0)+1, 12), 0)</f>
        <v>2</v>
      </c>
      <c r="D8">
        <f>MATCH("*CMYK_M", INDEX(INPUTdata!A1:L40, MATCH("BEGIN_DATA_FORMAT", INPUTdata!$A1:$A40, 0)+1, 1):INDEX(INPUTdata!A1:L40, MATCH("BEGIN_DATA_FORMAT", INPUTdata!$A1:$A40, 0)+1, 12), 0)</f>
        <v>3</v>
      </c>
      <c r="E8">
        <f>MATCH("*CMYK_Y", INDEX(INPUTdata!A1:L40, MATCH("BEGIN_DATA_FORMAT", INPUTdata!$A1:$A40, 0)+1, 1):INDEX(INPUTdata!A1:L40, MATCH("BEGIN_DATA_FORMAT", INPUTdata!$A1:$A40, 0)+1, 12), 0)</f>
        <v>4</v>
      </c>
      <c r="F8">
        <f>MATCH("*CMYK_K", INDEX(INPUTdata!A1:L40, MATCH("BEGIN_DATA_FORMAT", INPUTdata!$A1:$A40, 0)+1, 1):INDEX(INPUTdata!A1:L40, MATCH("BEGIN_DATA_FORMAT", INPUTdata!$A1:$A40, 0)+1, 12), 0)</f>
        <v>5</v>
      </c>
      <c r="G8">
        <f>MATCH("*LAB_L", INDEX(INPUTdata!A1:L40, MATCH("BEGIN_DATA_FORMAT", INPUTdata!$A1:$A40, 0)+1, 1):INDEX(INPUTdata!A1:L40, MATCH("BEGIN_DATA_FORMAT", INPUTdata!$A1:$A40, 0)+1, 12), 0)</f>
        <v>6</v>
      </c>
      <c r="H8">
        <f>MATCH("*LAB_A", INDEX(INPUTdata!A1:L40, MATCH("BEGIN_DATA_FORMAT", INPUTdata!$A1:$A40, 0)+1, 1):INDEX(INPUTdata!A1:L40, MATCH("BEGIN_DATA_FORMAT", INPUTdata!$A1:$A40, 0)+1, 12), 0)</f>
        <v>7</v>
      </c>
      <c r="I8">
        <f>MATCH("*LAB_B", INDEX(INPUTdata!A1:L40, MATCH("BEGIN_DATA_FORMAT", INPUTdata!$A1:$A40, 0)+1, 1):INDEX(INPUTdata!A1:L40, MATCH("BEGIN_DATA_FORMAT", INPUTdata!$A1:$A40, 0)+1, 12), 0)</f>
        <v>8</v>
      </c>
      <c r="N8" s="30" t="s">
        <v>41</v>
      </c>
      <c r="O8" s="27"/>
      <c r="P8" s="27"/>
      <c r="Q8" s="27"/>
      <c r="R8" s="28"/>
    </row>
    <row r="9" spans="1:18" x14ac:dyDescent="0.25">
      <c r="B9" s="34"/>
      <c r="N9" s="21"/>
      <c r="O9" s="10"/>
      <c r="P9" s="10"/>
      <c r="Q9" s="33" t="s">
        <v>42</v>
      </c>
      <c r="R9" s="31">
        <f>COUNT(R11:R203)</f>
        <v>0</v>
      </c>
    </row>
    <row r="10" spans="1:18" x14ac:dyDescent="0.25">
      <c r="A10" s="4" t="s">
        <v>9</v>
      </c>
      <c r="B10" s="4" t="s">
        <v>10</v>
      </c>
      <c r="C10" s="4" t="s">
        <v>5</v>
      </c>
      <c r="D10" s="4" t="s">
        <v>6</v>
      </c>
      <c r="E10" s="4" t="s">
        <v>7</v>
      </c>
      <c r="F10" s="4" t="s">
        <v>8</v>
      </c>
      <c r="G10" s="4" t="s">
        <v>19</v>
      </c>
      <c r="H10" s="4" t="s">
        <v>20</v>
      </c>
      <c r="I10" s="4" t="s">
        <v>21</v>
      </c>
      <c r="N10" s="18" t="s">
        <v>5</v>
      </c>
      <c r="O10" s="7" t="s">
        <v>6</v>
      </c>
      <c r="P10" s="7" t="s">
        <v>7</v>
      </c>
      <c r="Q10" s="7" t="s">
        <v>8</v>
      </c>
      <c r="R10" s="31"/>
    </row>
    <row r="11" spans="1:18" x14ac:dyDescent="0.25">
      <c r="A11">
        <v>1</v>
      </c>
      <c r="B11">
        <v>1</v>
      </c>
      <c r="C11">
        <f>VLOOKUP($B11,INPUTdata!$A:$L, C$8, FALSE)</f>
        <v>0</v>
      </c>
      <c r="D11">
        <f>VLOOKUP($B11,INPUTdata!$A:$L, D$8, FALSE)</f>
        <v>0</v>
      </c>
      <c r="E11">
        <f>VLOOKUP($B11,INPUTdata!$A:$L, E$8, FALSE)</f>
        <v>0</v>
      </c>
      <c r="F11">
        <f>VLOOKUP($B11,INPUTdata!$A:$L, F$8, FALSE)</f>
        <v>0</v>
      </c>
      <c r="G11">
        <f>VLOOKUP($B11,INPUTdata!$A:$L, G$8, FALSE)</f>
        <v>95</v>
      </c>
      <c r="H11">
        <f>VLOOKUP($B11,INPUTdata!$A:$L, H$8, FALSE)</f>
        <v>1</v>
      </c>
      <c r="I11">
        <f>VLOOKUP($B11,INPUTdata!$A:$L, I$8, FALSE)</f>
        <v>-4</v>
      </c>
      <c r="N11" s="21">
        <v>0</v>
      </c>
      <c r="O11" s="10">
        <v>0</v>
      </c>
      <c r="P11" s="10">
        <v>0</v>
      </c>
      <c r="Q11" s="10">
        <v>0</v>
      </c>
      <c r="R11" s="31" t="str">
        <f>IF(AND(N11=C11,O11=D11,P11=E11,Q11=F11), "", 1)</f>
        <v/>
      </c>
    </row>
    <row r="12" spans="1:18" x14ac:dyDescent="0.25">
      <c r="A12">
        <v>2</v>
      </c>
      <c r="B12">
        <v>2</v>
      </c>
      <c r="C12">
        <f>VLOOKUP($B12,INPUTdata!$A:$L, C$8, FALSE)</f>
        <v>0</v>
      </c>
      <c r="D12">
        <f>VLOOKUP($B12,INPUTdata!$A:$L, D$8, FALSE)</f>
        <v>10</v>
      </c>
      <c r="E12">
        <f>VLOOKUP($B12,INPUTdata!$A:$L, E$8, FALSE)</f>
        <v>0</v>
      </c>
      <c r="F12">
        <f>VLOOKUP($B12,INPUTdata!$A:$L, F$8, FALSE)</f>
        <v>0</v>
      </c>
      <c r="G12">
        <f>VLOOKUP($B12,INPUTdata!$A:$L, G$8, FALSE)</f>
        <v>89.89</v>
      </c>
      <c r="H12">
        <f>VLOOKUP($B12,INPUTdata!$A:$L, H$8, FALSE)</f>
        <v>7.72</v>
      </c>
      <c r="I12">
        <f>VLOOKUP($B12,INPUTdata!$A:$L, I$8, FALSE)</f>
        <v>-5.04</v>
      </c>
      <c r="N12" s="21">
        <v>0</v>
      </c>
      <c r="O12" s="10">
        <v>10</v>
      </c>
      <c r="P12" s="10">
        <v>0</v>
      </c>
      <c r="Q12" s="10">
        <v>0</v>
      </c>
      <c r="R12" s="31" t="str">
        <f t="shared" ref="R12:R75" si="0">IF(AND(N12=C12,O12=D12,P12=E12,Q12=F12), "", 1)</f>
        <v/>
      </c>
    </row>
    <row r="13" spans="1:18" x14ac:dyDescent="0.25">
      <c r="A13">
        <v>3</v>
      </c>
      <c r="B13">
        <v>3</v>
      </c>
      <c r="C13">
        <f>VLOOKUP($B13,INPUTdata!$A:$L, C$8, FALSE)</f>
        <v>0</v>
      </c>
      <c r="D13">
        <f>VLOOKUP($B13,INPUTdata!$A:$L, D$8, FALSE)</f>
        <v>20</v>
      </c>
      <c r="E13">
        <f>VLOOKUP($B13,INPUTdata!$A:$L, E$8, FALSE)</f>
        <v>0</v>
      </c>
      <c r="F13">
        <f>VLOOKUP($B13,INPUTdata!$A:$L, F$8, FALSE)</f>
        <v>0</v>
      </c>
      <c r="G13">
        <f>VLOOKUP($B13,INPUTdata!$A:$L, G$8, FALSE)</f>
        <v>85.05</v>
      </c>
      <c r="H13">
        <f>VLOOKUP($B13,INPUTdata!$A:$L, H$8, FALSE)</f>
        <v>14.22</v>
      </c>
      <c r="I13">
        <f>VLOOKUP($B13,INPUTdata!$A:$L, I$8, FALSE)</f>
        <v>-5.96</v>
      </c>
      <c r="N13" s="21">
        <v>0</v>
      </c>
      <c r="O13" s="10">
        <v>20</v>
      </c>
      <c r="P13" s="10">
        <v>0</v>
      </c>
      <c r="Q13" s="10">
        <v>0</v>
      </c>
      <c r="R13" s="31" t="str">
        <f t="shared" si="0"/>
        <v/>
      </c>
    </row>
    <row r="14" spans="1:18" x14ac:dyDescent="0.25">
      <c r="A14">
        <v>4</v>
      </c>
      <c r="B14">
        <v>5</v>
      </c>
      <c r="C14">
        <f>VLOOKUP($B14,INPUTdata!$A:$L, C$8, FALSE)</f>
        <v>0</v>
      </c>
      <c r="D14">
        <f>VLOOKUP($B14,INPUTdata!$A:$L, D$8, FALSE)</f>
        <v>40</v>
      </c>
      <c r="E14">
        <f>VLOOKUP($B14,INPUTdata!$A:$L, E$8, FALSE)</f>
        <v>0</v>
      </c>
      <c r="F14">
        <f>VLOOKUP($B14,INPUTdata!$A:$L, F$8, FALSE)</f>
        <v>0</v>
      </c>
      <c r="G14">
        <f>VLOOKUP($B14,INPUTdata!$A:$L, G$8, FALSE)</f>
        <v>75.09</v>
      </c>
      <c r="H14">
        <f>VLOOKUP($B14,INPUTdata!$A:$L, H$8, FALSE)</f>
        <v>28.3</v>
      </c>
      <c r="I14">
        <f>VLOOKUP($B14,INPUTdata!$A:$L, I$8, FALSE)</f>
        <v>-7.25</v>
      </c>
      <c r="N14" s="21">
        <v>0</v>
      </c>
      <c r="O14" s="10">
        <v>40</v>
      </c>
      <c r="P14" s="10">
        <v>0</v>
      </c>
      <c r="Q14" s="10">
        <v>0</v>
      </c>
      <c r="R14" s="31" t="str">
        <f t="shared" si="0"/>
        <v/>
      </c>
    </row>
    <row r="15" spans="1:18" x14ac:dyDescent="0.25">
      <c r="A15">
        <v>5</v>
      </c>
      <c r="B15">
        <v>7</v>
      </c>
      <c r="C15">
        <f>VLOOKUP($B15,INPUTdata!$A:$L, C$8, FALSE)</f>
        <v>0</v>
      </c>
      <c r="D15">
        <f>VLOOKUP($B15,INPUTdata!$A:$L, D$8, FALSE)</f>
        <v>70</v>
      </c>
      <c r="E15">
        <f>VLOOKUP($B15,INPUTdata!$A:$L, E$8, FALSE)</f>
        <v>0</v>
      </c>
      <c r="F15">
        <f>VLOOKUP($B15,INPUTdata!$A:$L, F$8, FALSE)</f>
        <v>0</v>
      </c>
      <c r="G15">
        <f>VLOOKUP($B15,INPUTdata!$A:$L, G$8, FALSE)</f>
        <v>59.97</v>
      </c>
      <c r="H15">
        <f>VLOOKUP($B15,INPUTdata!$A:$L, H$8, FALSE)</f>
        <v>52.78</v>
      </c>
      <c r="I15">
        <f>VLOOKUP($B15,INPUTdata!$A:$L, I$8, FALSE)</f>
        <v>-6.79</v>
      </c>
      <c r="N15" s="21">
        <v>0</v>
      </c>
      <c r="O15" s="10">
        <v>70</v>
      </c>
      <c r="P15" s="10">
        <v>0</v>
      </c>
      <c r="Q15" s="10">
        <v>0</v>
      </c>
      <c r="R15" s="31" t="str">
        <f t="shared" si="0"/>
        <v/>
      </c>
    </row>
    <row r="16" spans="1:18" x14ac:dyDescent="0.25">
      <c r="A16">
        <v>6</v>
      </c>
      <c r="B16">
        <v>9</v>
      </c>
      <c r="C16">
        <f>VLOOKUP($B16,INPUTdata!$A:$L, C$8, FALSE)</f>
        <v>0</v>
      </c>
      <c r="D16">
        <f>VLOOKUP($B16,INPUTdata!$A:$L, D$8, FALSE)</f>
        <v>100</v>
      </c>
      <c r="E16">
        <f>VLOOKUP($B16,INPUTdata!$A:$L, E$8, FALSE)</f>
        <v>0</v>
      </c>
      <c r="F16">
        <f>VLOOKUP($B16,INPUTdata!$A:$L, F$8, FALSE)</f>
        <v>0</v>
      </c>
      <c r="G16">
        <f>VLOOKUP($B16,INPUTdata!$A:$L, G$8, FALSE)</f>
        <v>48</v>
      </c>
      <c r="H16">
        <f>VLOOKUP($B16,INPUTdata!$A:$L, H$8, FALSE)</f>
        <v>75</v>
      </c>
      <c r="I16">
        <f>VLOOKUP($B16,INPUTdata!$A:$L, I$8, FALSE)</f>
        <v>-4</v>
      </c>
      <c r="N16" s="21">
        <v>0</v>
      </c>
      <c r="O16" s="10">
        <v>100</v>
      </c>
      <c r="P16" s="10">
        <v>0</v>
      </c>
      <c r="Q16" s="10">
        <v>0</v>
      </c>
      <c r="R16" s="31" t="str">
        <f t="shared" si="0"/>
        <v/>
      </c>
    </row>
    <row r="17" spans="1:18" x14ac:dyDescent="0.25">
      <c r="A17">
        <v>7</v>
      </c>
      <c r="B17">
        <v>10</v>
      </c>
      <c r="C17">
        <f>VLOOKUP($B17,INPUTdata!$A:$L, C$8, FALSE)</f>
        <v>10</v>
      </c>
      <c r="D17">
        <f>VLOOKUP($B17,INPUTdata!$A:$L, D$8, FALSE)</f>
        <v>0</v>
      </c>
      <c r="E17">
        <f>VLOOKUP($B17,INPUTdata!$A:$L, E$8, FALSE)</f>
        <v>0</v>
      </c>
      <c r="F17">
        <f>VLOOKUP($B17,INPUTdata!$A:$L, F$8, FALSE)</f>
        <v>0</v>
      </c>
      <c r="G17">
        <f>VLOOKUP($B17,INPUTdata!$A:$L, G$8, FALSE)</f>
        <v>90.99</v>
      </c>
      <c r="H17">
        <f>VLOOKUP($B17,INPUTdata!$A:$L, H$8, FALSE)</f>
        <v>-2.33</v>
      </c>
      <c r="I17">
        <f>VLOOKUP($B17,INPUTdata!$A:$L, I$8, FALSE)</f>
        <v>-8.84</v>
      </c>
      <c r="N17" s="21">
        <v>10</v>
      </c>
      <c r="O17" s="10">
        <v>0</v>
      </c>
      <c r="P17" s="10">
        <v>0</v>
      </c>
      <c r="Q17" s="10">
        <v>0</v>
      </c>
      <c r="R17" s="31" t="str">
        <f t="shared" si="0"/>
        <v/>
      </c>
    </row>
    <row r="18" spans="1:18" x14ac:dyDescent="0.25">
      <c r="A18">
        <v>8</v>
      </c>
      <c r="B18">
        <v>11</v>
      </c>
      <c r="C18">
        <f>VLOOKUP($B18,INPUTdata!$A:$L, C$8, FALSE)</f>
        <v>10</v>
      </c>
      <c r="D18">
        <f>VLOOKUP($B18,INPUTdata!$A:$L, D$8, FALSE)</f>
        <v>10</v>
      </c>
      <c r="E18">
        <f>VLOOKUP($B18,INPUTdata!$A:$L, E$8, FALSE)</f>
        <v>0</v>
      </c>
      <c r="F18">
        <f>VLOOKUP($B18,INPUTdata!$A:$L, F$8, FALSE)</f>
        <v>0</v>
      </c>
      <c r="G18">
        <f>VLOOKUP($B18,INPUTdata!$A:$L, G$8, FALSE)</f>
        <v>86.16</v>
      </c>
      <c r="H18">
        <f>VLOOKUP($B18,INPUTdata!$A:$L, H$8, FALSE)</f>
        <v>4.1500000000000004</v>
      </c>
      <c r="I18">
        <f>VLOOKUP($B18,INPUTdata!$A:$L, I$8, FALSE)</f>
        <v>-9.6999999999999993</v>
      </c>
      <c r="N18" s="21">
        <v>10</v>
      </c>
      <c r="O18" s="10">
        <v>10</v>
      </c>
      <c r="P18" s="10">
        <v>0</v>
      </c>
      <c r="Q18" s="10">
        <v>0</v>
      </c>
      <c r="R18" s="31" t="str">
        <f t="shared" si="0"/>
        <v/>
      </c>
    </row>
    <row r="19" spans="1:18" x14ac:dyDescent="0.25">
      <c r="A19">
        <v>9</v>
      </c>
      <c r="B19">
        <v>12</v>
      </c>
      <c r="C19">
        <f>VLOOKUP($B19,INPUTdata!$A:$L, C$8, FALSE)</f>
        <v>10</v>
      </c>
      <c r="D19">
        <f>VLOOKUP($B19,INPUTdata!$A:$L, D$8, FALSE)</f>
        <v>20</v>
      </c>
      <c r="E19">
        <f>VLOOKUP($B19,INPUTdata!$A:$L, E$8, FALSE)</f>
        <v>0</v>
      </c>
      <c r="F19">
        <f>VLOOKUP($B19,INPUTdata!$A:$L, F$8, FALSE)</f>
        <v>0</v>
      </c>
      <c r="G19">
        <f>VLOOKUP($B19,INPUTdata!$A:$L, G$8, FALSE)</f>
        <v>81.510000000000005</v>
      </c>
      <c r="H19">
        <f>VLOOKUP($B19,INPUTdata!$A:$L, H$8, FALSE)</f>
        <v>10.45</v>
      </c>
      <c r="I19">
        <f>VLOOKUP($B19,INPUTdata!$A:$L, I$8, FALSE)</f>
        <v>-10.46</v>
      </c>
      <c r="N19" s="21">
        <v>10</v>
      </c>
      <c r="O19" s="10">
        <v>20</v>
      </c>
      <c r="P19" s="10">
        <v>0</v>
      </c>
      <c r="Q19" s="10">
        <v>0</v>
      </c>
      <c r="R19" s="31" t="str">
        <f t="shared" si="0"/>
        <v/>
      </c>
    </row>
    <row r="20" spans="1:18" x14ac:dyDescent="0.25">
      <c r="A20">
        <v>10</v>
      </c>
      <c r="B20">
        <v>14</v>
      </c>
      <c r="C20">
        <f>VLOOKUP($B20,INPUTdata!$A:$L, C$8, FALSE)</f>
        <v>10</v>
      </c>
      <c r="D20">
        <f>VLOOKUP($B20,INPUTdata!$A:$L, D$8, FALSE)</f>
        <v>40</v>
      </c>
      <c r="E20">
        <f>VLOOKUP($B20,INPUTdata!$A:$L, E$8, FALSE)</f>
        <v>0</v>
      </c>
      <c r="F20">
        <f>VLOOKUP($B20,INPUTdata!$A:$L, F$8, FALSE)</f>
        <v>0</v>
      </c>
      <c r="G20">
        <f>VLOOKUP($B20,INPUTdata!$A:$L, G$8, FALSE)</f>
        <v>71.930000000000007</v>
      </c>
      <c r="H20">
        <f>VLOOKUP($B20,INPUTdata!$A:$L, H$8, FALSE)</f>
        <v>24.14</v>
      </c>
      <c r="I20">
        <f>VLOOKUP($B20,INPUTdata!$A:$L, I$8, FALSE)</f>
        <v>-11.59</v>
      </c>
      <c r="N20" s="21">
        <v>10</v>
      </c>
      <c r="O20" s="10">
        <v>40</v>
      </c>
      <c r="P20" s="10">
        <v>0</v>
      </c>
      <c r="Q20" s="10">
        <v>0</v>
      </c>
      <c r="R20" s="31" t="str">
        <f t="shared" si="0"/>
        <v/>
      </c>
    </row>
    <row r="21" spans="1:18" x14ac:dyDescent="0.25">
      <c r="A21">
        <v>11</v>
      </c>
      <c r="B21">
        <v>16</v>
      </c>
      <c r="C21">
        <f>VLOOKUP($B21,INPUTdata!$A:$L, C$8, FALSE)</f>
        <v>10</v>
      </c>
      <c r="D21">
        <f>VLOOKUP($B21,INPUTdata!$A:$L, D$8, FALSE)</f>
        <v>70</v>
      </c>
      <c r="E21">
        <f>VLOOKUP($B21,INPUTdata!$A:$L, E$8, FALSE)</f>
        <v>0</v>
      </c>
      <c r="F21">
        <f>VLOOKUP($B21,INPUTdata!$A:$L, F$8, FALSE)</f>
        <v>0</v>
      </c>
      <c r="G21">
        <f>VLOOKUP($B21,INPUTdata!$A:$L, G$8, FALSE)</f>
        <v>57.4</v>
      </c>
      <c r="H21">
        <f>VLOOKUP($B21,INPUTdata!$A:$L, H$8, FALSE)</f>
        <v>47.81</v>
      </c>
      <c r="I21">
        <f>VLOOKUP($B21,INPUTdata!$A:$L, I$8, FALSE)</f>
        <v>-11.05</v>
      </c>
      <c r="N21" s="21">
        <v>10</v>
      </c>
      <c r="O21" s="10">
        <v>70</v>
      </c>
      <c r="P21" s="10">
        <v>0</v>
      </c>
      <c r="Q21" s="10">
        <v>0</v>
      </c>
      <c r="R21" s="31" t="str">
        <f t="shared" si="0"/>
        <v/>
      </c>
    </row>
    <row r="22" spans="1:18" x14ac:dyDescent="0.25">
      <c r="A22">
        <v>12</v>
      </c>
      <c r="B22">
        <v>18</v>
      </c>
      <c r="C22">
        <f>VLOOKUP($B22,INPUTdata!$A:$L, C$8, FALSE)</f>
        <v>10</v>
      </c>
      <c r="D22">
        <f>VLOOKUP($B22,INPUTdata!$A:$L, D$8, FALSE)</f>
        <v>100</v>
      </c>
      <c r="E22">
        <f>VLOOKUP($B22,INPUTdata!$A:$L, E$8, FALSE)</f>
        <v>0</v>
      </c>
      <c r="F22">
        <f>VLOOKUP($B22,INPUTdata!$A:$L, F$8, FALSE)</f>
        <v>0</v>
      </c>
      <c r="G22">
        <f>VLOOKUP($B22,INPUTdata!$A:$L, G$8, FALSE)</f>
        <v>45.82</v>
      </c>
      <c r="H22">
        <f>VLOOKUP($B22,INPUTdata!$A:$L, H$8, FALSE)</f>
        <v>69.39</v>
      </c>
      <c r="I22">
        <f>VLOOKUP($B22,INPUTdata!$A:$L, I$8, FALSE)</f>
        <v>-8.6300000000000008</v>
      </c>
      <c r="N22" s="21">
        <v>10</v>
      </c>
      <c r="O22" s="10">
        <v>100</v>
      </c>
      <c r="P22" s="10">
        <v>0</v>
      </c>
      <c r="Q22" s="10">
        <v>0</v>
      </c>
      <c r="R22" s="31" t="str">
        <f t="shared" si="0"/>
        <v/>
      </c>
    </row>
    <row r="23" spans="1:18" x14ac:dyDescent="0.25">
      <c r="A23">
        <v>13</v>
      </c>
      <c r="B23">
        <v>19</v>
      </c>
      <c r="C23">
        <f>VLOOKUP($B23,INPUTdata!$A:$L, C$8, FALSE)</f>
        <v>20</v>
      </c>
      <c r="D23">
        <f>VLOOKUP($B23,INPUTdata!$A:$L, D$8, FALSE)</f>
        <v>0</v>
      </c>
      <c r="E23">
        <f>VLOOKUP($B23,INPUTdata!$A:$L, E$8, FALSE)</f>
        <v>0</v>
      </c>
      <c r="F23">
        <f>VLOOKUP($B23,INPUTdata!$A:$L, F$8, FALSE)</f>
        <v>0</v>
      </c>
      <c r="G23">
        <f>VLOOKUP($B23,INPUTdata!$A:$L, G$8, FALSE)</f>
        <v>87.09</v>
      </c>
      <c r="H23">
        <f>VLOOKUP($B23,INPUTdata!$A:$L, H$8, FALSE)</f>
        <v>-5.66</v>
      </c>
      <c r="I23">
        <f>VLOOKUP($B23,INPUTdata!$A:$L, I$8, FALSE)</f>
        <v>-13.59</v>
      </c>
      <c r="N23" s="21">
        <v>20</v>
      </c>
      <c r="O23" s="10">
        <v>0</v>
      </c>
      <c r="P23" s="10">
        <v>0</v>
      </c>
      <c r="Q23" s="10">
        <v>0</v>
      </c>
      <c r="R23" s="31" t="str">
        <f t="shared" si="0"/>
        <v/>
      </c>
    </row>
    <row r="24" spans="1:18" x14ac:dyDescent="0.25">
      <c r="A24">
        <v>14</v>
      </c>
      <c r="B24">
        <v>20</v>
      </c>
      <c r="C24">
        <f>VLOOKUP($B24,INPUTdata!$A:$L, C$8, FALSE)</f>
        <v>20</v>
      </c>
      <c r="D24">
        <f>VLOOKUP($B24,INPUTdata!$A:$L, D$8, FALSE)</f>
        <v>10</v>
      </c>
      <c r="E24">
        <f>VLOOKUP($B24,INPUTdata!$A:$L, E$8, FALSE)</f>
        <v>0</v>
      </c>
      <c r="F24">
        <f>VLOOKUP($B24,INPUTdata!$A:$L, F$8, FALSE)</f>
        <v>0</v>
      </c>
      <c r="G24">
        <f>VLOOKUP($B24,INPUTdata!$A:$L, G$8, FALSE)</f>
        <v>82.45</v>
      </c>
      <c r="H24">
        <f>VLOOKUP($B24,INPUTdata!$A:$L, H$8, FALSE)</f>
        <v>0.61</v>
      </c>
      <c r="I24">
        <f>VLOOKUP($B24,INPUTdata!$A:$L, I$8, FALSE)</f>
        <v>-14.26</v>
      </c>
      <c r="N24" s="21">
        <v>20</v>
      </c>
      <c r="O24" s="10">
        <v>10</v>
      </c>
      <c r="P24" s="10">
        <v>0</v>
      </c>
      <c r="Q24" s="10">
        <v>0</v>
      </c>
      <c r="R24" s="31" t="str">
        <f t="shared" si="0"/>
        <v/>
      </c>
    </row>
    <row r="25" spans="1:18" x14ac:dyDescent="0.25">
      <c r="A25">
        <v>15</v>
      </c>
      <c r="B25">
        <v>21</v>
      </c>
      <c r="C25">
        <f>VLOOKUP($B25,INPUTdata!$A:$L, C$8, FALSE)</f>
        <v>20</v>
      </c>
      <c r="D25">
        <f>VLOOKUP($B25,INPUTdata!$A:$L, D$8, FALSE)</f>
        <v>20</v>
      </c>
      <c r="E25">
        <f>VLOOKUP($B25,INPUTdata!$A:$L, E$8, FALSE)</f>
        <v>0</v>
      </c>
      <c r="F25">
        <f>VLOOKUP($B25,INPUTdata!$A:$L, F$8, FALSE)</f>
        <v>0</v>
      </c>
      <c r="G25">
        <f>VLOOKUP($B25,INPUTdata!$A:$L, G$8, FALSE)</f>
        <v>78.03</v>
      </c>
      <c r="H25">
        <f>VLOOKUP($B25,INPUTdata!$A:$L, H$8, FALSE)</f>
        <v>6.71</v>
      </c>
      <c r="I25">
        <f>VLOOKUP($B25,INPUTdata!$A:$L, I$8, FALSE)</f>
        <v>-14.88</v>
      </c>
      <c r="N25" s="21">
        <v>20</v>
      </c>
      <c r="O25" s="10">
        <v>20</v>
      </c>
      <c r="P25" s="10">
        <v>0</v>
      </c>
      <c r="Q25" s="10">
        <v>0</v>
      </c>
      <c r="R25" s="31" t="str">
        <f t="shared" si="0"/>
        <v/>
      </c>
    </row>
    <row r="26" spans="1:18" x14ac:dyDescent="0.25">
      <c r="A26">
        <v>16</v>
      </c>
      <c r="B26">
        <v>23</v>
      </c>
      <c r="C26">
        <f>VLOOKUP($B26,INPUTdata!$A:$L, C$8, FALSE)</f>
        <v>20</v>
      </c>
      <c r="D26">
        <f>VLOOKUP($B26,INPUTdata!$A:$L, D$8, FALSE)</f>
        <v>40</v>
      </c>
      <c r="E26">
        <f>VLOOKUP($B26,INPUTdata!$A:$L, E$8, FALSE)</f>
        <v>0</v>
      </c>
      <c r="F26">
        <f>VLOOKUP($B26,INPUTdata!$A:$L, F$8, FALSE)</f>
        <v>0</v>
      </c>
      <c r="G26">
        <f>VLOOKUP($B26,INPUTdata!$A:$L, G$8, FALSE)</f>
        <v>68.849999999999994</v>
      </c>
      <c r="H26">
        <f>VLOOKUP($B26,INPUTdata!$A:$L, H$8, FALSE)</f>
        <v>20.07</v>
      </c>
      <c r="I26">
        <f>VLOOKUP($B26,INPUTdata!$A:$L, I$8, FALSE)</f>
        <v>-15.71</v>
      </c>
      <c r="N26" s="21">
        <v>20</v>
      </c>
      <c r="O26" s="10">
        <v>40</v>
      </c>
      <c r="P26" s="10">
        <v>0</v>
      </c>
      <c r="Q26" s="10">
        <v>0</v>
      </c>
      <c r="R26" s="31" t="str">
        <f t="shared" si="0"/>
        <v/>
      </c>
    </row>
    <row r="27" spans="1:18" x14ac:dyDescent="0.25">
      <c r="A27">
        <v>17</v>
      </c>
      <c r="B27">
        <v>25</v>
      </c>
      <c r="C27">
        <f>VLOOKUP($B27,INPUTdata!$A:$L, C$8, FALSE)</f>
        <v>20</v>
      </c>
      <c r="D27">
        <f>VLOOKUP($B27,INPUTdata!$A:$L, D$8, FALSE)</f>
        <v>70</v>
      </c>
      <c r="E27">
        <f>VLOOKUP($B27,INPUTdata!$A:$L, E$8, FALSE)</f>
        <v>0</v>
      </c>
      <c r="F27">
        <f>VLOOKUP($B27,INPUTdata!$A:$L, F$8, FALSE)</f>
        <v>0</v>
      </c>
      <c r="G27">
        <f>VLOOKUP($B27,INPUTdata!$A:$L, G$8, FALSE)</f>
        <v>54.86</v>
      </c>
      <c r="H27">
        <f>VLOOKUP($B27,INPUTdata!$A:$L, H$8, FALSE)</f>
        <v>42.94</v>
      </c>
      <c r="I27">
        <f>VLOOKUP($B27,INPUTdata!$A:$L, I$8, FALSE)</f>
        <v>-15.19</v>
      </c>
      <c r="N27" s="21">
        <v>20</v>
      </c>
      <c r="O27" s="10">
        <v>70</v>
      </c>
      <c r="P27" s="10">
        <v>0</v>
      </c>
      <c r="Q27" s="10">
        <v>0</v>
      </c>
      <c r="R27" s="31" t="str">
        <f t="shared" si="0"/>
        <v/>
      </c>
    </row>
    <row r="28" spans="1:18" x14ac:dyDescent="0.25">
      <c r="A28">
        <v>18</v>
      </c>
      <c r="B28">
        <v>27</v>
      </c>
      <c r="C28">
        <f>VLOOKUP($B28,INPUTdata!$A:$L, C$8, FALSE)</f>
        <v>20</v>
      </c>
      <c r="D28">
        <f>VLOOKUP($B28,INPUTdata!$A:$L, D$8, FALSE)</f>
        <v>100</v>
      </c>
      <c r="E28">
        <f>VLOOKUP($B28,INPUTdata!$A:$L, E$8, FALSE)</f>
        <v>0</v>
      </c>
      <c r="F28">
        <f>VLOOKUP($B28,INPUTdata!$A:$L, F$8, FALSE)</f>
        <v>0</v>
      </c>
      <c r="G28">
        <f>VLOOKUP($B28,INPUTdata!$A:$L, G$8, FALSE)</f>
        <v>43.6</v>
      </c>
      <c r="H28">
        <f>VLOOKUP($B28,INPUTdata!$A:$L, H$8, FALSE)</f>
        <v>63.95</v>
      </c>
      <c r="I28">
        <f>VLOOKUP($B28,INPUTdata!$A:$L, I$8, FALSE)</f>
        <v>-13.07</v>
      </c>
      <c r="N28" s="21">
        <v>20</v>
      </c>
      <c r="O28" s="10">
        <v>100</v>
      </c>
      <c r="P28" s="10">
        <v>0</v>
      </c>
      <c r="Q28" s="10">
        <v>0</v>
      </c>
      <c r="R28" s="31" t="str">
        <f t="shared" si="0"/>
        <v/>
      </c>
    </row>
    <row r="29" spans="1:18" x14ac:dyDescent="0.25">
      <c r="A29">
        <v>19</v>
      </c>
      <c r="B29">
        <v>37</v>
      </c>
      <c r="C29">
        <f>VLOOKUP($B29,INPUTdata!$A:$L, C$8, FALSE)</f>
        <v>40</v>
      </c>
      <c r="D29">
        <f>VLOOKUP($B29,INPUTdata!$A:$L, D$8, FALSE)</f>
        <v>0</v>
      </c>
      <c r="E29">
        <f>VLOOKUP($B29,INPUTdata!$A:$L, E$8, FALSE)</f>
        <v>0</v>
      </c>
      <c r="F29">
        <f>VLOOKUP($B29,INPUTdata!$A:$L, F$8, FALSE)</f>
        <v>0</v>
      </c>
      <c r="G29">
        <f>VLOOKUP($B29,INPUTdata!$A:$L, G$8, FALSE)</f>
        <v>79.150000000000006</v>
      </c>
      <c r="H29">
        <f>VLOOKUP($B29,INPUTdata!$A:$L, H$8, FALSE)</f>
        <v>-12.76</v>
      </c>
      <c r="I29">
        <f>VLOOKUP($B29,INPUTdata!$A:$L, I$8, FALSE)</f>
        <v>-23.17</v>
      </c>
      <c r="N29" s="21">
        <v>40</v>
      </c>
      <c r="O29" s="10">
        <v>0</v>
      </c>
      <c r="P29" s="10">
        <v>0</v>
      </c>
      <c r="Q29" s="10">
        <v>0</v>
      </c>
      <c r="R29" s="31" t="str">
        <f t="shared" si="0"/>
        <v/>
      </c>
    </row>
    <row r="30" spans="1:18" x14ac:dyDescent="0.25">
      <c r="A30">
        <v>20</v>
      </c>
      <c r="B30">
        <v>38</v>
      </c>
      <c r="C30">
        <f>VLOOKUP($B30,INPUTdata!$A:$L, C$8, FALSE)</f>
        <v>40</v>
      </c>
      <c r="D30">
        <f>VLOOKUP($B30,INPUTdata!$A:$L, D$8, FALSE)</f>
        <v>10</v>
      </c>
      <c r="E30">
        <f>VLOOKUP($B30,INPUTdata!$A:$L, E$8, FALSE)</f>
        <v>0</v>
      </c>
      <c r="F30">
        <f>VLOOKUP($B30,INPUTdata!$A:$L, F$8, FALSE)</f>
        <v>0</v>
      </c>
      <c r="G30">
        <f>VLOOKUP($B30,INPUTdata!$A:$L, G$8, FALSE)</f>
        <v>74.930000000000007</v>
      </c>
      <c r="H30">
        <f>VLOOKUP($B30,INPUTdata!$A:$L, H$8, FALSE)</f>
        <v>-6.85</v>
      </c>
      <c r="I30">
        <f>VLOOKUP($B30,INPUTdata!$A:$L, I$8, FALSE)</f>
        <v>-23.48</v>
      </c>
      <c r="N30" s="21">
        <v>40</v>
      </c>
      <c r="O30" s="10">
        <v>10</v>
      </c>
      <c r="P30" s="10">
        <v>0</v>
      </c>
      <c r="Q30" s="10">
        <v>0</v>
      </c>
      <c r="R30" s="31" t="str">
        <f t="shared" si="0"/>
        <v/>
      </c>
    </row>
    <row r="31" spans="1:18" x14ac:dyDescent="0.25">
      <c r="A31">
        <v>21</v>
      </c>
      <c r="B31">
        <v>39</v>
      </c>
      <c r="C31">
        <f>VLOOKUP($B31,INPUTdata!$A:$L, C$8, FALSE)</f>
        <v>40</v>
      </c>
      <c r="D31">
        <f>VLOOKUP($B31,INPUTdata!$A:$L, D$8, FALSE)</f>
        <v>20</v>
      </c>
      <c r="E31">
        <f>VLOOKUP($B31,INPUTdata!$A:$L, E$8, FALSE)</f>
        <v>0</v>
      </c>
      <c r="F31">
        <f>VLOOKUP($B31,INPUTdata!$A:$L, F$8, FALSE)</f>
        <v>0</v>
      </c>
      <c r="G31">
        <f>VLOOKUP($B31,INPUTdata!$A:$L, G$8, FALSE)</f>
        <v>70.91</v>
      </c>
      <c r="H31">
        <f>VLOOKUP($B31,INPUTdata!$A:$L, H$8, FALSE)</f>
        <v>-1.1399999999999999</v>
      </c>
      <c r="I31">
        <f>VLOOKUP($B31,INPUTdata!$A:$L, I$8, FALSE)</f>
        <v>-23.78</v>
      </c>
      <c r="N31" s="21">
        <v>40</v>
      </c>
      <c r="O31" s="10">
        <v>20</v>
      </c>
      <c r="P31" s="10">
        <v>0</v>
      </c>
      <c r="Q31" s="10">
        <v>0</v>
      </c>
      <c r="R31" s="31" t="str">
        <f t="shared" si="0"/>
        <v/>
      </c>
    </row>
    <row r="32" spans="1:18" x14ac:dyDescent="0.25">
      <c r="A32">
        <v>22</v>
      </c>
      <c r="B32">
        <v>41</v>
      </c>
      <c r="C32">
        <f>VLOOKUP($B32,INPUTdata!$A:$L, C$8, FALSE)</f>
        <v>40</v>
      </c>
      <c r="D32">
        <f>VLOOKUP($B32,INPUTdata!$A:$L, D$8, FALSE)</f>
        <v>40</v>
      </c>
      <c r="E32">
        <f>VLOOKUP($B32,INPUTdata!$A:$L, E$8, FALSE)</f>
        <v>0</v>
      </c>
      <c r="F32">
        <f>VLOOKUP($B32,INPUTdata!$A:$L, F$8, FALSE)</f>
        <v>0</v>
      </c>
      <c r="G32">
        <f>VLOOKUP($B32,INPUTdata!$A:$L, G$8, FALSE)</f>
        <v>62.61</v>
      </c>
      <c r="H32">
        <f>VLOOKUP($B32,INPUTdata!$A:$L, H$8, FALSE)</f>
        <v>11.35</v>
      </c>
      <c r="I32">
        <f>VLOOKUP($B32,INPUTdata!$A:$L, I$8, FALSE)</f>
        <v>-24.11</v>
      </c>
      <c r="N32" s="21">
        <v>40</v>
      </c>
      <c r="O32" s="10">
        <v>40</v>
      </c>
      <c r="P32" s="10">
        <v>0</v>
      </c>
      <c r="Q32" s="10">
        <v>0</v>
      </c>
      <c r="R32" s="31" t="str">
        <f t="shared" si="0"/>
        <v/>
      </c>
    </row>
    <row r="33" spans="1:18" x14ac:dyDescent="0.25">
      <c r="A33">
        <v>23</v>
      </c>
      <c r="B33">
        <v>43</v>
      </c>
      <c r="C33">
        <f>VLOOKUP($B33,INPUTdata!$A:$L, C$8, FALSE)</f>
        <v>40</v>
      </c>
      <c r="D33">
        <f>VLOOKUP($B33,INPUTdata!$A:$L, D$8, FALSE)</f>
        <v>70</v>
      </c>
      <c r="E33">
        <f>VLOOKUP($B33,INPUTdata!$A:$L, E$8, FALSE)</f>
        <v>0</v>
      </c>
      <c r="F33">
        <f>VLOOKUP($B33,INPUTdata!$A:$L, F$8, FALSE)</f>
        <v>0</v>
      </c>
      <c r="G33">
        <f>VLOOKUP($B33,INPUTdata!$A:$L, G$8, FALSE)</f>
        <v>49.66</v>
      </c>
      <c r="H33">
        <f>VLOOKUP($B33,INPUTdata!$A:$L, H$8, FALSE)</f>
        <v>32.93</v>
      </c>
      <c r="I33">
        <f>VLOOKUP($B33,INPUTdata!$A:$L, I$8, FALSE)</f>
        <v>-23.47</v>
      </c>
      <c r="N33" s="21">
        <v>40</v>
      </c>
      <c r="O33" s="10">
        <v>70</v>
      </c>
      <c r="P33" s="10">
        <v>0</v>
      </c>
      <c r="Q33" s="10">
        <v>0</v>
      </c>
      <c r="R33" s="31" t="str">
        <f t="shared" si="0"/>
        <v/>
      </c>
    </row>
    <row r="34" spans="1:18" x14ac:dyDescent="0.25">
      <c r="A34">
        <v>24</v>
      </c>
      <c r="B34">
        <v>45</v>
      </c>
      <c r="C34">
        <f>VLOOKUP($B34,INPUTdata!$A:$L, C$8, FALSE)</f>
        <v>40</v>
      </c>
      <c r="D34">
        <f>VLOOKUP($B34,INPUTdata!$A:$L, D$8, FALSE)</f>
        <v>100</v>
      </c>
      <c r="E34">
        <f>VLOOKUP($B34,INPUTdata!$A:$L, E$8, FALSE)</f>
        <v>0</v>
      </c>
      <c r="F34">
        <f>VLOOKUP($B34,INPUTdata!$A:$L, F$8, FALSE)</f>
        <v>0</v>
      </c>
      <c r="G34">
        <f>VLOOKUP($B34,INPUTdata!$A:$L, G$8, FALSE)</f>
        <v>39.03</v>
      </c>
      <c r="H34">
        <f>VLOOKUP($B34,INPUTdata!$A:$L, H$8, FALSE)</f>
        <v>52.81</v>
      </c>
      <c r="I34">
        <f>VLOOKUP($B34,INPUTdata!$A:$L, I$8, FALSE)</f>
        <v>-21.85</v>
      </c>
      <c r="N34" s="21">
        <v>40</v>
      </c>
      <c r="O34" s="10">
        <v>100</v>
      </c>
      <c r="P34" s="10">
        <v>0</v>
      </c>
      <c r="Q34" s="10">
        <v>0</v>
      </c>
      <c r="R34" s="31" t="str">
        <f t="shared" si="0"/>
        <v/>
      </c>
    </row>
    <row r="35" spans="1:18" x14ac:dyDescent="0.25">
      <c r="A35">
        <v>25</v>
      </c>
      <c r="B35">
        <v>55</v>
      </c>
      <c r="C35">
        <f>VLOOKUP($B35,INPUTdata!$A:$L, C$8, FALSE)</f>
        <v>70</v>
      </c>
      <c r="D35">
        <f>VLOOKUP($B35,INPUTdata!$A:$L, D$8, FALSE)</f>
        <v>0</v>
      </c>
      <c r="E35">
        <f>VLOOKUP($B35,INPUTdata!$A:$L, E$8, FALSE)</f>
        <v>0</v>
      </c>
      <c r="F35">
        <f>VLOOKUP($B35,INPUTdata!$A:$L, F$8, FALSE)</f>
        <v>0</v>
      </c>
      <c r="G35">
        <f>VLOOKUP($B35,INPUTdata!$A:$L, G$8, FALSE)</f>
        <v>66.790000000000006</v>
      </c>
      <c r="H35">
        <f>VLOOKUP($B35,INPUTdata!$A:$L, H$8, FALSE)</f>
        <v>-25.16</v>
      </c>
      <c r="I35">
        <f>VLOOKUP($B35,INPUTdata!$A:$L, I$8, FALSE)</f>
        <v>-37.630000000000003</v>
      </c>
      <c r="N35" s="21">
        <v>70</v>
      </c>
      <c r="O35" s="10">
        <v>0</v>
      </c>
      <c r="P35" s="10">
        <v>0</v>
      </c>
      <c r="Q35" s="10">
        <v>0</v>
      </c>
      <c r="R35" s="31" t="str">
        <f t="shared" si="0"/>
        <v/>
      </c>
    </row>
    <row r="36" spans="1:18" x14ac:dyDescent="0.25">
      <c r="A36">
        <v>26</v>
      </c>
      <c r="B36">
        <v>56</v>
      </c>
      <c r="C36">
        <f>VLOOKUP($B36,INPUTdata!$A:$L, C$8, FALSE)</f>
        <v>70</v>
      </c>
      <c r="D36">
        <f>VLOOKUP($B36,INPUTdata!$A:$L, D$8, FALSE)</f>
        <v>10</v>
      </c>
      <c r="E36">
        <f>VLOOKUP($B36,INPUTdata!$A:$L, E$8, FALSE)</f>
        <v>0</v>
      </c>
      <c r="F36">
        <f>VLOOKUP($B36,INPUTdata!$A:$L, F$8, FALSE)</f>
        <v>0</v>
      </c>
      <c r="G36">
        <f>VLOOKUP($B36,INPUTdata!$A:$L, G$8, FALSE)</f>
        <v>63.23</v>
      </c>
      <c r="H36">
        <f>VLOOKUP($B36,INPUTdata!$A:$L, H$8, FALSE)</f>
        <v>-19.670000000000002</v>
      </c>
      <c r="I36">
        <f>VLOOKUP($B36,INPUTdata!$A:$L, I$8, FALSE)</f>
        <v>-37.4</v>
      </c>
      <c r="N36" s="21">
        <v>70</v>
      </c>
      <c r="O36" s="10">
        <v>10</v>
      </c>
      <c r="P36" s="10">
        <v>0</v>
      </c>
      <c r="Q36" s="10">
        <v>0</v>
      </c>
      <c r="R36" s="31" t="str">
        <f t="shared" si="0"/>
        <v/>
      </c>
    </row>
    <row r="37" spans="1:18" x14ac:dyDescent="0.25">
      <c r="A37">
        <v>27</v>
      </c>
      <c r="B37">
        <v>57</v>
      </c>
      <c r="C37">
        <f>VLOOKUP($B37,INPUTdata!$A:$L, C$8, FALSE)</f>
        <v>70</v>
      </c>
      <c r="D37">
        <f>VLOOKUP($B37,INPUTdata!$A:$L, D$8, FALSE)</f>
        <v>20</v>
      </c>
      <c r="E37">
        <f>VLOOKUP($B37,INPUTdata!$A:$L, E$8, FALSE)</f>
        <v>0</v>
      </c>
      <c r="F37">
        <f>VLOOKUP($B37,INPUTdata!$A:$L, F$8, FALSE)</f>
        <v>0</v>
      </c>
      <c r="G37">
        <f>VLOOKUP($B37,INPUTdata!$A:$L, G$8, FALSE)</f>
        <v>59.85</v>
      </c>
      <c r="H37">
        <f>VLOOKUP($B37,INPUTdata!$A:$L, H$8, FALSE)</f>
        <v>-14.41</v>
      </c>
      <c r="I37">
        <f>VLOOKUP($B37,INPUTdata!$A:$L, I$8, FALSE)</f>
        <v>-37.22</v>
      </c>
      <c r="N37" s="21">
        <v>70</v>
      </c>
      <c r="O37" s="10">
        <v>20</v>
      </c>
      <c r="P37" s="10">
        <v>0</v>
      </c>
      <c r="Q37" s="10">
        <v>0</v>
      </c>
      <c r="R37" s="31" t="str">
        <f t="shared" si="0"/>
        <v/>
      </c>
    </row>
    <row r="38" spans="1:18" x14ac:dyDescent="0.25">
      <c r="A38">
        <v>28</v>
      </c>
      <c r="B38">
        <v>59</v>
      </c>
      <c r="C38">
        <f>VLOOKUP($B38,INPUTdata!$A:$L, C$8, FALSE)</f>
        <v>70</v>
      </c>
      <c r="D38">
        <f>VLOOKUP($B38,INPUTdata!$A:$L, D$8, FALSE)</f>
        <v>40</v>
      </c>
      <c r="E38">
        <f>VLOOKUP($B38,INPUTdata!$A:$L, E$8, FALSE)</f>
        <v>0</v>
      </c>
      <c r="F38">
        <f>VLOOKUP($B38,INPUTdata!$A:$L, F$8, FALSE)</f>
        <v>0</v>
      </c>
      <c r="G38">
        <f>VLOOKUP($B38,INPUTdata!$A:$L, G$8, FALSE)</f>
        <v>52.76</v>
      </c>
      <c r="H38">
        <f>VLOOKUP($B38,INPUTdata!$A:$L, H$8, FALSE)</f>
        <v>-2.91</v>
      </c>
      <c r="I38">
        <f>VLOOKUP($B38,INPUTdata!$A:$L, I$8, FALSE)</f>
        <v>-36.75</v>
      </c>
      <c r="N38" s="21">
        <v>70</v>
      </c>
      <c r="O38" s="10">
        <v>40</v>
      </c>
      <c r="P38" s="10">
        <v>0</v>
      </c>
      <c r="Q38" s="10">
        <v>0</v>
      </c>
      <c r="R38" s="31" t="str">
        <f t="shared" si="0"/>
        <v/>
      </c>
    </row>
    <row r="39" spans="1:18" x14ac:dyDescent="0.25">
      <c r="A39">
        <v>29</v>
      </c>
      <c r="B39">
        <v>61</v>
      </c>
      <c r="C39">
        <f>VLOOKUP($B39,INPUTdata!$A:$L, C$8, FALSE)</f>
        <v>70</v>
      </c>
      <c r="D39">
        <f>VLOOKUP($B39,INPUTdata!$A:$L, D$8, FALSE)</f>
        <v>70</v>
      </c>
      <c r="E39">
        <f>VLOOKUP($B39,INPUTdata!$A:$L, E$8, FALSE)</f>
        <v>0</v>
      </c>
      <c r="F39">
        <f>VLOOKUP($B39,INPUTdata!$A:$L, F$8, FALSE)</f>
        <v>0</v>
      </c>
      <c r="G39">
        <f>VLOOKUP($B39,INPUTdata!$A:$L, G$8, FALSE)</f>
        <v>41.46</v>
      </c>
      <c r="H39">
        <f>VLOOKUP($B39,INPUTdata!$A:$L, H$8, FALSE)</f>
        <v>16.82</v>
      </c>
      <c r="I39">
        <f>VLOOKUP($B39,INPUTdata!$A:$L, I$8, FALSE)</f>
        <v>-35.880000000000003</v>
      </c>
      <c r="N39" s="21">
        <v>70</v>
      </c>
      <c r="O39" s="10">
        <v>70</v>
      </c>
      <c r="P39" s="10">
        <v>0</v>
      </c>
      <c r="Q39" s="10">
        <v>0</v>
      </c>
      <c r="R39" s="31" t="str">
        <f t="shared" si="0"/>
        <v/>
      </c>
    </row>
    <row r="40" spans="1:18" x14ac:dyDescent="0.25">
      <c r="A40">
        <v>30</v>
      </c>
      <c r="B40">
        <v>63</v>
      </c>
      <c r="C40">
        <f>VLOOKUP($B40,INPUTdata!$A:$L, C$8, FALSE)</f>
        <v>70</v>
      </c>
      <c r="D40">
        <f>VLOOKUP($B40,INPUTdata!$A:$L, D$8, FALSE)</f>
        <v>100</v>
      </c>
      <c r="E40">
        <f>VLOOKUP($B40,INPUTdata!$A:$L, E$8, FALSE)</f>
        <v>0</v>
      </c>
      <c r="F40">
        <f>VLOOKUP($B40,INPUTdata!$A:$L, F$8, FALSE)</f>
        <v>0</v>
      </c>
      <c r="G40">
        <f>VLOOKUP($B40,INPUTdata!$A:$L, G$8, FALSE)</f>
        <v>31.84</v>
      </c>
      <c r="H40">
        <f>VLOOKUP($B40,INPUTdata!$A:$L, H$8, FALSE)</f>
        <v>35.11</v>
      </c>
      <c r="I40">
        <f>VLOOKUP($B40,INPUTdata!$A:$L, I$8, FALSE)</f>
        <v>-35.020000000000003</v>
      </c>
      <c r="N40" s="21">
        <v>70</v>
      </c>
      <c r="O40" s="10">
        <v>100</v>
      </c>
      <c r="P40" s="10">
        <v>0</v>
      </c>
      <c r="Q40" s="10">
        <v>0</v>
      </c>
      <c r="R40" s="31" t="str">
        <f t="shared" si="0"/>
        <v/>
      </c>
    </row>
    <row r="41" spans="1:18" x14ac:dyDescent="0.25">
      <c r="A41">
        <v>31</v>
      </c>
      <c r="B41">
        <v>73</v>
      </c>
      <c r="C41">
        <f>VLOOKUP($B41,INPUTdata!$A:$L, C$8, FALSE)</f>
        <v>100</v>
      </c>
      <c r="D41">
        <f>VLOOKUP($B41,INPUTdata!$A:$L, D$8, FALSE)</f>
        <v>0</v>
      </c>
      <c r="E41">
        <f>VLOOKUP($B41,INPUTdata!$A:$L, E$8, FALSE)</f>
        <v>0</v>
      </c>
      <c r="F41">
        <f>VLOOKUP($B41,INPUTdata!$A:$L, F$8, FALSE)</f>
        <v>0</v>
      </c>
      <c r="G41">
        <f>VLOOKUP($B41,INPUTdata!$A:$L, G$8, FALSE)</f>
        <v>56</v>
      </c>
      <c r="H41">
        <f>VLOOKUP($B41,INPUTdata!$A:$L, H$8, FALSE)</f>
        <v>-37</v>
      </c>
      <c r="I41">
        <f>VLOOKUP($B41,INPUTdata!$A:$L, I$8, FALSE)</f>
        <v>-50</v>
      </c>
      <c r="N41" s="21">
        <v>100</v>
      </c>
      <c r="O41" s="10">
        <v>0</v>
      </c>
      <c r="P41" s="10">
        <v>0</v>
      </c>
      <c r="Q41" s="10">
        <v>0</v>
      </c>
      <c r="R41" s="31" t="str">
        <f t="shared" si="0"/>
        <v/>
      </c>
    </row>
    <row r="42" spans="1:18" x14ac:dyDescent="0.25">
      <c r="A42">
        <v>32</v>
      </c>
      <c r="B42">
        <v>74</v>
      </c>
      <c r="C42">
        <f>VLOOKUP($B42,INPUTdata!$A:$L, C$8, FALSE)</f>
        <v>100</v>
      </c>
      <c r="D42">
        <f>VLOOKUP($B42,INPUTdata!$A:$L, D$8, FALSE)</f>
        <v>10</v>
      </c>
      <c r="E42">
        <f>VLOOKUP($B42,INPUTdata!$A:$L, E$8, FALSE)</f>
        <v>0</v>
      </c>
      <c r="F42">
        <f>VLOOKUP($B42,INPUTdata!$A:$L, F$8, FALSE)</f>
        <v>0</v>
      </c>
      <c r="G42">
        <f>VLOOKUP($B42,INPUTdata!$A:$L, G$8, FALSE)</f>
        <v>53.07</v>
      </c>
      <c r="H42">
        <f>VLOOKUP($B42,INPUTdata!$A:$L, H$8, FALSE)</f>
        <v>-32.1</v>
      </c>
      <c r="I42">
        <f>VLOOKUP($B42,INPUTdata!$A:$L, I$8, FALSE)</f>
        <v>-49.14</v>
      </c>
      <c r="N42" s="21">
        <v>100</v>
      </c>
      <c r="O42" s="10">
        <v>10</v>
      </c>
      <c r="P42" s="10">
        <v>0</v>
      </c>
      <c r="Q42" s="10">
        <v>0</v>
      </c>
      <c r="R42" s="31" t="str">
        <f t="shared" si="0"/>
        <v/>
      </c>
    </row>
    <row r="43" spans="1:18" x14ac:dyDescent="0.25">
      <c r="A43">
        <v>33</v>
      </c>
      <c r="B43">
        <v>75</v>
      </c>
      <c r="C43">
        <f>VLOOKUP($B43,INPUTdata!$A:$L, C$8, FALSE)</f>
        <v>100</v>
      </c>
      <c r="D43">
        <f>VLOOKUP($B43,INPUTdata!$A:$L, D$8, FALSE)</f>
        <v>20</v>
      </c>
      <c r="E43">
        <f>VLOOKUP($B43,INPUTdata!$A:$L, E$8, FALSE)</f>
        <v>0</v>
      </c>
      <c r="F43">
        <f>VLOOKUP($B43,INPUTdata!$A:$L, F$8, FALSE)</f>
        <v>0</v>
      </c>
      <c r="G43">
        <f>VLOOKUP($B43,INPUTdata!$A:$L, G$8, FALSE)</f>
        <v>50.23</v>
      </c>
      <c r="H43">
        <f>VLOOKUP($B43,INPUTdata!$A:$L, H$8, FALSE)</f>
        <v>-27.18</v>
      </c>
      <c r="I43">
        <f>VLOOKUP($B43,INPUTdata!$A:$L, I$8, FALSE)</f>
        <v>-48.51</v>
      </c>
      <c r="N43" s="21">
        <v>100</v>
      </c>
      <c r="O43" s="10">
        <v>20</v>
      </c>
      <c r="P43" s="10">
        <v>0</v>
      </c>
      <c r="Q43" s="10">
        <v>0</v>
      </c>
      <c r="R43" s="31" t="str">
        <f t="shared" si="0"/>
        <v/>
      </c>
    </row>
    <row r="44" spans="1:18" x14ac:dyDescent="0.25">
      <c r="A44">
        <v>34</v>
      </c>
      <c r="B44">
        <v>77</v>
      </c>
      <c r="C44">
        <f>VLOOKUP($B44,INPUTdata!$A:$L, C$8, FALSE)</f>
        <v>100</v>
      </c>
      <c r="D44">
        <f>VLOOKUP($B44,INPUTdata!$A:$L, D$8, FALSE)</f>
        <v>40</v>
      </c>
      <c r="E44">
        <f>VLOOKUP($B44,INPUTdata!$A:$L, E$8, FALSE)</f>
        <v>0</v>
      </c>
      <c r="F44">
        <f>VLOOKUP($B44,INPUTdata!$A:$L, F$8, FALSE)</f>
        <v>0</v>
      </c>
      <c r="G44">
        <f>VLOOKUP($B44,INPUTdata!$A:$L, G$8, FALSE)</f>
        <v>44.12</v>
      </c>
      <c r="H44">
        <f>VLOOKUP($B44,INPUTdata!$A:$L, H$8, FALSE)</f>
        <v>-16.25</v>
      </c>
      <c r="I44">
        <f>VLOOKUP($B44,INPUTdata!$A:$L, I$8, FALSE)</f>
        <v>-47.39</v>
      </c>
      <c r="N44" s="21">
        <v>100</v>
      </c>
      <c r="O44" s="10">
        <v>40</v>
      </c>
      <c r="P44" s="10">
        <v>0</v>
      </c>
      <c r="Q44" s="10">
        <v>0</v>
      </c>
      <c r="R44" s="31" t="str">
        <f t="shared" si="0"/>
        <v/>
      </c>
    </row>
    <row r="45" spans="1:18" x14ac:dyDescent="0.25">
      <c r="A45">
        <v>35</v>
      </c>
      <c r="B45">
        <v>79</v>
      </c>
      <c r="C45">
        <f>VLOOKUP($B45,INPUTdata!$A:$L, C$8, FALSE)</f>
        <v>100</v>
      </c>
      <c r="D45">
        <f>VLOOKUP($B45,INPUTdata!$A:$L, D$8, FALSE)</f>
        <v>70</v>
      </c>
      <c r="E45">
        <f>VLOOKUP($B45,INPUTdata!$A:$L, E$8, FALSE)</f>
        <v>0</v>
      </c>
      <c r="F45">
        <f>VLOOKUP($B45,INPUTdata!$A:$L, F$8, FALSE)</f>
        <v>0</v>
      </c>
      <c r="G45">
        <f>VLOOKUP($B45,INPUTdata!$A:$L, G$8, FALSE)</f>
        <v>34.229999999999997</v>
      </c>
      <c r="H45">
        <f>VLOOKUP($B45,INPUTdata!$A:$L, H$8, FALSE)</f>
        <v>2.27</v>
      </c>
      <c r="I45">
        <f>VLOOKUP($B45,INPUTdata!$A:$L, I$8, FALSE)</f>
        <v>-46.2</v>
      </c>
      <c r="N45" s="21">
        <v>100</v>
      </c>
      <c r="O45" s="10">
        <v>70</v>
      </c>
      <c r="P45" s="10">
        <v>0</v>
      </c>
      <c r="Q45" s="10">
        <v>0</v>
      </c>
      <c r="R45" s="31" t="str">
        <f t="shared" si="0"/>
        <v/>
      </c>
    </row>
    <row r="46" spans="1:18" x14ac:dyDescent="0.25">
      <c r="A46">
        <v>36</v>
      </c>
      <c r="B46">
        <v>81</v>
      </c>
      <c r="C46">
        <f>VLOOKUP($B46,INPUTdata!$A:$L, C$8, FALSE)</f>
        <v>100</v>
      </c>
      <c r="D46">
        <f>VLOOKUP($B46,INPUTdata!$A:$L, D$8, FALSE)</f>
        <v>100</v>
      </c>
      <c r="E46">
        <f>VLOOKUP($B46,INPUTdata!$A:$L, E$8, FALSE)</f>
        <v>0</v>
      </c>
      <c r="F46">
        <f>VLOOKUP($B46,INPUTdata!$A:$L, F$8, FALSE)</f>
        <v>0</v>
      </c>
      <c r="G46">
        <f>VLOOKUP($B46,INPUTdata!$A:$L, G$8, FALSE)</f>
        <v>25</v>
      </c>
      <c r="H46">
        <f>VLOOKUP($B46,INPUTdata!$A:$L, H$8, FALSE)</f>
        <v>20</v>
      </c>
      <c r="I46">
        <f>VLOOKUP($B46,INPUTdata!$A:$L, I$8, FALSE)</f>
        <v>-46</v>
      </c>
      <c r="N46" s="21">
        <v>100</v>
      </c>
      <c r="O46" s="10">
        <v>100</v>
      </c>
      <c r="P46" s="10">
        <v>0</v>
      </c>
      <c r="Q46" s="10">
        <v>0</v>
      </c>
      <c r="R46" s="31" t="str">
        <f t="shared" si="0"/>
        <v/>
      </c>
    </row>
    <row r="47" spans="1:18" x14ac:dyDescent="0.25">
      <c r="A47">
        <v>37</v>
      </c>
      <c r="B47">
        <v>82</v>
      </c>
      <c r="C47">
        <f>VLOOKUP($B47,INPUTdata!$A:$L, C$8, FALSE)</f>
        <v>0</v>
      </c>
      <c r="D47">
        <f>VLOOKUP($B47,INPUTdata!$A:$L, D$8, FALSE)</f>
        <v>0</v>
      </c>
      <c r="E47">
        <f>VLOOKUP($B47,INPUTdata!$A:$L, E$8, FALSE)</f>
        <v>10</v>
      </c>
      <c r="F47">
        <f>VLOOKUP($B47,INPUTdata!$A:$L, F$8, FALSE)</f>
        <v>0</v>
      </c>
      <c r="G47">
        <f>VLOOKUP($B47,INPUTdata!$A:$L, G$8, FALSE)</f>
        <v>94.22</v>
      </c>
      <c r="H47">
        <f>VLOOKUP($B47,INPUTdata!$A:$L, H$8, FALSE)</f>
        <v>0.12</v>
      </c>
      <c r="I47">
        <f>VLOOKUP($B47,INPUTdata!$A:$L, I$8, FALSE)</f>
        <v>4.76</v>
      </c>
      <c r="N47" s="21">
        <v>0</v>
      </c>
      <c r="O47" s="10">
        <v>0</v>
      </c>
      <c r="P47" s="10">
        <v>10</v>
      </c>
      <c r="Q47" s="10">
        <v>0</v>
      </c>
      <c r="R47" s="31" t="str">
        <f t="shared" si="0"/>
        <v/>
      </c>
    </row>
    <row r="48" spans="1:18" x14ac:dyDescent="0.25">
      <c r="A48">
        <v>38</v>
      </c>
      <c r="B48">
        <v>83</v>
      </c>
      <c r="C48">
        <f>VLOOKUP($B48,INPUTdata!$A:$L, C$8, FALSE)</f>
        <v>0</v>
      </c>
      <c r="D48">
        <f>VLOOKUP($B48,INPUTdata!$A:$L, D$8, FALSE)</f>
        <v>10</v>
      </c>
      <c r="E48">
        <f>VLOOKUP($B48,INPUTdata!$A:$L, E$8, FALSE)</f>
        <v>10</v>
      </c>
      <c r="F48">
        <f>VLOOKUP($B48,INPUTdata!$A:$L, F$8, FALSE)</f>
        <v>0</v>
      </c>
      <c r="G48">
        <f>VLOOKUP($B48,INPUTdata!$A:$L, G$8, FALSE)</f>
        <v>89.26</v>
      </c>
      <c r="H48">
        <f>VLOOKUP($B48,INPUTdata!$A:$L, H$8, FALSE)</f>
        <v>6.85</v>
      </c>
      <c r="I48">
        <f>VLOOKUP($B48,INPUTdata!$A:$L, I$8, FALSE)</f>
        <v>3.27</v>
      </c>
      <c r="N48" s="21">
        <v>0</v>
      </c>
      <c r="O48" s="10">
        <v>10</v>
      </c>
      <c r="P48" s="10">
        <v>10</v>
      </c>
      <c r="Q48" s="10">
        <v>0</v>
      </c>
      <c r="R48" s="31" t="str">
        <f t="shared" si="0"/>
        <v/>
      </c>
    </row>
    <row r="49" spans="1:18" x14ac:dyDescent="0.25">
      <c r="A49">
        <v>39</v>
      </c>
      <c r="B49">
        <v>84</v>
      </c>
      <c r="C49">
        <f>VLOOKUP($B49,INPUTdata!$A:$L, C$8, FALSE)</f>
        <v>0</v>
      </c>
      <c r="D49">
        <f>VLOOKUP($B49,INPUTdata!$A:$L, D$8, FALSE)</f>
        <v>20</v>
      </c>
      <c r="E49">
        <f>VLOOKUP($B49,INPUTdata!$A:$L, E$8, FALSE)</f>
        <v>10</v>
      </c>
      <c r="F49">
        <f>VLOOKUP($B49,INPUTdata!$A:$L, F$8, FALSE)</f>
        <v>0</v>
      </c>
      <c r="G49">
        <f>VLOOKUP($B49,INPUTdata!$A:$L, G$8, FALSE)</f>
        <v>84.5</v>
      </c>
      <c r="H49">
        <f>VLOOKUP($B49,INPUTdata!$A:$L, H$8, FALSE)</f>
        <v>13.39</v>
      </c>
      <c r="I49">
        <f>VLOOKUP($B49,INPUTdata!$A:$L, I$8, FALSE)</f>
        <v>1.97</v>
      </c>
      <c r="N49" s="21">
        <v>0</v>
      </c>
      <c r="O49" s="10">
        <v>20</v>
      </c>
      <c r="P49" s="10">
        <v>10</v>
      </c>
      <c r="Q49" s="10">
        <v>0</v>
      </c>
      <c r="R49" s="31" t="str">
        <f t="shared" si="0"/>
        <v/>
      </c>
    </row>
    <row r="50" spans="1:18" x14ac:dyDescent="0.25">
      <c r="A50">
        <v>40</v>
      </c>
      <c r="B50">
        <v>86</v>
      </c>
      <c r="C50">
        <f>VLOOKUP($B50,INPUTdata!$A:$L, C$8, FALSE)</f>
        <v>0</v>
      </c>
      <c r="D50">
        <f>VLOOKUP($B50,INPUTdata!$A:$L, D$8, FALSE)</f>
        <v>40</v>
      </c>
      <c r="E50">
        <f>VLOOKUP($B50,INPUTdata!$A:$L, E$8, FALSE)</f>
        <v>10</v>
      </c>
      <c r="F50">
        <f>VLOOKUP($B50,INPUTdata!$A:$L, F$8, FALSE)</f>
        <v>0</v>
      </c>
      <c r="G50">
        <f>VLOOKUP($B50,INPUTdata!$A:$L, G$8, FALSE)</f>
        <v>74.73</v>
      </c>
      <c r="H50">
        <f>VLOOKUP($B50,INPUTdata!$A:$L, H$8, FALSE)</f>
        <v>27.53</v>
      </c>
      <c r="I50">
        <f>VLOOKUP($B50,INPUTdata!$A:$L, I$8, FALSE)</f>
        <v>0.06</v>
      </c>
      <c r="N50" s="21">
        <v>0</v>
      </c>
      <c r="O50" s="10">
        <v>40</v>
      </c>
      <c r="P50" s="10">
        <v>10</v>
      </c>
      <c r="Q50" s="10">
        <v>0</v>
      </c>
      <c r="R50" s="31" t="str">
        <f t="shared" si="0"/>
        <v/>
      </c>
    </row>
    <row r="51" spans="1:18" x14ac:dyDescent="0.25">
      <c r="A51">
        <v>41</v>
      </c>
      <c r="B51">
        <v>88</v>
      </c>
      <c r="C51">
        <f>VLOOKUP($B51,INPUTdata!$A:$L, C$8, FALSE)</f>
        <v>0</v>
      </c>
      <c r="D51">
        <f>VLOOKUP($B51,INPUTdata!$A:$L, D$8, FALSE)</f>
        <v>70</v>
      </c>
      <c r="E51">
        <f>VLOOKUP($B51,INPUTdata!$A:$L, E$8, FALSE)</f>
        <v>10</v>
      </c>
      <c r="F51">
        <f>VLOOKUP($B51,INPUTdata!$A:$L, F$8, FALSE)</f>
        <v>0</v>
      </c>
      <c r="G51">
        <f>VLOOKUP($B51,INPUTdata!$A:$L, G$8, FALSE)</f>
        <v>59.97</v>
      </c>
      <c r="H51">
        <f>VLOOKUP($B51,INPUTdata!$A:$L, H$8, FALSE)</f>
        <v>51.94</v>
      </c>
      <c r="I51">
        <f>VLOOKUP($B51,INPUTdata!$A:$L, I$8, FALSE)</f>
        <v>-0.71</v>
      </c>
      <c r="N51" s="21">
        <v>0</v>
      </c>
      <c r="O51" s="10">
        <v>70</v>
      </c>
      <c r="P51" s="10">
        <v>10</v>
      </c>
      <c r="Q51" s="10">
        <v>0</v>
      </c>
      <c r="R51" s="31" t="str">
        <f t="shared" si="0"/>
        <v/>
      </c>
    </row>
    <row r="52" spans="1:18" x14ac:dyDescent="0.25">
      <c r="A52">
        <v>42</v>
      </c>
      <c r="B52">
        <v>90</v>
      </c>
      <c r="C52">
        <f>VLOOKUP($B52,INPUTdata!$A:$L, C$8, FALSE)</f>
        <v>0</v>
      </c>
      <c r="D52">
        <f>VLOOKUP($B52,INPUTdata!$A:$L, D$8, FALSE)</f>
        <v>100</v>
      </c>
      <c r="E52">
        <f>VLOOKUP($B52,INPUTdata!$A:$L, E$8, FALSE)</f>
        <v>10</v>
      </c>
      <c r="F52">
        <f>VLOOKUP($B52,INPUTdata!$A:$L, F$8, FALSE)</f>
        <v>0</v>
      </c>
      <c r="G52">
        <f>VLOOKUP($B52,INPUTdata!$A:$L, G$8, FALSE)</f>
        <v>48.29</v>
      </c>
      <c r="H52">
        <f>VLOOKUP($B52,INPUTdata!$A:$L, H$8, FALSE)</f>
        <v>74.099999999999994</v>
      </c>
      <c r="I52">
        <f>VLOOKUP($B52,INPUTdata!$A:$L, I$8, FALSE)</f>
        <v>0.87</v>
      </c>
      <c r="N52" s="21">
        <v>0</v>
      </c>
      <c r="O52" s="10">
        <v>100</v>
      </c>
      <c r="P52" s="10">
        <v>10</v>
      </c>
      <c r="Q52" s="10">
        <v>0</v>
      </c>
      <c r="R52" s="31" t="str">
        <f t="shared" si="0"/>
        <v/>
      </c>
    </row>
    <row r="53" spans="1:18" x14ac:dyDescent="0.25">
      <c r="A53">
        <v>43</v>
      </c>
      <c r="B53">
        <v>91</v>
      </c>
      <c r="C53">
        <f>VLOOKUP($B53,INPUTdata!$A:$L, C$8, FALSE)</f>
        <v>10</v>
      </c>
      <c r="D53">
        <f>VLOOKUP($B53,INPUTdata!$A:$L, D$8, FALSE)</f>
        <v>0</v>
      </c>
      <c r="E53">
        <f>VLOOKUP($B53,INPUTdata!$A:$L, E$8, FALSE)</f>
        <v>10</v>
      </c>
      <c r="F53">
        <f>VLOOKUP($B53,INPUTdata!$A:$L, F$8, FALSE)</f>
        <v>0</v>
      </c>
      <c r="G53">
        <f>VLOOKUP($B53,INPUTdata!$A:$L, G$8, FALSE)</f>
        <v>90.27</v>
      </c>
      <c r="H53">
        <f>VLOOKUP($B53,INPUTdata!$A:$L, H$8, FALSE)</f>
        <v>-3.53</v>
      </c>
      <c r="I53">
        <f>VLOOKUP($B53,INPUTdata!$A:$L, I$8, FALSE)</f>
        <v>-0.18</v>
      </c>
      <c r="N53" s="21">
        <v>10</v>
      </c>
      <c r="O53" s="10">
        <v>0</v>
      </c>
      <c r="P53" s="10">
        <v>10</v>
      </c>
      <c r="Q53" s="10">
        <v>0</v>
      </c>
      <c r="R53" s="31" t="str">
        <f t="shared" si="0"/>
        <v/>
      </c>
    </row>
    <row r="54" spans="1:18" x14ac:dyDescent="0.25">
      <c r="A54">
        <v>44</v>
      </c>
      <c r="B54">
        <v>100</v>
      </c>
      <c r="C54">
        <f>VLOOKUP($B54,INPUTdata!$A:$L, C$8, FALSE)</f>
        <v>20</v>
      </c>
      <c r="D54">
        <f>VLOOKUP($B54,INPUTdata!$A:$L, D$8, FALSE)</f>
        <v>0</v>
      </c>
      <c r="E54">
        <f>VLOOKUP($B54,INPUTdata!$A:$L, E$8, FALSE)</f>
        <v>10</v>
      </c>
      <c r="F54">
        <f>VLOOKUP($B54,INPUTdata!$A:$L, F$8, FALSE)</f>
        <v>0</v>
      </c>
      <c r="G54">
        <f>VLOOKUP($B54,INPUTdata!$A:$L, G$8, FALSE)</f>
        <v>86.38</v>
      </c>
      <c r="H54">
        <f>VLOOKUP($B54,INPUTdata!$A:$L, H$8, FALSE)</f>
        <v>-7.13</v>
      </c>
      <c r="I54">
        <f>VLOOKUP($B54,INPUTdata!$A:$L, I$8, FALSE)</f>
        <v>-5</v>
      </c>
      <c r="N54" s="21">
        <v>20</v>
      </c>
      <c r="O54" s="10">
        <v>0</v>
      </c>
      <c r="P54" s="10">
        <v>10</v>
      </c>
      <c r="Q54" s="10">
        <v>0</v>
      </c>
      <c r="R54" s="31" t="str">
        <f t="shared" si="0"/>
        <v/>
      </c>
    </row>
    <row r="55" spans="1:18" x14ac:dyDescent="0.25">
      <c r="A55">
        <v>45</v>
      </c>
      <c r="B55">
        <v>118</v>
      </c>
      <c r="C55">
        <f>VLOOKUP($B55,INPUTdata!$A:$L, C$8, FALSE)</f>
        <v>40</v>
      </c>
      <c r="D55">
        <f>VLOOKUP($B55,INPUTdata!$A:$L, D$8, FALSE)</f>
        <v>0</v>
      </c>
      <c r="E55">
        <f>VLOOKUP($B55,INPUTdata!$A:$L, E$8, FALSE)</f>
        <v>10</v>
      </c>
      <c r="F55">
        <f>VLOOKUP($B55,INPUTdata!$A:$L, F$8, FALSE)</f>
        <v>0</v>
      </c>
      <c r="G55">
        <f>VLOOKUP($B55,INPUTdata!$A:$L, G$8, FALSE)</f>
        <v>78.55</v>
      </c>
      <c r="H55">
        <f>VLOOKUP($B55,INPUTdata!$A:$L, H$8, FALSE)</f>
        <v>-14.75</v>
      </c>
      <c r="I55">
        <f>VLOOKUP($B55,INPUTdata!$A:$L, I$8, FALSE)</f>
        <v>-14.77</v>
      </c>
      <c r="N55" s="21">
        <v>40</v>
      </c>
      <c r="O55" s="10">
        <v>0</v>
      </c>
      <c r="P55" s="10">
        <v>10</v>
      </c>
      <c r="Q55" s="10">
        <v>0</v>
      </c>
      <c r="R55" s="31" t="str">
        <f t="shared" si="0"/>
        <v/>
      </c>
    </row>
    <row r="56" spans="1:18" x14ac:dyDescent="0.25">
      <c r="A56">
        <v>46</v>
      </c>
      <c r="B56">
        <v>136</v>
      </c>
      <c r="C56">
        <f>VLOOKUP($B56,INPUTdata!$A:$L, C$8, FALSE)</f>
        <v>70</v>
      </c>
      <c r="D56">
        <f>VLOOKUP($B56,INPUTdata!$A:$L, D$8, FALSE)</f>
        <v>0</v>
      </c>
      <c r="E56">
        <f>VLOOKUP($B56,INPUTdata!$A:$L, E$8, FALSE)</f>
        <v>10</v>
      </c>
      <c r="F56">
        <f>VLOOKUP($B56,INPUTdata!$A:$L, F$8, FALSE)</f>
        <v>0</v>
      </c>
      <c r="G56">
        <f>VLOOKUP($B56,INPUTdata!$A:$L, G$8, FALSE)</f>
        <v>66.290000000000006</v>
      </c>
      <c r="H56">
        <f>VLOOKUP($B56,INPUTdata!$A:$L, H$8, FALSE)</f>
        <v>-28.26</v>
      </c>
      <c r="I56">
        <f>VLOOKUP($B56,INPUTdata!$A:$L, I$8, FALSE)</f>
        <v>-29.48</v>
      </c>
      <c r="N56" s="21">
        <v>70</v>
      </c>
      <c r="O56" s="10">
        <v>0</v>
      </c>
      <c r="P56" s="10">
        <v>10</v>
      </c>
      <c r="Q56" s="10">
        <v>0</v>
      </c>
      <c r="R56" s="31" t="str">
        <f t="shared" si="0"/>
        <v/>
      </c>
    </row>
    <row r="57" spans="1:18" x14ac:dyDescent="0.25">
      <c r="A57">
        <v>47</v>
      </c>
      <c r="B57">
        <v>154</v>
      </c>
      <c r="C57">
        <f>VLOOKUP($B57,INPUTdata!$A:$L, C$8, FALSE)</f>
        <v>100</v>
      </c>
      <c r="D57">
        <f>VLOOKUP($B57,INPUTdata!$A:$L, D$8, FALSE)</f>
        <v>0</v>
      </c>
      <c r="E57">
        <f>VLOOKUP($B57,INPUTdata!$A:$L, E$8, FALSE)</f>
        <v>10</v>
      </c>
      <c r="F57">
        <f>VLOOKUP($B57,INPUTdata!$A:$L, F$8, FALSE)</f>
        <v>0</v>
      </c>
      <c r="G57">
        <f>VLOOKUP($B57,INPUTdata!$A:$L, G$8, FALSE)</f>
        <v>55.58</v>
      </c>
      <c r="H57">
        <f>VLOOKUP($B57,INPUTdata!$A:$L, H$8, FALSE)</f>
        <v>-41.34</v>
      </c>
      <c r="I57">
        <f>VLOOKUP($B57,INPUTdata!$A:$L, I$8, FALSE)</f>
        <v>-42.01</v>
      </c>
      <c r="N57" s="21">
        <v>100</v>
      </c>
      <c r="O57" s="10">
        <v>0</v>
      </c>
      <c r="P57" s="10">
        <v>10</v>
      </c>
      <c r="Q57" s="10">
        <v>0</v>
      </c>
      <c r="R57" s="31" t="str">
        <f t="shared" si="0"/>
        <v/>
      </c>
    </row>
    <row r="58" spans="1:18" x14ac:dyDescent="0.25">
      <c r="A58">
        <v>48</v>
      </c>
      <c r="B58">
        <v>163</v>
      </c>
      <c r="C58">
        <f>VLOOKUP($B58,INPUTdata!$A:$L, C$8, FALSE)</f>
        <v>0</v>
      </c>
      <c r="D58">
        <f>VLOOKUP($B58,INPUTdata!$A:$L, D$8, FALSE)</f>
        <v>0</v>
      </c>
      <c r="E58">
        <f>VLOOKUP($B58,INPUTdata!$A:$L, E$8, FALSE)</f>
        <v>20</v>
      </c>
      <c r="F58">
        <f>VLOOKUP($B58,INPUTdata!$A:$L, F$8, FALSE)</f>
        <v>0</v>
      </c>
      <c r="G58">
        <f>VLOOKUP($B58,INPUTdata!$A:$L, G$8, FALSE)</f>
        <v>93.49</v>
      </c>
      <c r="H58">
        <f>VLOOKUP($B58,INPUTdata!$A:$L, H$8, FALSE)</f>
        <v>-0.71</v>
      </c>
      <c r="I58">
        <f>VLOOKUP($B58,INPUTdata!$A:$L, I$8, FALSE)</f>
        <v>13.36</v>
      </c>
      <c r="N58" s="21">
        <v>0</v>
      </c>
      <c r="O58" s="10">
        <v>0</v>
      </c>
      <c r="P58" s="10">
        <v>20</v>
      </c>
      <c r="Q58" s="10">
        <v>0</v>
      </c>
      <c r="R58" s="31" t="str">
        <f t="shared" si="0"/>
        <v/>
      </c>
    </row>
    <row r="59" spans="1:18" x14ac:dyDescent="0.25">
      <c r="A59">
        <v>49</v>
      </c>
      <c r="B59">
        <v>164</v>
      </c>
      <c r="C59">
        <f>VLOOKUP($B59,INPUTdata!$A:$L, C$8, FALSE)</f>
        <v>0</v>
      </c>
      <c r="D59">
        <f>VLOOKUP($B59,INPUTdata!$A:$L, D$8, FALSE)</f>
        <v>10</v>
      </c>
      <c r="E59">
        <f>VLOOKUP($B59,INPUTdata!$A:$L, E$8, FALSE)</f>
        <v>20</v>
      </c>
      <c r="F59">
        <f>VLOOKUP($B59,INPUTdata!$A:$L, F$8, FALSE)</f>
        <v>0</v>
      </c>
      <c r="G59">
        <f>VLOOKUP($B59,INPUTdata!$A:$L, G$8, FALSE)</f>
        <v>88.6</v>
      </c>
      <c r="H59">
        <f>VLOOKUP($B59,INPUTdata!$A:$L, H$8, FALSE)</f>
        <v>6.01</v>
      </c>
      <c r="I59">
        <f>VLOOKUP($B59,INPUTdata!$A:$L, I$8, FALSE)</f>
        <v>11.51</v>
      </c>
      <c r="N59" s="21">
        <v>0</v>
      </c>
      <c r="O59" s="10">
        <v>10</v>
      </c>
      <c r="P59" s="10">
        <v>20</v>
      </c>
      <c r="Q59" s="10">
        <v>0</v>
      </c>
      <c r="R59" s="31" t="str">
        <f t="shared" si="0"/>
        <v/>
      </c>
    </row>
    <row r="60" spans="1:18" x14ac:dyDescent="0.25">
      <c r="A60">
        <v>50</v>
      </c>
      <c r="B60">
        <v>165</v>
      </c>
      <c r="C60">
        <f>VLOOKUP($B60,INPUTdata!$A:$L, C$8, FALSE)</f>
        <v>0</v>
      </c>
      <c r="D60">
        <f>VLOOKUP($B60,INPUTdata!$A:$L, D$8, FALSE)</f>
        <v>20</v>
      </c>
      <c r="E60">
        <f>VLOOKUP($B60,INPUTdata!$A:$L, E$8, FALSE)</f>
        <v>20</v>
      </c>
      <c r="F60">
        <f>VLOOKUP($B60,INPUTdata!$A:$L, F$8, FALSE)</f>
        <v>0</v>
      </c>
      <c r="G60">
        <f>VLOOKUP($B60,INPUTdata!$A:$L, G$8, FALSE)</f>
        <v>83.95</v>
      </c>
      <c r="H60">
        <f>VLOOKUP($B60,INPUTdata!$A:$L, H$8, FALSE)</f>
        <v>12.54</v>
      </c>
      <c r="I60">
        <f>VLOOKUP($B60,INPUTdata!$A:$L, I$8, FALSE)</f>
        <v>9.9</v>
      </c>
      <c r="N60" s="21">
        <v>0</v>
      </c>
      <c r="O60" s="10">
        <v>20</v>
      </c>
      <c r="P60" s="10">
        <v>20</v>
      </c>
      <c r="Q60" s="10">
        <v>0</v>
      </c>
      <c r="R60" s="31" t="str">
        <f t="shared" si="0"/>
        <v/>
      </c>
    </row>
    <row r="61" spans="1:18" x14ac:dyDescent="0.25">
      <c r="A61">
        <v>51</v>
      </c>
      <c r="B61">
        <v>167</v>
      </c>
      <c r="C61">
        <f>VLOOKUP($B61,INPUTdata!$A:$L, C$8, FALSE)</f>
        <v>0</v>
      </c>
      <c r="D61">
        <f>VLOOKUP($B61,INPUTdata!$A:$L, D$8, FALSE)</f>
        <v>40</v>
      </c>
      <c r="E61">
        <f>VLOOKUP($B61,INPUTdata!$A:$L, E$8, FALSE)</f>
        <v>20</v>
      </c>
      <c r="F61">
        <f>VLOOKUP($B61,INPUTdata!$A:$L, F$8, FALSE)</f>
        <v>0</v>
      </c>
      <c r="G61">
        <f>VLOOKUP($B61,INPUTdata!$A:$L, G$8, FALSE)</f>
        <v>74.38</v>
      </c>
      <c r="H61">
        <f>VLOOKUP($B61,INPUTdata!$A:$L, H$8, FALSE)</f>
        <v>26.78</v>
      </c>
      <c r="I61">
        <f>VLOOKUP($B61,INPUTdata!$A:$L, I$8, FALSE)</f>
        <v>7.27</v>
      </c>
      <c r="N61" s="21">
        <v>0</v>
      </c>
      <c r="O61" s="10">
        <v>40</v>
      </c>
      <c r="P61" s="10">
        <v>20</v>
      </c>
      <c r="Q61" s="10">
        <v>0</v>
      </c>
      <c r="R61" s="31" t="str">
        <f t="shared" si="0"/>
        <v/>
      </c>
    </row>
    <row r="62" spans="1:18" x14ac:dyDescent="0.25">
      <c r="A62">
        <v>52</v>
      </c>
      <c r="B62">
        <v>169</v>
      </c>
      <c r="C62">
        <f>VLOOKUP($B62,INPUTdata!$A:$L, C$8, FALSE)</f>
        <v>0</v>
      </c>
      <c r="D62">
        <f>VLOOKUP($B62,INPUTdata!$A:$L, D$8, FALSE)</f>
        <v>70</v>
      </c>
      <c r="E62">
        <f>VLOOKUP($B62,INPUTdata!$A:$L, E$8, FALSE)</f>
        <v>20</v>
      </c>
      <c r="F62">
        <f>VLOOKUP($B62,INPUTdata!$A:$L, F$8, FALSE)</f>
        <v>0</v>
      </c>
      <c r="G62">
        <f>VLOOKUP($B62,INPUTdata!$A:$L, G$8, FALSE)</f>
        <v>59.91</v>
      </c>
      <c r="H62">
        <f>VLOOKUP($B62,INPUTdata!$A:$L, H$8, FALSE)</f>
        <v>51.04</v>
      </c>
      <c r="I62">
        <f>VLOOKUP($B62,INPUTdata!$A:$L, I$8, FALSE)</f>
        <v>5.29</v>
      </c>
      <c r="N62" s="21">
        <v>0</v>
      </c>
      <c r="O62" s="10">
        <v>70</v>
      </c>
      <c r="P62" s="10">
        <v>20</v>
      </c>
      <c r="Q62" s="10">
        <v>0</v>
      </c>
      <c r="R62" s="31" t="str">
        <f t="shared" si="0"/>
        <v/>
      </c>
    </row>
    <row r="63" spans="1:18" x14ac:dyDescent="0.25">
      <c r="A63">
        <v>53</v>
      </c>
      <c r="B63">
        <v>171</v>
      </c>
      <c r="C63">
        <f>VLOOKUP($B63,INPUTdata!$A:$L, C$8, FALSE)</f>
        <v>0</v>
      </c>
      <c r="D63">
        <f>VLOOKUP($B63,INPUTdata!$A:$L, D$8, FALSE)</f>
        <v>100</v>
      </c>
      <c r="E63">
        <f>VLOOKUP($B63,INPUTdata!$A:$L, E$8, FALSE)</f>
        <v>20</v>
      </c>
      <c r="F63">
        <f>VLOOKUP($B63,INPUTdata!$A:$L, F$8, FALSE)</f>
        <v>0</v>
      </c>
      <c r="G63">
        <f>VLOOKUP($B63,INPUTdata!$A:$L, G$8, FALSE)</f>
        <v>48.47</v>
      </c>
      <c r="H63">
        <f>VLOOKUP($B63,INPUTdata!$A:$L, H$8, FALSE)</f>
        <v>73.14</v>
      </c>
      <c r="I63">
        <f>VLOOKUP($B63,INPUTdata!$A:$L, I$8, FALSE)</f>
        <v>5.87</v>
      </c>
      <c r="N63" s="21">
        <v>0</v>
      </c>
      <c r="O63" s="10">
        <v>100</v>
      </c>
      <c r="P63" s="10">
        <v>20</v>
      </c>
      <c r="Q63" s="10">
        <v>0</v>
      </c>
      <c r="R63" s="31" t="str">
        <f t="shared" si="0"/>
        <v/>
      </c>
    </row>
    <row r="64" spans="1:18" x14ac:dyDescent="0.25">
      <c r="A64">
        <v>54</v>
      </c>
      <c r="B64">
        <v>172</v>
      </c>
      <c r="C64">
        <f>VLOOKUP($B64,INPUTdata!$A:$L, C$8, FALSE)</f>
        <v>10</v>
      </c>
      <c r="D64">
        <f>VLOOKUP($B64,INPUTdata!$A:$L, D$8, FALSE)</f>
        <v>0</v>
      </c>
      <c r="E64">
        <f>VLOOKUP($B64,INPUTdata!$A:$L, E$8, FALSE)</f>
        <v>20</v>
      </c>
      <c r="F64">
        <f>VLOOKUP($B64,INPUTdata!$A:$L, F$8, FALSE)</f>
        <v>0</v>
      </c>
      <c r="G64">
        <f>VLOOKUP($B64,INPUTdata!$A:$L, G$8, FALSE)</f>
        <v>89.58</v>
      </c>
      <c r="H64">
        <f>VLOOKUP($B64,INPUTdata!$A:$L, H$8, FALSE)</f>
        <v>-4.5599999999999996</v>
      </c>
      <c r="I64">
        <f>VLOOKUP($B64,INPUTdata!$A:$L, I$8, FALSE)</f>
        <v>8.31</v>
      </c>
      <c r="N64" s="21">
        <v>10</v>
      </c>
      <c r="O64" s="10">
        <v>0</v>
      </c>
      <c r="P64" s="10">
        <v>20</v>
      </c>
      <c r="Q64" s="10">
        <v>0</v>
      </c>
      <c r="R64" s="31" t="str">
        <f t="shared" si="0"/>
        <v/>
      </c>
    </row>
    <row r="65" spans="1:18" x14ac:dyDescent="0.25">
      <c r="A65">
        <v>55</v>
      </c>
      <c r="B65">
        <v>181</v>
      </c>
      <c r="C65">
        <f>VLOOKUP($B65,INPUTdata!$A:$L, C$8, FALSE)</f>
        <v>20</v>
      </c>
      <c r="D65">
        <f>VLOOKUP($B65,INPUTdata!$A:$L, D$8, FALSE)</f>
        <v>0</v>
      </c>
      <c r="E65">
        <f>VLOOKUP($B65,INPUTdata!$A:$L, E$8, FALSE)</f>
        <v>20</v>
      </c>
      <c r="F65">
        <f>VLOOKUP($B65,INPUTdata!$A:$L, F$8, FALSE)</f>
        <v>0</v>
      </c>
      <c r="G65">
        <f>VLOOKUP($B65,INPUTdata!$A:$L, G$8, FALSE)</f>
        <v>85.76</v>
      </c>
      <c r="H65">
        <f>VLOOKUP($B65,INPUTdata!$A:$L, H$8, FALSE)</f>
        <v>-8.3800000000000008</v>
      </c>
      <c r="I65">
        <f>VLOOKUP($B65,INPUTdata!$A:$L, I$8, FALSE)</f>
        <v>3.36</v>
      </c>
      <c r="N65" s="21">
        <v>20</v>
      </c>
      <c r="O65" s="10">
        <v>0</v>
      </c>
      <c r="P65" s="10">
        <v>20</v>
      </c>
      <c r="Q65" s="10">
        <v>0</v>
      </c>
      <c r="R65" s="31" t="str">
        <f t="shared" si="0"/>
        <v/>
      </c>
    </row>
    <row r="66" spans="1:18" x14ac:dyDescent="0.25">
      <c r="A66">
        <v>56</v>
      </c>
      <c r="B66">
        <v>199</v>
      </c>
      <c r="C66">
        <f>VLOOKUP($B66,INPUTdata!$A:$L, C$8, FALSE)</f>
        <v>40</v>
      </c>
      <c r="D66">
        <f>VLOOKUP($B66,INPUTdata!$A:$L, D$8, FALSE)</f>
        <v>0</v>
      </c>
      <c r="E66">
        <f>VLOOKUP($B66,INPUTdata!$A:$L, E$8, FALSE)</f>
        <v>20</v>
      </c>
      <c r="F66">
        <f>VLOOKUP($B66,INPUTdata!$A:$L, F$8, FALSE)</f>
        <v>0</v>
      </c>
      <c r="G66">
        <f>VLOOKUP($B66,INPUTdata!$A:$L, G$8, FALSE)</f>
        <v>77.98</v>
      </c>
      <c r="H66">
        <f>VLOOKUP($B66,INPUTdata!$A:$L, H$8, FALSE)</f>
        <v>-16.63</v>
      </c>
      <c r="I66">
        <f>VLOOKUP($B66,INPUTdata!$A:$L, I$8, FALSE)</f>
        <v>-6.56</v>
      </c>
      <c r="N66" s="21">
        <v>40</v>
      </c>
      <c r="O66" s="10">
        <v>0</v>
      </c>
      <c r="P66" s="10">
        <v>20</v>
      </c>
      <c r="Q66" s="10">
        <v>0</v>
      </c>
      <c r="R66" s="31" t="str">
        <f t="shared" si="0"/>
        <v/>
      </c>
    </row>
    <row r="67" spans="1:18" x14ac:dyDescent="0.25">
      <c r="A67">
        <v>57</v>
      </c>
      <c r="B67">
        <v>217</v>
      </c>
      <c r="C67">
        <f>VLOOKUP($B67,INPUTdata!$A:$L, C$8, FALSE)</f>
        <v>70</v>
      </c>
      <c r="D67">
        <f>VLOOKUP($B67,INPUTdata!$A:$L, D$8, FALSE)</f>
        <v>0</v>
      </c>
      <c r="E67">
        <f>VLOOKUP($B67,INPUTdata!$A:$L, E$8, FALSE)</f>
        <v>20</v>
      </c>
      <c r="F67">
        <f>VLOOKUP($B67,INPUTdata!$A:$L, F$8, FALSE)</f>
        <v>0</v>
      </c>
      <c r="G67">
        <f>VLOOKUP($B67,INPUTdata!$A:$L, G$8, FALSE)</f>
        <v>65.84</v>
      </c>
      <c r="H67">
        <f>VLOOKUP($B67,INPUTdata!$A:$L, H$8, FALSE)</f>
        <v>-31.02</v>
      </c>
      <c r="I67">
        <f>VLOOKUP($B67,INPUTdata!$A:$L, I$8, FALSE)</f>
        <v>-21.67</v>
      </c>
      <c r="N67" s="21">
        <v>70</v>
      </c>
      <c r="O67" s="10">
        <v>0</v>
      </c>
      <c r="P67" s="10">
        <v>20</v>
      </c>
      <c r="Q67" s="10">
        <v>0</v>
      </c>
      <c r="R67" s="31" t="str">
        <f t="shared" si="0"/>
        <v/>
      </c>
    </row>
    <row r="68" spans="1:18" x14ac:dyDescent="0.25">
      <c r="A68">
        <v>58</v>
      </c>
      <c r="B68">
        <v>235</v>
      </c>
      <c r="C68">
        <f>VLOOKUP($B68,INPUTdata!$A:$L, C$8, FALSE)</f>
        <v>100</v>
      </c>
      <c r="D68">
        <f>VLOOKUP($B68,INPUTdata!$A:$L, D$8, FALSE)</f>
        <v>0</v>
      </c>
      <c r="E68">
        <f>VLOOKUP($B68,INPUTdata!$A:$L, E$8, FALSE)</f>
        <v>20</v>
      </c>
      <c r="F68">
        <f>VLOOKUP($B68,INPUTdata!$A:$L, F$8, FALSE)</f>
        <v>0</v>
      </c>
      <c r="G68">
        <f>VLOOKUP($B68,INPUTdata!$A:$L, G$8, FALSE)</f>
        <v>55.21</v>
      </c>
      <c r="H68">
        <f>VLOOKUP($B68,INPUTdata!$A:$L, H$8, FALSE)</f>
        <v>-45.11</v>
      </c>
      <c r="I68">
        <f>VLOOKUP($B68,INPUTdata!$A:$L, I$8, FALSE)</f>
        <v>-34.450000000000003</v>
      </c>
      <c r="N68" s="21">
        <v>100</v>
      </c>
      <c r="O68" s="10">
        <v>0</v>
      </c>
      <c r="P68" s="10">
        <v>20</v>
      </c>
      <c r="Q68" s="10">
        <v>0</v>
      </c>
      <c r="R68" s="31" t="str">
        <f t="shared" si="0"/>
        <v/>
      </c>
    </row>
    <row r="69" spans="1:18" x14ac:dyDescent="0.25">
      <c r="A69">
        <v>59</v>
      </c>
      <c r="B69">
        <v>325</v>
      </c>
      <c r="C69">
        <f>VLOOKUP($B69,INPUTdata!$A:$L, C$8, FALSE)</f>
        <v>0</v>
      </c>
      <c r="D69">
        <f>VLOOKUP($B69,INPUTdata!$A:$L, D$8, FALSE)</f>
        <v>0</v>
      </c>
      <c r="E69">
        <f>VLOOKUP($B69,INPUTdata!$A:$L, E$8, FALSE)</f>
        <v>40</v>
      </c>
      <c r="F69">
        <f>VLOOKUP($B69,INPUTdata!$A:$L, F$8, FALSE)</f>
        <v>0</v>
      </c>
      <c r="G69">
        <f>VLOOKUP($B69,INPUTdata!$A:$L, G$8, FALSE)</f>
        <v>92.13</v>
      </c>
      <c r="H69">
        <f>VLOOKUP($B69,INPUTdata!$A:$L, H$8, FALSE)</f>
        <v>-2.16</v>
      </c>
      <c r="I69">
        <f>VLOOKUP($B69,INPUTdata!$A:$L, I$8, FALSE)</f>
        <v>31.6</v>
      </c>
      <c r="N69" s="21">
        <v>0</v>
      </c>
      <c r="O69" s="10">
        <v>0</v>
      </c>
      <c r="P69" s="10">
        <v>40</v>
      </c>
      <c r="Q69" s="10">
        <v>0</v>
      </c>
      <c r="R69" s="31" t="str">
        <f t="shared" si="0"/>
        <v/>
      </c>
    </row>
    <row r="70" spans="1:18" x14ac:dyDescent="0.25">
      <c r="A70">
        <v>60</v>
      </c>
      <c r="B70">
        <v>326</v>
      </c>
      <c r="C70">
        <f>VLOOKUP($B70,INPUTdata!$A:$L, C$8, FALSE)</f>
        <v>0</v>
      </c>
      <c r="D70">
        <f>VLOOKUP($B70,INPUTdata!$A:$L, D$8, FALSE)</f>
        <v>10</v>
      </c>
      <c r="E70">
        <f>VLOOKUP($B70,INPUTdata!$A:$L, E$8, FALSE)</f>
        <v>40</v>
      </c>
      <c r="F70">
        <f>VLOOKUP($B70,INPUTdata!$A:$L, F$8, FALSE)</f>
        <v>0</v>
      </c>
      <c r="G70">
        <f>VLOOKUP($B70,INPUTdata!$A:$L, G$8, FALSE)</f>
        <v>87.38</v>
      </c>
      <c r="H70">
        <f>VLOOKUP($B70,INPUTdata!$A:$L, H$8, FALSE)</f>
        <v>4.6500000000000004</v>
      </c>
      <c r="I70">
        <f>VLOOKUP($B70,INPUTdata!$A:$L, I$8, FALSE)</f>
        <v>28.98</v>
      </c>
      <c r="N70" s="21">
        <v>0</v>
      </c>
      <c r="O70" s="10">
        <v>10</v>
      </c>
      <c r="P70" s="10">
        <v>40</v>
      </c>
      <c r="Q70" s="10">
        <v>0</v>
      </c>
      <c r="R70" s="31" t="str">
        <f t="shared" si="0"/>
        <v/>
      </c>
    </row>
    <row r="71" spans="1:18" x14ac:dyDescent="0.25">
      <c r="A71">
        <v>61</v>
      </c>
      <c r="B71">
        <v>327</v>
      </c>
      <c r="C71">
        <f>VLOOKUP($B71,INPUTdata!$A:$L, C$8, FALSE)</f>
        <v>0</v>
      </c>
      <c r="D71">
        <f>VLOOKUP($B71,INPUTdata!$A:$L, D$8, FALSE)</f>
        <v>20</v>
      </c>
      <c r="E71">
        <f>VLOOKUP($B71,INPUTdata!$A:$L, E$8, FALSE)</f>
        <v>40</v>
      </c>
      <c r="F71">
        <f>VLOOKUP($B71,INPUTdata!$A:$L, F$8, FALSE)</f>
        <v>0</v>
      </c>
      <c r="G71">
        <f>VLOOKUP($B71,INPUTdata!$A:$L, G$8, FALSE)</f>
        <v>82.9</v>
      </c>
      <c r="H71">
        <f>VLOOKUP($B71,INPUTdata!$A:$L, H$8, FALSE)</f>
        <v>11.2</v>
      </c>
      <c r="I71">
        <f>VLOOKUP($B71,INPUTdata!$A:$L, I$8, FALSE)</f>
        <v>26.63</v>
      </c>
      <c r="N71" s="21">
        <v>0</v>
      </c>
      <c r="O71" s="10">
        <v>20</v>
      </c>
      <c r="P71" s="10">
        <v>40</v>
      </c>
      <c r="Q71" s="10">
        <v>0</v>
      </c>
      <c r="R71" s="31" t="str">
        <f t="shared" si="0"/>
        <v/>
      </c>
    </row>
    <row r="72" spans="1:18" x14ac:dyDescent="0.25">
      <c r="A72">
        <v>62</v>
      </c>
      <c r="B72">
        <v>329</v>
      </c>
      <c r="C72">
        <f>VLOOKUP($B72,INPUTdata!$A:$L, C$8, FALSE)</f>
        <v>0</v>
      </c>
      <c r="D72">
        <f>VLOOKUP($B72,INPUTdata!$A:$L, D$8, FALSE)</f>
        <v>40</v>
      </c>
      <c r="E72">
        <f>VLOOKUP($B72,INPUTdata!$A:$L, E$8, FALSE)</f>
        <v>40</v>
      </c>
      <c r="F72">
        <f>VLOOKUP($B72,INPUTdata!$A:$L, F$8, FALSE)</f>
        <v>0</v>
      </c>
      <c r="G72">
        <f>VLOOKUP($B72,INPUTdata!$A:$L, G$8, FALSE)</f>
        <v>73.680000000000007</v>
      </c>
      <c r="H72">
        <f>VLOOKUP($B72,INPUTdata!$A:$L, H$8, FALSE)</f>
        <v>25.38</v>
      </c>
      <c r="I72">
        <f>VLOOKUP($B72,INPUTdata!$A:$L, I$8, FALSE)</f>
        <v>22.21</v>
      </c>
      <c r="N72" s="21">
        <v>0</v>
      </c>
      <c r="O72" s="10">
        <v>40</v>
      </c>
      <c r="P72" s="10">
        <v>40</v>
      </c>
      <c r="Q72" s="10">
        <v>0</v>
      </c>
      <c r="R72" s="31" t="str">
        <f t="shared" si="0"/>
        <v/>
      </c>
    </row>
    <row r="73" spans="1:18" x14ac:dyDescent="0.25">
      <c r="A73">
        <v>63</v>
      </c>
      <c r="B73">
        <v>331</v>
      </c>
      <c r="C73">
        <f>VLOOKUP($B73,INPUTdata!$A:$L, C$8, FALSE)</f>
        <v>0</v>
      </c>
      <c r="D73">
        <f>VLOOKUP($B73,INPUTdata!$A:$L, D$8, FALSE)</f>
        <v>70</v>
      </c>
      <c r="E73">
        <f>VLOOKUP($B73,INPUTdata!$A:$L, E$8, FALSE)</f>
        <v>40</v>
      </c>
      <c r="F73">
        <f>VLOOKUP($B73,INPUTdata!$A:$L, F$8, FALSE)</f>
        <v>0</v>
      </c>
      <c r="G73">
        <f>VLOOKUP($B73,INPUTdata!$A:$L, G$8, FALSE)</f>
        <v>59.7</v>
      </c>
      <c r="H73">
        <f>VLOOKUP($B73,INPUTdata!$A:$L, H$8, FALSE)</f>
        <v>49.54</v>
      </c>
      <c r="I73">
        <f>VLOOKUP($B73,INPUTdata!$A:$L, I$8, FALSE)</f>
        <v>17.71</v>
      </c>
      <c r="N73" s="21">
        <v>0</v>
      </c>
      <c r="O73" s="10">
        <v>70</v>
      </c>
      <c r="P73" s="10">
        <v>40</v>
      </c>
      <c r="Q73" s="10">
        <v>0</v>
      </c>
      <c r="R73" s="31" t="str">
        <f t="shared" si="0"/>
        <v/>
      </c>
    </row>
    <row r="74" spans="1:18" x14ac:dyDescent="0.25">
      <c r="A74">
        <v>64</v>
      </c>
      <c r="B74">
        <v>333</v>
      </c>
      <c r="C74">
        <f>VLOOKUP($B74,INPUTdata!$A:$L, C$8, FALSE)</f>
        <v>0</v>
      </c>
      <c r="D74">
        <f>VLOOKUP($B74,INPUTdata!$A:$L, D$8, FALSE)</f>
        <v>100</v>
      </c>
      <c r="E74">
        <f>VLOOKUP($B74,INPUTdata!$A:$L, E$8, FALSE)</f>
        <v>40</v>
      </c>
      <c r="F74">
        <f>VLOOKUP($B74,INPUTdata!$A:$L, F$8, FALSE)</f>
        <v>0</v>
      </c>
      <c r="G74">
        <f>VLOOKUP($B74,INPUTdata!$A:$L, G$8, FALSE)</f>
        <v>48.61</v>
      </c>
      <c r="H74">
        <f>VLOOKUP($B74,INPUTdata!$A:$L, H$8, FALSE)</f>
        <v>71.459999999999994</v>
      </c>
      <c r="I74">
        <f>VLOOKUP($B74,INPUTdata!$A:$L, I$8, FALSE)</f>
        <v>16.14</v>
      </c>
      <c r="N74" s="21">
        <v>0</v>
      </c>
      <c r="O74" s="10">
        <v>100</v>
      </c>
      <c r="P74" s="10">
        <v>40</v>
      </c>
      <c r="Q74" s="10">
        <v>0</v>
      </c>
      <c r="R74" s="31" t="str">
        <f t="shared" si="0"/>
        <v/>
      </c>
    </row>
    <row r="75" spans="1:18" x14ac:dyDescent="0.25">
      <c r="A75">
        <v>65</v>
      </c>
      <c r="B75">
        <v>334</v>
      </c>
      <c r="C75">
        <f>VLOOKUP($B75,INPUTdata!$A:$L, C$8, FALSE)</f>
        <v>10</v>
      </c>
      <c r="D75">
        <f>VLOOKUP($B75,INPUTdata!$A:$L, D$8, FALSE)</f>
        <v>0</v>
      </c>
      <c r="E75">
        <f>VLOOKUP($B75,INPUTdata!$A:$L, E$8, FALSE)</f>
        <v>40</v>
      </c>
      <c r="F75">
        <f>VLOOKUP($B75,INPUTdata!$A:$L, F$8, FALSE)</f>
        <v>0</v>
      </c>
      <c r="G75">
        <f>VLOOKUP($B75,INPUTdata!$A:$L, G$8, FALSE)</f>
        <v>88.29</v>
      </c>
      <c r="H75">
        <f>VLOOKUP($B75,INPUTdata!$A:$L, H$8, FALSE)</f>
        <v>-6.45</v>
      </c>
      <c r="I75">
        <f>VLOOKUP($B75,INPUTdata!$A:$L, I$8, FALSE)</f>
        <v>26.23</v>
      </c>
      <c r="N75" s="21">
        <v>10</v>
      </c>
      <c r="O75" s="10">
        <v>0</v>
      </c>
      <c r="P75" s="10">
        <v>40</v>
      </c>
      <c r="Q75" s="10">
        <v>0</v>
      </c>
      <c r="R75" s="31" t="str">
        <f t="shared" si="0"/>
        <v/>
      </c>
    </row>
    <row r="76" spans="1:18" x14ac:dyDescent="0.25">
      <c r="A76">
        <v>66</v>
      </c>
      <c r="B76">
        <v>343</v>
      </c>
      <c r="C76">
        <f>VLOOKUP($B76,INPUTdata!$A:$L, C$8, FALSE)</f>
        <v>20</v>
      </c>
      <c r="D76">
        <f>VLOOKUP($B76,INPUTdata!$A:$L, D$8, FALSE)</f>
        <v>0</v>
      </c>
      <c r="E76">
        <f>VLOOKUP($B76,INPUTdata!$A:$L, E$8, FALSE)</f>
        <v>40</v>
      </c>
      <c r="F76">
        <f>VLOOKUP($B76,INPUTdata!$A:$L, F$8, FALSE)</f>
        <v>0</v>
      </c>
      <c r="G76">
        <f>VLOOKUP($B76,INPUTdata!$A:$L, G$8, FALSE)</f>
        <v>84.54</v>
      </c>
      <c r="H76">
        <f>VLOOKUP($B76,INPUTdata!$A:$L, H$8, FALSE)</f>
        <v>-10.68</v>
      </c>
      <c r="I76">
        <f>VLOOKUP($B76,INPUTdata!$A:$L, I$8, FALSE)</f>
        <v>21.05</v>
      </c>
      <c r="N76" s="21">
        <v>20</v>
      </c>
      <c r="O76" s="10">
        <v>0</v>
      </c>
      <c r="P76" s="10">
        <v>40</v>
      </c>
      <c r="Q76" s="10">
        <v>0</v>
      </c>
      <c r="R76" s="31" t="str">
        <f t="shared" ref="R76:R139" si="1">IF(AND(N76=C76,O76=D76,P76=E76,Q76=F76), "", 1)</f>
        <v/>
      </c>
    </row>
    <row r="77" spans="1:18" x14ac:dyDescent="0.25">
      <c r="A77">
        <v>67</v>
      </c>
      <c r="B77">
        <v>361</v>
      </c>
      <c r="C77">
        <f>VLOOKUP($B77,INPUTdata!$A:$L, C$8, FALSE)</f>
        <v>40</v>
      </c>
      <c r="D77">
        <f>VLOOKUP($B77,INPUTdata!$A:$L, D$8, FALSE)</f>
        <v>0</v>
      </c>
      <c r="E77">
        <f>VLOOKUP($B77,INPUTdata!$A:$L, E$8, FALSE)</f>
        <v>40</v>
      </c>
      <c r="F77">
        <f>VLOOKUP($B77,INPUTdata!$A:$L, F$8, FALSE)</f>
        <v>0</v>
      </c>
      <c r="G77">
        <f>VLOOKUP($B77,INPUTdata!$A:$L, G$8, FALSE)</f>
        <v>76.89</v>
      </c>
      <c r="H77">
        <f>VLOOKUP($B77,INPUTdata!$A:$L, H$8, FALSE)</f>
        <v>-19.940000000000001</v>
      </c>
      <c r="I77">
        <f>VLOOKUP($B77,INPUTdata!$A:$L, I$8, FALSE)</f>
        <v>10.51</v>
      </c>
      <c r="N77" s="21">
        <v>40</v>
      </c>
      <c r="O77" s="10">
        <v>0</v>
      </c>
      <c r="P77" s="10">
        <v>40</v>
      </c>
      <c r="Q77" s="10">
        <v>0</v>
      </c>
      <c r="R77" s="31" t="str">
        <f t="shared" si="1"/>
        <v/>
      </c>
    </row>
    <row r="78" spans="1:18" x14ac:dyDescent="0.25">
      <c r="A78">
        <v>68</v>
      </c>
      <c r="B78">
        <v>379</v>
      </c>
      <c r="C78">
        <f>VLOOKUP($B78,INPUTdata!$A:$L, C$8, FALSE)</f>
        <v>70</v>
      </c>
      <c r="D78">
        <f>VLOOKUP($B78,INPUTdata!$A:$L, D$8, FALSE)</f>
        <v>0</v>
      </c>
      <c r="E78">
        <f>VLOOKUP($B78,INPUTdata!$A:$L, E$8, FALSE)</f>
        <v>40</v>
      </c>
      <c r="F78">
        <f>VLOOKUP($B78,INPUTdata!$A:$L, F$8, FALSE)</f>
        <v>0</v>
      </c>
      <c r="G78">
        <f>VLOOKUP($B78,INPUTdata!$A:$L, G$8, FALSE)</f>
        <v>64.86</v>
      </c>
      <c r="H78">
        <f>VLOOKUP($B78,INPUTdata!$A:$L, H$8, FALSE)</f>
        <v>-36.11</v>
      </c>
      <c r="I78">
        <f>VLOOKUP($B78,INPUTdata!$A:$L, I$8, FALSE)</f>
        <v>-5.45</v>
      </c>
      <c r="N78" s="21">
        <v>70</v>
      </c>
      <c r="O78" s="10">
        <v>0</v>
      </c>
      <c r="P78" s="10">
        <v>40</v>
      </c>
      <c r="Q78" s="10">
        <v>0</v>
      </c>
      <c r="R78" s="31" t="str">
        <f t="shared" si="1"/>
        <v/>
      </c>
    </row>
    <row r="79" spans="1:18" x14ac:dyDescent="0.25">
      <c r="A79">
        <v>69</v>
      </c>
      <c r="B79">
        <v>397</v>
      </c>
      <c r="C79">
        <f>VLOOKUP($B79,INPUTdata!$A:$L, C$8, FALSE)</f>
        <v>100</v>
      </c>
      <c r="D79">
        <f>VLOOKUP($B79,INPUTdata!$A:$L, D$8, FALSE)</f>
        <v>0</v>
      </c>
      <c r="E79">
        <f>VLOOKUP($B79,INPUTdata!$A:$L, E$8, FALSE)</f>
        <v>40</v>
      </c>
      <c r="F79">
        <f>VLOOKUP($B79,INPUTdata!$A:$L, F$8, FALSE)</f>
        <v>0</v>
      </c>
      <c r="G79">
        <f>VLOOKUP($B79,INPUTdata!$A:$L, G$8, FALSE)</f>
        <v>54.26</v>
      </c>
      <c r="H79">
        <f>VLOOKUP($B79,INPUTdata!$A:$L, H$8, FALSE)</f>
        <v>-52.09</v>
      </c>
      <c r="I79">
        <f>VLOOKUP($B79,INPUTdata!$A:$L, I$8, FALSE)</f>
        <v>-19.059999999999999</v>
      </c>
      <c r="N79" s="21">
        <v>100</v>
      </c>
      <c r="O79" s="10">
        <v>0</v>
      </c>
      <c r="P79" s="10">
        <v>40</v>
      </c>
      <c r="Q79" s="10">
        <v>0</v>
      </c>
      <c r="R79" s="31" t="str">
        <f t="shared" si="1"/>
        <v/>
      </c>
    </row>
    <row r="80" spans="1:18" x14ac:dyDescent="0.25">
      <c r="A80">
        <v>70</v>
      </c>
      <c r="B80">
        <v>487</v>
      </c>
      <c r="C80">
        <f>VLOOKUP($B80,INPUTdata!$A:$L, C$8, FALSE)</f>
        <v>0</v>
      </c>
      <c r="D80">
        <f>VLOOKUP($B80,INPUTdata!$A:$L, D$8, FALSE)</f>
        <v>0</v>
      </c>
      <c r="E80">
        <f>VLOOKUP($B80,INPUTdata!$A:$L, E$8, FALSE)</f>
        <v>70</v>
      </c>
      <c r="F80">
        <f>VLOOKUP($B80,INPUTdata!$A:$L, F$8, FALSE)</f>
        <v>0</v>
      </c>
      <c r="G80">
        <f>VLOOKUP($B80,INPUTdata!$A:$L, G$8, FALSE)</f>
        <v>90.29</v>
      </c>
      <c r="H80">
        <f>VLOOKUP($B80,INPUTdata!$A:$L, H$8, FALSE)</f>
        <v>-3.55</v>
      </c>
      <c r="I80">
        <f>VLOOKUP($B80,INPUTdata!$A:$L, I$8, FALSE)</f>
        <v>62.44</v>
      </c>
      <c r="N80" s="21">
        <v>0</v>
      </c>
      <c r="O80" s="10">
        <v>0</v>
      </c>
      <c r="P80" s="10">
        <v>70</v>
      </c>
      <c r="Q80" s="10">
        <v>0</v>
      </c>
      <c r="R80" s="31" t="str">
        <f t="shared" si="1"/>
        <v/>
      </c>
    </row>
    <row r="81" spans="1:18" x14ac:dyDescent="0.25">
      <c r="A81">
        <v>71</v>
      </c>
      <c r="B81">
        <v>488</v>
      </c>
      <c r="C81">
        <f>VLOOKUP($B81,INPUTdata!$A:$L, C$8, FALSE)</f>
        <v>0</v>
      </c>
      <c r="D81">
        <f>VLOOKUP($B81,INPUTdata!$A:$L, D$8, FALSE)</f>
        <v>10</v>
      </c>
      <c r="E81">
        <f>VLOOKUP($B81,INPUTdata!$A:$L, E$8, FALSE)</f>
        <v>70</v>
      </c>
      <c r="F81">
        <f>VLOOKUP($B81,INPUTdata!$A:$L, F$8, FALSE)</f>
        <v>0</v>
      </c>
      <c r="G81">
        <f>VLOOKUP($B81,INPUTdata!$A:$L, G$8, FALSE)</f>
        <v>85.69</v>
      </c>
      <c r="H81">
        <f>VLOOKUP($B81,INPUTdata!$A:$L, H$8, FALSE)</f>
        <v>3.32</v>
      </c>
      <c r="I81">
        <f>VLOOKUP($B81,INPUTdata!$A:$L, I$8, FALSE)</f>
        <v>58.28</v>
      </c>
      <c r="N81" s="21">
        <v>0</v>
      </c>
      <c r="O81" s="10">
        <v>10</v>
      </c>
      <c r="P81" s="10">
        <v>70</v>
      </c>
      <c r="Q81" s="10">
        <v>0</v>
      </c>
      <c r="R81" s="31" t="str">
        <f t="shared" si="1"/>
        <v/>
      </c>
    </row>
    <row r="82" spans="1:18" x14ac:dyDescent="0.25">
      <c r="A82">
        <v>72</v>
      </c>
      <c r="B82">
        <v>489</v>
      </c>
      <c r="C82">
        <f>VLOOKUP($B82,INPUTdata!$A:$L, C$8, FALSE)</f>
        <v>0</v>
      </c>
      <c r="D82">
        <f>VLOOKUP($B82,INPUTdata!$A:$L, D$8, FALSE)</f>
        <v>20</v>
      </c>
      <c r="E82">
        <f>VLOOKUP($B82,INPUTdata!$A:$L, E$8, FALSE)</f>
        <v>70</v>
      </c>
      <c r="F82">
        <f>VLOOKUP($B82,INPUTdata!$A:$L, F$8, FALSE)</f>
        <v>0</v>
      </c>
      <c r="G82">
        <f>VLOOKUP($B82,INPUTdata!$A:$L, G$8, FALSE)</f>
        <v>81.38</v>
      </c>
      <c r="H82">
        <f>VLOOKUP($B82,INPUTdata!$A:$L, H$8, FALSE)</f>
        <v>9.8699999999999992</v>
      </c>
      <c r="I82">
        <f>VLOOKUP($B82,INPUTdata!$A:$L, I$8, FALSE)</f>
        <v>54.53</v>
      </c>
      <c r="N82" s="21">
        <v>0</v>
      </c>
      <c r="O82" s="10">
        <v>20</v>
      </c>
      <c r="P82" s="10">
        <v>70</v>
      </c>
      <c r="Q82" s="10">
        <v>0</v>
      </c>
      <c r="R82" s="31" t="str">
        <f t="shared" si="1"/>
        <v/>
      </c>
    </row>
    <row r="83" spans="1:18" x14ac:dyDescent="0.25">
      <c r="A83">
        <v>73</v>
      </c>
      <c r="B83">
        <v>491</v>
      </c>
      <c r="C83">
        <f>VLOOKUP($B83,INPUTdata!$A:$L, C$8, FALSE)</f>
        <v>0</v>
      </c>
      <c r="D83">
        <f>VLOOKUP($B83,INPUTdata!$A:$L, D$8, FALSE)</f>
        <v>40</v>
      </c>
      <c r="E83">
        <f>VLOOKUP($B83,INPUTdata!$A:$L, E$8, FALSE)</f>
        <v>70</v>
      </c>
      <c r="F83">
        <f>VLOOKUP($B83,INPUTdata!$A:$L, F$8, FALSE)</f>
        <v>0</v>
      </c>
      <c r="G83">
        <f>VLOOKUP($B83,INPUTdata!$A:$L, G$8, FALSE)</f>
        <v>72.489999999999995</v>
      </c>
      <c r="H83">
        <f>VLOOKUP($B83,INPUTdata!$A:$L, H$8, FALSE)</f>
        <v>24.04</v>
      </c>
      <c r="I83">
        <f>VLOOKUP($B83,INPUTdata!$A:$L, I$8, FALSE)</f>
        <v>47.27</v>
      </c>
      <c r="N83" s="21">
        <v>0</v>
      </c>
      <c r="O83" s="10">
        <v>40</v>
      </c>
      <c r="P83" s="10">
        <v>70</v>
      </c>
      <c r="Q83" s="10">
        <v>0</v>
      </c>
      <c r="R83" s="31" t="str">
        <f t="shared" si="1"/>
        <v/>
      </c>
    </row>
    <row r="84" spans="1:18" x14ac:dyDescent="0.25">
      <c r="A84">
        <v>74</v>
      </c>
      <c r="B84">
        <v>493</v>
      </c>
      <c r="C84">
        <f>VLOOKUP($B84,INPUTdata!$A:$L, C$8, FALSE)</f>
        <v>0</v>
      </c>
      <c r="D84">
        <f>VLOOKUP($B84,INPUTdata!$A:$L, D$8, FALSE)</f>
        <v>70</v>
      </c>
      <c r="E84">
        <f>VLOOKUP($B84,INPUTdata!$A:$L, E$8, FALSE)</f>
        <v>70</v>
      </c>
      <c r="F84">
        <f>VLOOKUP($B84,INPUTdata!$A:$L, F$8, FALSE)</f>
        <v>0</v>
      </c>
      <c r="G84">
        <f>VLOOKUP($B84,INPUTdata!$A:$L, G$8, FALSE)</f>
        <v>59.01</v>
      </c>
      <c r="H84">
        <f>VLOOKUP($B84,INPUTdata!$A:$L, H$8, FALSE)</f>
        <v>47.84</v>
      </c>
      <c r="I84">
        <f>VLOOKUP($B84,INPUTdata!$A:$L, I$8, FALSE)</f>
        <v>37.979999999999997</v>
      </c>
      <c r="N84" s="21">
        <v>0</v>
      </c>
      <c r="O84" s="10">
        <v>70</v>
      </c>
      <c r="P84" s="10">
        <v>70</v>
      </c>
      <c r="Q84" s="10">
        <v>0</v>
      </c>
      <c r="R84" s="31" t="str">
        <f t="shared" si="1"/>
        <v/>
      </c>
    </row>
    <row r="85" spans="1:18" x14ac:dyDescent="0.25">
      <c r="A85">
        <v>75</v>
      </c>
      <c r="B85">
        <v>495</v>
      </c>
      <c r="C85">
        <f>VLOOKUP($B85,INPUTdata!$A:$L, C$8, FALSE)</f>
        <v>0</v>
      </c>
      <c r="D85">
        <f>VLOOKUP($B85,INPUTdata!$A:$L, D$8, FALSE)</f>
        <v>100</v>
      </c>
      <c r="E85">
        <f>VLOOKUP($B85,INPUTdata!$A:$L, E$8, FALSE)</f>
        <v>70</v>
      </c>
      <c r="F85">
        <f>VLOOKUP($B85,INPUTdata!$A:$L, F$8, FALSE)</f>
        <v>0</v>
      </c>
      <c r="G85">
        <f>VLOOKUP($B85,INPUTdata!$A:$L, G$8, FALSE)</f>
        <v>48.25</v>
      </c>
      <c r="H85">
        <f>VLOOKUP($B85,INPUTdata!$A:$L, H$8, FALSE)</f>
        <v>69.27</v>
      </c>
      <c r="I85">
        <f>VLOOKUP($B85,INPUTdata!$A:$L, I$8, FALSE)</f>
        <v>32.31</v>
      </c>
      <c r="N85" s="21">
        <v>0</v>
      </c>
      <c r="O85" s="10">
        <v>100</v>
      </c>
      <c r="P85" s="10">
        <v>70</v>
      </c>
      <c r="Q85" s="10">
        <v>0</v>
      </c>
      <c r="R85" s="31" t="str">
        <f t="shared" si="1"/>
        <v/>
      </c>
    </row>
    <row r="86" spans="1:18" x14ac:dyDescent="0.25">
      <c r="A86">
        <v>76</v>
      </c>
      <c r="B86">
        <v>496</v>
      </c>
      <c r="C86">
        <f>VLOOKUP($B86,INPUTdata!$A:$L, C$8, FALSE)</f>
        <v>10</v>
      </c>
      <c r="D86">
        <f>VLOOKUP($B86,INPUTdata!$A:$L, D$8, FALSE)</f>
        <v>0</v>
      </c>
      <c r="E86">
        <f>VLOOKUP($B86,INPUTdata!$A:$L, E$8, FALSE)</f>
        <v>70</v>
      </c>
      <c r="F86">
        <f>VLOOKUP($B86,INPUTdata!$A:$L, F$8, FALSE)</f>
        <v>0</v>
      </c>
      <c r="G86">
        <f>VLOOKUP($B86,INPUTdata!$A:$L, G$8, FALSE)</f>
        <v>86.53</v>
      </c>
      <c r="H86">
        <f>VLOOKUP($B86,INPUTdata!$A:$L, H$8, FALSE)</f>
        <v>-8.34</v>
      </c>
      <c r="I86">
        <f>VLOOKUP($B86,INPUTdata!$A:$L, I$8, FALSE)</f>
        <v>56.4</v>
      </c>
      <c r="N86" s="21">
        <v>10</v>
      </c>
      <c r="O86" s="10">
        <v>0</v>
      </c>
      <c r="P86" s="10">
        <v>70</v>
      </c>
      <c r="Q86" s="10">
        <v>0</v>
      </c>
      <c r="R86" s="31" t="str">
        <f t="shared" si="1"/>
        <v/>
      </c>
    </row>
    <row r="87" spans="1:18" x14ac:dyDescent="0.25">
      <c r="A87">
        <v>77</v>
      </c>
      <c r="B87">
        <v>505</v>
      </c>
      <c r="C87">
        <f>VLOOKUP($B87,INPUTdata!$A:$L, C$8, FALSE)</f>
        <v>20</v>
      </c>
      <c r="D87">
        <f>VLOOKUP($B87,INPUTdata!$A:$L, D$8, FALSE)</f>
        <v>0</v>
      </c>
      <c r="E87">
        <f>VLOOKUP($B87,INPUTdata!$A:$L, E$8, FALSE)</f>
        <v>70</v>
      </c>
      <c r="F87">
        <f>VLOOKUP($B87,INPUTdata!$A:$L, F$8, FALSE)</f>
        <v>0</v>
      </c>
      <c r="G87">
        <f>VLOOKUP($B87,INPUTdata!$A:$L, G$8, FALSE)</f>
        <v>82.85</v>
      </c>
      <c r="H87">
        <f>VLOOKUP($B87,INPUTdata!$A:$L, H$8, FALSE)</f>
        <v>-13.04</v>
      </c>
      <c r="I87">
        <f>VLOOKUP($B87,INPUTdata!$A:$L, I$8, FALSE)</f>
        <v>50.55</v>
      </c>
      <c r="N87" s="21">
        <v>20</v>
      </c>
      <c r="O87" s="10">
        <v>0</v>
      </c>
      <c r="P87" s="10">
        <v>70</v>
      </c>
      <c r="Q87" s="10">
        <v>0</v>
      </c>
      <c r="R87" s="31" t="str">
        <f t="shared" si="1"/>
        <v/>
      </c>
    </row>
    <row r="88" spans="1:18" x14ac:dyDescent="0.25">
      <c r="A88">
        <v>78</v>
      </c>
      <c r="B88">
        <v>523</v>
      </c>
      <c r="C88">
        <f>VLOOKUP($B88,INPUTdata!$A:$L, C$8, FALSE)</f>
        <v>40</v>
      </c>
      <c r="D88">
        <f>VLOOKUP($B88,INPUTdata!$A:$L, D$8, FALSE)</f>
        <v>0</v>
      </c>
      <c r="E88">
        <f>VLOOKUP($B88,INPUTdata!$A:$L, E$8, FALSE)</f>
        <v>70</v>
      </c>
      <c r="F88">
        <f>VLOOKUP($B88,INPUTdata!$A:$L, F$8, FALSE)</f>
        <v>0</v>
      </c>
      <c r="G88">
        <f>VLOOKUP($B88,INPUTdata!$A:$L, G$8, FALSE)</f>
        <v>75.260000000000005</v>
      </c>
      <c r="H88">
        <f>VLOOKUP($B88,INPUTdata!$A:$L, H$8, FALSE)</f>
        <v>-23.41</v>
      </c>
      <c r="I88">
        <f>VLOOKUP($B88,INPUTdata!$A:$L, I$8, FALSE)</f>
        <v>38.700000000000003</v>
      </c>
      <c r="N88" s="21">
        <v>40</v>
      </c>
      <c r="O88" s="10">
        <v>0</v>
      </c>
      <c r="P88" s="10">
        <v>70</v>
      </c>
      <c r="Q88" s="10">
        <v>0</v>
      </c>
      <c r="R88" s="31" t="str">
        <f t="shared" si="1"/>
        <v/>
      </c>
    </row>
    <row r="89" spans="1:18" x14ac:dyDescent="0.25">
      <c r="A89">
        <v>79</v>
      </c>
      <c r="B89">
        <v>541</v>
      </c>
      <c r="C89">
        <f>VLOOKUP($B89,INPUTdata!$A:$L, C$8, FALSE)</f>
        <v>70</v>
      </c>
      <c r="D89">
        <f>VLOOKUP($B89,INPUTdata!$A:$L, D$8, FALSE)</f>
        <v>0</v>
      </c>
      <c r="E89">
        <f>VLOOKUP($B89,INPUTdata!$A:$L, E$8, FALSE)</f>
        <v>70</v>
      </c>
      <c r="F89">
        <f>VLOOKUP($B89,INPUTdata!$A:$L, F$8, FALSE)</f>
        <v>0</v>
      </c>
      <c r="G89">
        <f>VLOOKUP($B89,INPUTdata!$A:$L, G$8, FALSE)</f>
        <v>63.25</v>
      </c>
      <c r="H89">
        <f>VLOOKUP($B89,INPUTdata!$A:$L, H$8, FALSE)</f>
        <v>-41.99</v>
      </c>
      <c r="I89">
        <f>VLOOKUP($B89,INPUTdata!$A:$L, I$8, FALSE)</f>
        <v>20.43</v>
      </c>
      <c r="N89" s="21">
        <v>70</v>
      </c>
      <c r="O89" s="10">
        <v>0</v>
      </c>
      <c r="P89" s="10">
        <v>70</v>
      </c>
      <c r="Q89" s="10">
        <v>0</v>
      </c>
      <c r="R89" s="31" t="str">
        <f t="shared" si="1"/>
        <v/>
      </c>
    </row>
    <row r="90" spans="1:18" x14ac:dyDescent="0.25">
      <c r="A90">
        <v>80</v>
      </c>
      <c r="B90">
        <v>559</v>
      </c>
      <c r="C90">
        <f>VLOOKUP($B90,INPUTdata!$A:$L, C$8, FALSE)</f>
        <v>100</v>
      </c>
      <c r="D90">
        <f>VLOOKUP($B90,INPUTdata!$A:$L, D$8, FALSE)</f>
        <v>0</v>
      </c>
      <c r="E90">
        <f>VLOOKUP($B90,INPUTdata!$A:$L, E$8, FALSE)</f>
        <v>70</v>
      </c>
      <c r="F90">
        <f>VLOOKUP($B90,INPUTdata!$A:$L, F$8, FALSE)</f>
        <v>0</v>
      </c>
      <c r="G90">
        <f>VLOOKUP($B90,INPUTdata!$A:$L, G$8, FALSE)</f>
        <v>52.46</v>
      </c>
      <c r="H90">
        <f>VLOOKUP($B90,INPUTdata!$A:$L, H$8, FALSE)</f>
        <v>-60.77</v>
      </c>
      <c r="I90">
        <f>VLOOKUP($B90,INPUTdata!$A:$L, I$8, FALSE)</f>
        <v>4.59</v>
      </c>
      <c r="N90" s="21">
        <v>100</v>
      </c>
      <c r="O90" s="10">
        <v>0</v>
      </c>
      <c r="P90" s="10">
        <v>70</v>
      </c>
      <c r="Q90" s="10">
        <v>0</v>
      </c>
      <c r="R90" s="31" t="str">
        <f t="shared" si="1"/>
        <v/>
      </c>
    </row>
    <row r="91" spans="1:18" x14ac:dyDescent="0.25">
      <c r="A91">
        <v>81</v>
      </c>
      <c r="B91">
        <v>649</v>
      </c>
      <c r="C91">
        <f>VLOOKUP($B91,INPUTdata!$A:$L, C$8, FALSE)</f>
        <v>0</v>
      </c>
      <c r="D91">
        <f>VLOOKUP($B91,INPUTdata!$A:$L, D$8, FALSE)</f>
        <v>0</v>
      </c>
      <c r="E91">
        <f>VLOOKUP($B91,INPUTdata!$A:$L, E$8, FALSE)</f>
        <v>100</v>
      </c>
      <c r="F91">
        <f>VLOOKUP($B91,INPUTdata!$A:$L, F$8, FALSE)</f>
        <v>0</v>
      </c>
      <c r="G91">
        <f>VLOOKUP($B91,INPUTdata!$A:$L, G$8, FALSE)</f>
        <v>89</v>
      </c>
      <c r="H91">
        <f>VLOOKUP($B91,INPUTdata!$A:$L, H$8, FALSE)</f>
        <v>-4</v>
      </c>
      <c r="I91">
        <f>VLOOKUP($B91,INPUTdata!$A:$L, I$8, FALSE)</f>
        <v>93</v>
      </c>
      <c r="N91" s="21">
        <v>0</v>
      </c>
      <c r="O91" s="10">
        <v>0</v>
      </c>
      <c r="P91" s="10">
        <v>100</v>
      </c>
      <c r="Q91" s="10">
        <v>0</v>
      </c>
      <c r="R91" s="31" t="str">
        <f t="shared" si="1"/>
        <v/>
      </c>
    </row>
    <row r="92" spans="1:18" x14ac:dyDescent="0.25">
      <c r="A92">
        <v>82</v>
      </c>
      <c r="B92">
        <v>650</v>
      </c>
      <c r="C92">
        <f>VLOOKUP($B92,INPUTdata!$A:$L, C$8, FALSE)</f>
        <v>0</v>
      </c>
      <c r="D92">
        <f>VLOOKUP($B92,INPUTdata!$A:$L, D$8, FALSE)</f>
        <v>10</v>
      </c>
      <c r="E92">
        <f>VLOOKUP($B92,INPUTdata!$A:$L, E$8, FALSE)</f>
        <v>100</v>
      </c>
      <c r="F92">
        <f>VLOOKUP($B92,INPUTdata!$A:$L, F$8, FALSE)</f>
        <v>0</v>
      </c>
      <c r="G92">
        <f>VLOOKUP($B92,INPUTdata!$A:$L, G$8, FALSE)</f>
        <v>84.44</v>
      </c>
      <c r="H92">
        <f>VLOOKUP($B92,INPUTdata!$A:$L, H$8, FALSE)</f>
        <v>2.78</v>
      </c>
      <c r="I92">
        <f>VLOOKUP($B92,INPUTdata!$A:$L, I$8, FALSE)</f>
        <v>87.22</v>
      </c>
      <c r="N92" s="21">
        <v>0</v>
      </c>
      <c r="O92" s="10">
        <v>10</v>
      </c>
      <c r="P92" s="10">
        <v>100</v>
      </c>
      <c r="Q92" s="10">
        <v>0</v>
      </c>
      <c r="R92" s="31" t="str">
        <f t="shared" si="1"/>
        <v/>
      </c>
    </row>
    <row r="93" spans="1:18" x14ac:dyDescent="0.25">
      <c r="A93">
        <v>83</v>
      </c>
      <c r="B93">
        <v>651</v>
      </c>
      <c r="C93">
        <f>VLOOKUP($B93,INPUTdata!$A:$L, C$8, FALSE)</f>
        <v>0</v>
      </c>
      <c r="D93">
        <f>VLOOKUP($B93,INPUTdata!$A:$L, D$8, FALSE)</f>
        <v>20</v>
      </c>
      <c r="E93">
        <f>VLOOKUP($B93,INPUTdata!$A:$L, E$8, FALSE)</f>
        <v>100</v>
      </c>
      <c r="F93">
        <f>VLOOKUP($B93,INPUTdata!$A:$L, F$8, FALSE)</f>
        <v>0</v>
      </c>
      <c r="G93">
        <f>VLOOKUP($B93,INPUTdata!$A:$L, G$8, FALSE)</f>
        <v>80.180000000000007</v>
      </c>
      <c r="H93">
        <f>VLOOKUP($B93,INPUTdata!$A:$L, H$8, FALSE)</f>
        <v>9.35</v>
      </c>
      <c r="I93">
        <f>VLOOKUP($B93,INPUTdata!$A:$L, I$8, FALSE)</f>
        <v>82.04</v>
      </c>
      <c r="N93" s="21">
        <v>0</v>
      </c>
      <c r="O93" s="10">
        <v>20</v>
      </c>
      <c r="P93" s="10">
        <v>100</v>
      </c>
      <c r="Q93" s="10">
        <v>0</v>
      </c>
      <c r="R93" s="31" t="str">
        <f t="shared" si="1"/>
        <v/>
      </c>
    </row>
    <row r="94" spans="1:18" x14ac:dyDescent="0.25">
      <c r="A94">
        <v>84</v>
      </c>
      <c r="B94">
        <v>653</v>
      </c>
      <c r="C94">
        <f>VLOOKUP($B94,INPUTdata!$A:$L, C$8, FALSE)</f>
        <v>0</v>
      </c>
      <c r="D94">
        <f>VLOOKUP($B94,INPUTdata!$A:$L, D$8, FALSE)</f>
        <v>40</v>
      </c>
      <c r="E94">
        <f>VLOOKUP($B94,INPUTdata!$A:$L, E$8, FALSE)</f>
        <v>100</v>
      </c>
      <c r="F94">
        <f>VLOOKUP($B94,INPUTdata!$A:$L, F$8, FALSE)</f>
        <v>0</v>
      </c>
      <c r="G94">
        <f>VLOOKUP($B94,INPUTdata!$A:$L, G$8, FALSE)</f>
        <v>71.36</v>
      </c>
      <c r="H94">
        <f>VLOOKUP($B94,INPUTdata!$A:$L, H$8, FALSE)</f>
        <v>23.52</v>
      </c>
      <c r="I94">
        <f>VLOOKUP($B94,INPUTdata!$A:$L, I$8, FALSE)</f>
        <v>71.84</v>
      </c>
      <c r="N94" s="21">
        <v>0</v>
      </c>
      <c r="O94" s="10">
        <v>40</v>
      </c>
      <c r="P94" s="10">
        <v>100</v>
      </c>
      <c r="Q94" s="10">
        <v>0</v>
      </c>
      <c r="R94" s="31" t="str">
        <f t="shared" si="1"/>
        <v/>
      </c>
    </row>
    <row r="95" spans="1:18" x14ac:dyDescent="0.25">
      <c r="A95">
        <v>85</v>
      </c>
      <c r="B95">
        <v>655</v>
      </c>
      <c r="C95">
        <f>VLOOKUP($B95,INPUTdata!$A:$L, C$8, FALSE)</f>
        <v>0</v>
      </c>
      <c r="D95">
        <f>VLOOKUP($B95,INPUTdata!$A:$L, D$8, FALSE)</f>
        <v>70</v>
      </c>
      <c r="E95">
        <f>VLOOKUP($B95,INPUTdata!$A:$L, E$8, FALSE)</f>
        <v>100</v>
      </c>
      <c r="F95">
        <f>VLOOKUP($B95,INPUTdata!$A:$L, F$8, FALSE)</f>
        <v>0</v>
      </c>
      <c r="G95">
        <f>VLOOKUP($B95,INPUTdata!$A:$L, G$8, FALSE)</f>
        <v>57.98</v>
      </c>
      <c r="H95">
        <f>VLOOKUP($B95,INPUTdata!$A:$L, H$8, FALSE)</f>
        <v>46.89</v>
      </c>
      <c r="I95">
        <f>VLOOKUP($B95,INPUTdata!$A:$L, I$8, FALSE)</f>
        <v>57.54</v>
      </c>
      <c r="N95" s="21">
        <v>0</v>
      </c>
      <c r="O95" s="10">
        <v>70</v>
      </c>
      <c r="P95" s="10">
        <v>100</v>
      </c>
      <c r="Q95" s="10">
        <v>0</v>
      </c>
      <c r="R95" s="31" t="str">
        <f t="shared" si="1"/>
        <v/>
      </c>
    </row>
    <row r="96" spans="1:18" x14ac:dyDescent="0.25">
      <c r="A96">
        <v>86</v>
      </c>
      <c r="B96">
        <v>657</v>
      </c>
      <c r="C96">
        <f>VLOOKUP($B96,INPUTdata!$A:$L, C$8, FALSE)</f>
        <v>0</v>
      </c>
      <c r="D96">
        <f>VLOOKUP($B96,INPUTdata!$A:$L, D$8, FALSE)</f>
        <v>100</v>
      </c>
      <c r="E96">
        <f>VLOOKUP($B96,INPUTdata!$A:$L, E$8, FALSE)</f>
        <v>100</v>
      </c>
      <c r="F96">
        <f>VLOOKUP($B96,INPUTdata!$A:$L, F$8, FALSE)</f>
        <v>0</v>
      </c>
      <c r="G96">
        <f>VLOOKUP($B96,INPUTdata!$A:$L, G$8, FALSE)</f>
        <v>47</v>
      </c>
      <c r="H96">
        <f>VLOOKUP($B96,INPUTdata!$A:$L, H$8, FALSE)</f>
        <v>68</v>
      </c>
      <c r="I96">
        <f>VLOOKUP($B96,INPUTdata!$A:$L, I$8, FALSE)</f>
        <v>48</v>
      </c>
      <c r="N96" s="21">
        <v>0</v>
      </c>
      <c r="O96" s="10">
        <v>100</v>
      </c>
      <c r="P96" s="10">
        <v>100</v>
      </c>
      <c r="Q96" s="10">
        <v>0</v>
      </c>
      <c r="R96" s="31" t="str">
        <f t="shared" si="1"/>
        <v/>
      </c>
    </row>
    <row r="97" spans="1:18" x14ac:dyDescent="0.25">
      <c r="A97">
        <v>87</v>
      </c>
      <c r="B97">
        <v>658</v>
      </c>
      <c r="C97">
        <f>VLOOKUP($B97,INPUTdata!$A:$L, C$8, FALSE)</f>
        <v>10</v>
      </c>
      <c r="D97">
        <f>VLOOKUP($B97,INPUTdata!$A:$L, D$8, FALSE)</f>
        <v>0</v>
      </c>
      <c r="E97">
        <f>VLOOKUP($B97,INPUTdata!$A:$L, E$8, FALSE)</f>
        <v>100</v>
      </c>
      <c r="F97">
        <f>VLOOKUP($B97,INPUTdata!$A:$L, F$8, FALSE)</f>
        <v>0</v>
      </c>
      <c r="G97">
        <f>VLOOKUP($B97,INPUTdata!$A:$L, G$8, FALSE)</f>
        <v>85.21</v>
      </c>
      <c r="H97">
        <f>VLOOKUP($B97,INPUTdata!$A:$L, H$8, FALSE)</f>
        <v>-8.91</v>
      </c>
      <c r="I97">
        <f>VLOOKUP($B97,INPUTdata!$A:$L, I$8, FALSE)</f>
        <v>86.14</v>
      </c>
      <c r="N97" s="21">
        <v>10</v>
      </c>
      <c r="O97" s="10">
        <v>0</v>
      </c>
      <c r="P97" s="10">
        <v>100</v>
      </c>
      <c r="Q97" s="10">
        <v>0</v>
      </c>
      <c r="R97" s="31" t="str">
        <f t="shared" si="1"/>
        <v/>
      </c>
    </row>
    <row r="98" spans="1:18" x14ac:dyDescent="0.25">
      <c r="A98">
        <v>88</v>
      </c>
      <c r="B98">
        <v>667</v>
      </c>
      <c r="C98">
        <f>VLOOKUP($B98,INPUTdata!$A:$L, C$8, FALSE)</f>
        <v>20</v>
      </c>
      <c r="D98">
        <f>VLOOKUP($B98,INPUTdata!$A:$L, D$8, FALSE)</f>
        <v>0</v>
      </c>
      <c r="E98">
        <f>VLOOKUP($B98,INPUTdata!$A:$L, E$8, FALSE)</f>
        <v>100</v>
      </c>
      <c r="F98">
        <f>VLOOKUP($B98,INPUTdata!$A:$L, F$8, FALSE)</f>
        <v>0</v>
      </c>
      <c r="G98">
        <f>VLOOKUP($B98,INPUTdata!$A:$L, G$8, FALSE)</f>
        <v>81.53</v>
      </c>
      <c r="H98">
        <f>VLOOKUP($B98,INPUTdata!$A:$L, H$8, FALSE)</f>
        <v>-13.75</v>
      </c>
      <c r="I98">
        <f>VLOOKUP($B98,INPUTdata!$A:$L, I$8, FALSE)</f>
        <v>79.52</v>
      </c>
      <c r="N98" s="21">
        <v>20</v>
      </c>
      <c r="O98" s="10">
        <v>0</v>
      </c>
      <c r="P98" s="10">
        <v>100</v>
      </c>
      <c r="Q98" s="10">
        <v>0</v>
      </c>
      <c r="R98" s="31" t="str">
        <f t="shared" si="1"/>
        <v/>
      </c>
    </row>
    <row r="99" spans="1:18" x14ac:dyDescent="0.25">
      <c r="A99">
        <v>89</v>
      </c>
      <c r="B99">
        <v>685</v>
      </c>
      <c r="C99">
        <f>VLOOKUP($B99,INPUTdata!$A:$L, C$8, FALSE)</f>
        <v>40</v>
      </c>
      <c r="D99">
        <f>VLOOKUP($B99,INPUTdata!$A:$L, D$8, FALSE)</f>
        <v>0</v>
      </c>
      <c r="E99">
        <f>VLOOKUP($B99,INPUTdata!$A:$L, E$8, FALSE)</f>
        <v>100</v>
      </c>
      <c r="F99">
        <f>VLOOKUP($B99,INPUTdata!$A:$L, F$8, FALSE)</f>
        <v>0</v>
      </c>
      <c r="G99">
        <f>VLOOKUP($B99,INPUTdata!$A:$L, G$8, FALSE)</f>
        <v>73.930000000000007</v>
      </c>
      <c r="H99">
        <f>VLOOKUP($B99,INPUTdata!$A:$L, H$8, FALSE)</f>
        <v>-24.83</v>
      </c>
      <c r="I99">
        <f>VLOOKUP($B99,INPUTdata!$A:$L, I$8, FALSE)</f>
        <v>66.08</v>
      </c>
      <c r="N99" s="21">
        <v>40</v>
      </c>
      <c r="O99" s="10">
        <v>0</v>
      </c>
      <c r="P99" s="10">
        <v>100</v>
      </c>
      <c r="Q99" s="10">
        <v>0</v>
      </c>
      <c r="R99" s="31" t="str">
        <f t="shared" si="1"/>
        <v/>
      </c>
    </row>
    <row r="100" spans="1:18" x14ac:dyDescent="0.25">
      <c r="A100">
        <v>90</v>
      </c>
      <c r="B100">
        <v>703</v>
      </c>
      <c r="C100">
        <f>VLOOKUP($B100,INPUTdata!$A:$L, C$8, FALSE)</f>
        <v>70</v>
      </c>
      <c r="D100">
        <f>VLOOKUP($B100,INPUTdata!$A:$L, D$8, FALSE)</f>
        <v>0</v>
      </c>
      <c r="E100">
        <f>VLOOKUP($B100,INPUTdata!$A:$L, E$8, FALSE)</f>
        <v>100</v>
      </c>
      <c r="F100">
        <f>VLOOKUP($B100,INPUTdata!$A:$L, F$8, FALSE)</f>
        <v>0</v>
      </c>
      <c r="G100">
        <f>VLOOKUP($B100,INPUTdata!$A:$L, G$8, FALSE)</f>
        <v>61.66</v>
      </c>
      <c r="H100">
        <f>VLOOKUP($B100,INPUTdata!$A:$L, H$8, FALSE)</f>
        <v>-45.12</v>
      </c>
      <c r="I100">
        <f>VLOOKUP($B100,INPUTdata!$A:$L, I$8, FALSE)</f>
        <v>44.87</v>
      </c>
      <c r="N100" s="21">
        <v>70</v>
      </c>
      <c r="O100" s="10">
        <v>0</v>
      </c>
      <c r="P100" s="10">
        <v>100</v>
      </c>
      <c r="Q100" s="10">
        <v>0</v>
      </c>
      <c r="R100" s="31" t="str">
        <f t="shared" si="1"/>
        <v/>
      </c>
    </row>
    <row r="101" spans="1:18" x14ac:dyDescent="0.25">
      <c r="A101">
        <v>91</v>
      </c>
      <c r="B101">
        <v>721</v>
      </c>
      <c r="C101">
        <f>VLOOKUP($B101,INPUTdata!$A:$L, C$8, FALSE)</f>
        <v>100</v>
      </c>
      <c r="D101">
        <f>VLOOKUP($B101,INPUTdata!$A:$L, D$8, FALSE)</f>
        <v>0</v>
      </c>
      <c r="E101">
        <f>VLOOKUP($B101,INPUTdata!$A:$L, E$8, FALSE)</f>
        <v>100</v>
      </c>
      <c r="F101">
        <f>VLOOKUP($B101,INPUTdata!$A:$L, F$8, FALSE)</f>
        <v>0</v>
      </c>
      <c r="G101">
        <f>VLOOKUP($B101,INPUTdata!$A:$L, G$8, FALSE)</f>
        <v>50</v>
      </c>
      <c r="H101">
        <f>VLOOKUP($B101,INPUTdata!$A:$L, H$8, FALSE)</f>
        <v>-66</v>
      </c>
      <c r="I101">
        <f>VLOOKUP($B101,INPUTdata!$A:$L, I$8, FALSE)</f>
        <v>26</v>
      </c>
      <c r="N101" s="21">
        <v>100</v>
      </c>
      <c r="O101" s="10">
        <v>0</v>
      </c>
      <c r="P101" s="10">
        <v>100</v>
      </c>
      <c r="Q101" s="10">
        <v>0</v>
      </c>
      <c r="R101" s="31" t="str">
        <f t="shared" si="1"/>
        <v/>
      </c>
    </row>
    <row r="102" spans="1:18" x14ac:dyDescent="0.25">
      <c r="A102">
        <v>92</v>
      </c>
      <c r="B102">
        <v>735</v>
      </c>
      <c r="C102">
        <f>VLOOKUP($B102,INPUTdata!$A:$L, C$8, FALSE)</f>
        <v>0</v>
      </c>
      <c r="D102">
        <f>VLOOKUP($B102,INPUTdata!$A:$L, D$8, FALSE)</f>
        <v>100</v>
      </c>
      <c r="E102">
        <f>VLOOKUP($B102,INPUTdata!$A:$L, E$8, FALSE)</f>
        <v>0</v>
      </c>
      <c r="F102">
        <f>VLOOKUP($B102,INPUTdata!$A:$L, F$8, FALSE)</f>
        <v>20</v>
      </c>
      <c r="G102">
        <f>VLOOKUP($B102,INPUTdata!$A:$L, G$8, FALSE)</f>
        <v>41.3</v>
      </c>
      <c r="H102">
        <f>VLOOKUP($B102,INPUTdata!$A:$L, H$8, FALSE)</f>
        <v>63.56</v>
      </c>
      <c r="I102">
        <f>VLOOKUP($B102,INPUTdata!$A:$L, I$8, FALSE)</f>
        <v>-3.99</v>
      </c>
      <c r="N102" s="21">
        <v>0</v>
      </c>
      <c r="O102" s="10">
        <v>100</v>
      </c>
      <c r="P102" s="10">
        <v>0</v>
      </c>
      <c r="Q102" s="10">
        <v>20</v>
      </c>
      <c r="R102" s="31" t="str">
        <f t="shared" si="1"/>
        <v/>
      </c>
    </row>
    <row r="103" spans="1:18" x14ac:dyDescent="0.25">
      <c r="A103">
        <v>93</v>
      </c>
      <c r="B103">
        <v>741</v>
      </c>
      <c r="C103">
        <f>VLOOKUP($B103,INPUTdata!$A:$L, C$8, FALSE)</f>
        <v>10</v>
      </c>
      <c r="D103">
        <f>VLOOKUP($B103,INPUTdata!$A:$L, D$8, FALSE)</f>
        <v>100</v>
      </c>
      <c r="E103">
        <f>VLOOKUP($B103,INPUTdata!$A:$L, E$8, FALSE)</f>
        <v>0</v>
      </c>
      <c r="F103">
        <f>VLOOKUP($B103,INPUTdata!$A:$L, F$8, FALSE)</f>
        <v>20</v>
      </c>
      <c r="G103">
        <f>VLOOKUP($B103,INPUTdata!$A:$L, G$8, FALSE)</f>
        <v>39.46</v>
      </c>
      <c r="H103">
        <f>VLOOKUP($B103,INPUTdata!$A:$L, H$8, FALSE)</f>
        <v>58.97</v>
      </c>
      <c r="I103">
        <f>VLOOKUP($B103,INPUTdata!$A:$L, I$8, FALSE)</f>
        <v>-7.73</v>
      </c>
      <c r="N103" s="21">
        <v>10</v>
      </c>
      <c r="O103" s="10">
        <v>100</v>
      </c>
      <c r="P103" s="10">
        <v>0</v>
      </c>
      <c r="Q103" s="10">
        <v>20</v>
      </c>
      <c r="R103" s="31" t="str">
        <f t="shared" si="1"/>
        <v/>
      </c>
    </row>
    <row r="104" spans="1:18" x14ac:dyDescent="0.25">
      <c r="A104">
        <v>94</v>
      </c>
      <c r="B104">
        <v>747</v>
      </c>
      <c r="C104">
        <f>VLOOKUP($B104,INPUTdata!$A:$L, C$8, FALSE)</f>
        <v>20</v>
      </c>
      <c r="D104">
        <f>VLOOKUP($B104,INPUTdata!$A:$L, D$8, FALSE)</f>
        <v>100</v>
      </c>
      <c r="E104">
        <f>VLOOKUP($B104,INPUTdata!$A:$L, E$8, FALSE)</f>
        <v>0</v>
      </c>
      <c r="F104">
        <f>VLOOKUP($B104,INPUTdata!$A:$L, F$8, FALSE)</f>
        <v>20</v>
      </c>
      <c r="G104">
        <f>VLOOKUP($B104,INPUTdata!$A:$L, G$8, FALSE)</f>
        <v>37.549999999999997</v>
      </c>
      <c r="H104">
        <f>VLOOKUP($B104,INPUTdata!$A:$L, H$8, FALSE)</f>
        <v>54.19</v>
      </c>
      <c r="I104">
        <f>VLOOKUP($B104,INPUTdata!$A:$L, I$8, FALSE)</f>
        <v>-11.57</v>
      </c>
      <c r="N104" s="21">
        <v>20</v>
      </c>
      <c r="O104" s="10">
        <v>100</v>
      </c>
      <c r="P104" s="10">
        <v>0</v>
      </c>
      <c r="Q104" s="10">
        <v>20</v>
      </c>
      <c r="R104" s="31" t="str">
        <f t="shared" si="1"/>
        <v/>
      </c>
    </row>
    <row r="105" spans="1:18" x14ac:dyDescent="0.25">
      <c r="A105">
        <v>95</v>
      </c>
      <c r="B105">
        <v>753</v>
      </c>
      <c r="C105">
        <f>VLOOKUP($B105,INPUTdata!$A:$L, C$8, FALSE)</f>
        <v>40</v>
      </c>
      <c r="D105">
        <f>VLOOKUP($B105,INPUTdata!$A:$L, D$8, FALSE)</f>
        <v>100</v>
      </c>
      <c r="E105">
        <f>VLOOKUP($B105,INPUTdata!$A:$L, E$8, FALSE)</f>
        <v>0</v>
      </c>
      <c r="F105">
        <f>VLOOKUP($B105,INPUTdata!$A:$L, F$8, FALSE)</f>
        <v>20</v>
      </c>
      <c r="G105">
        <f>VLOOKUP($B105,INPUTdata!$A:$L, G$8, FALSE)</f>
        <v>33.659999999999997</v>
      </c>
      <c r="H105">
        <f>VLOOKUP($B105,INPUTdata!$A:$L, H$8, FALSE)</f>
        <v>44.64</v>
      </c>
      <c r="I105">
        <f>VLOOKUP($B105,INPUTdata!$A:$L, I$8, FALSE)</f>
        <v>-19.03</v>
      </c>
      <c r="N105" s="21">
        <v>40</v>
      </c>
      <c r="O105" s="10">
        <v>100</v>
      </c>
      <c r="P105" s="10">
        <v>0</v>
      </c>
      <c r="Q105" s="10">
        <v>20</v>
      </c>
      <c r="R105" s="31" t="str">
        <f t="shared" si="1"/>
        <v/>
      </c>
    </row>
    <row r="106" spans="1:18" x14ac:dyDescent="0.25">
      <c r="A106">
        <v>96</v>
      </c>
      <c r="B106">
        <v>759</v>
      </c>
      <c r="C106">
        <f>VLOOKUP($B106,INPUTdata!$A:$L, C$8, FALSE)</f>
        <v>70</v>
      </c>
      <c r="D106">
        <f>VLOOKUP($B106,INPUTdata!$A:$L, D$8, FALSE)</f>
        <v>100</v>
      </c>
      <c r="E106">
        <f>VLOOKUP($B106,INPUTdata!$A:$L, E$8, FALSE)</f>
        <v>0</v>
      </c>
      <c r="F106">
        <f>VLOOKUP($B106,INPUTdata!$A:$L, F$8, FALSE)</f>
        <v>20</v>
      </c>
      <c r="G106">
        <f>VLOOKUP($B106,INPUTdata!$A:$L, G$8, FALSE)</f>
        <v>27.96</v>
      </c>
      <c r="H106">
        <f>VLOOKUP($B106,INPUTdata!$A:$L, H$8, FALSE)</f>
        <v>29.75</v>
      </c>
      <c r="I106">
        <f>VLOOKUP($B106,INPUTdata!$A:$L, I$8, FALSE)</f>
        <v>-29.7</v>
      </c>
      <c r="N106" s="21">
        <v>70</v>
      </c>
      <c r="O106" s="10">
        <v>100</v>
      </c>
      <c r="P106" s="10">
        <v>0</v>
      </c>
      <c r="Q106" s="10">
        <v>20</v>
      </c>
      <c r="R106" s="31" t="str">
        <f t="shared" si="1"/>
        <v/>
      </c>
    </row>
    <row r="107" spans="1:18" x14ac:dyDescent="0.25">
      <c r="A107">
        <v>97</v>
      </c>
      <c r="B107">
        <v>760</v>
      </c>
      <c r="C107">
        <f>VLOOKUP($B107,INPUTdata!$A:$L, C$8, FALSE)</f>
        <v>100</v>
      </c>
      <c r="D107">
        <f>VLOOKUP($B107,INPUTdata!$A:$L, D$8, FALSE)</f>
        <v>0</v>
      </c>
      <c r="E107">
        <f>VLOOKUP($B107,INPUTdata!$A:$L, E$8, FALSE)</f>
        <v>0</v>
      </c>
      <c r="F107">
        <f>VLOOKUP($B107,INPUTdata!$A:$L, F$8, FALSE)</f>
        <v>20</v>
      </c>
      <c r="G107">
        <f>VLOOKUP($B107,INPUTdata!$A:$L, G$8, FALSE)</f>
        <v>48.21</v>
      </c>
      <c r="H107">
        <f>VLOOKUP($B107,INPUTdata!$A:$L, H$8, FALSE)</f>
        <v>-32.49</v>
      </c>
      <c r="I107">
        <f>VLOOKUP($B107,INPUTdata!$A:$L, I$8, FALSE)</f>
        <v>-42.5</v>
      </c>
      <c r="N107" s="21">
        <v>100</v>
      </c>
      <c r="O107" s="10">
        <v>0</v>
      </c>
      <c r="P107" s="10">
        <v>0</v>
      </c>
      <c r="Q107" s="10">
        <v>20</v>
      </c>
      <c r="R107" s="31" t="str">
        <f t="shared" si="1"/>
        <v/>
      </c>
    </row>
    <row r="108" spans="1:18" x14ac:dyDescent="0.25">
      <c r="A108">
        <v>98</v>
      </c>
      <c r="B108">
        <v>761</v>
      </c>
      <c r="C108">
        <f>VLOOKUP($B108,INPUTdata!$A:$L, C$8, FALSE)</f>
        <v>100</v>
      </c>
      <c r="D108">
        <f>VLOOKUP($B108,INPUTdata!$A:$L, D$8, FALSE)</f>
        <v>10</v>
      </c>
      <c r="E108">
        <f>VLOOKUP($B108,INPUTdata!$A:$L, E$8, FALSE)</f>
        <v>0</v>
      </c>
      <c r="F108">
        <f>VLOOKUP($B108,INPUTdata!$A:$L, F$8, FALSE)</f>
        <v>20</v>
      </c>
      <c r="G108">
        <f>VLOOKUP($B108,INPUTdata!$A:$L, G$8, FALSE)</f>
        <v>45.67</v>
      </c>
      <c r="H108">
        <f>VLOOKUP($B108,INPUTdata!$A:$L, H$8, FALSE)</f>
        <v>-27.89</v>
      </c>
      <c r="I108">
        <f>VLOOKUP($B108,INPUTdata!$A:$L, I$8, FALSE)</f>
        <v>-42.05</v>
      </c>
      <c r="N108" s="21">
        <v>100</v>
      </c>
      <c r="O108" s="10">
        <v>10</v>
      </c>
      <c r="P108" s="10">
        <v>0</v>
      </c>
      <c r="Q108" s="10">
        <v>20</v>
      </c>
      <c r="R108" s="31" t="str">
        <f t="shared" si="1"/>
        <v/>
      </c>
    </row>
    <row r="109" spans="1:18" x14ac:dyDescent="0.25">
      <c r="A109">
        <v>99</v>
      </c>
      <c r="B109">
        <v>762</v>
      </c>
      <c r="C109">
        <f>VLOOKUP($B109,INPUTdata!$A:$L, C$8, FALSE)</f>
        <v>100</v>
      </c>
      <c r="D109">
        <f>VLOOKUP($B109,INPUTdata!$A:$L, D$8, FALSE)</f>
        <v>20</v>
      </c>
      <c r="E109">
        <f>VLOOKUP($B109,INPUTdata!$A:$L, E$8, FALSE)</f>
        <v>0</v>
      </c>
      <c r="F109">
        <f>VLOOKUP($B109,INPUTdata!$A:$L, F$8, FALSE)</f>
        <v>20</v>
      </c>
      <c r="G109">
        <f>VLOOKUP($B109,INPUTdata!$A:$L, G$8, FALSE)</f>
        <v>43.13</v>
      </c>
      <c r="H109">
        <f>VLOOKUP($B109,INPUTdata!$A:$L, H$8, FALSE)</f>
        <v>-23.3</v>
      </c>
      <c r="I109">
        <f>VLOOKUP($B109,INPUTdata!$A:$L, I$8, FALSE)</f>
        <v>-41.61</v>
      </c>
      <c r="N109" s="21">
        <v>100</v>
      </c>
      <c r="O109" s="10">
        <v>20</v>
      </c>
      <c r="P109" s="10">
        <v>0</v>
      </c>
      <c r="Q109" s="10">
        <v>20</v>
      </c>
      <c r="R109" s="31" t="str">
        <f t="shared" si="1"/>
        <v/>
      </c>
    </row>
    <row r="110" spans="1:18" x14ac:dyDescent="0.25">
      <c r="A110">
        <v>100</v>
      </c>
      <c r="B110">
        <v>763</v>
      </c>
      <c r="C110">
        <f>VLOOKUP($B110,INPUTdata!$A:$L, C$8, FALSE)</f>
        <v>100</v>
      </c>
      <c r="D110">
        <f>VLOOKUP($B110,INPUTdata!$A:$L, D$8, FALSE)</f>
        <v>40</v>
      </c>
      <c r="E110">
        <f>VLOOKUP($B110,INPUTdata!$A:$L, E$8, FALSE)</f>
        <v>0</v>
      </c>
      <c r="F110">
        <f>VLOOKUP($B110,INPUTdata!$A:$L, F$8, FALSE)</f>
        <v>20</v>
      </c>
      <c r="G110">
        <f>VLOOKUP($B110,INPUTdata!$A:$L, G$8, FALSE)</f>
        <v>37.83</v>
      </c>
      <c r="H110">
        <f>VLOOKUP($B110,INPUTdata!$A:$L, H$8, FALSE)</f>
        <v>-13.6</v>
      </c>
      <c r="I110">
        <f>VLOOKUP($B110,INPUTdata!$A:$L, I$8, FALSE)</f>
        <v>-40.81</v>
      </c>
      <c r="N110" s="21">
        <v>100</v>
      </c>
      <c r="O110" s="10">
        <v>40</v>
      </c>
      <c r="P110" s="10">
        <v>0</v>
      </c>
      <c r="Q110" s="10">
        <v>20</v>
      </c>
      <c r="R110" s="31" t="str">
        <f t="shared" si="1"/>
        <v/>
      </c>
    </row>
    <row r="111" spans="1:18" x14ac:dyDescent="0.25">
      <c r="A111">
        <v>101</v>
      </c>
      <c r="B111">
        <v>764</v>
      </c>
      <c r="C111">
        <f>VLOOKUP($B111,INPUTdata!$A:$L, C$8, FALSE)</f>
        <v>100</v>
      </c>
      <c r="D111">
        <f>VLOOKUP($B111,INPUTdata!$A:$L, D$8, FALSE)</f>
        <v>70</v>
      </c>
      <c r="E111">
        <f>VLOOKUP($B111,INPUTdata!$A:$L, E$8, FALSE)</f>
        <v>0</v>
      </c>
      <c r="F111">
        <f>VLOOKUP($B111,INPUTdata!$A:$L, F$8, FALSE)</f>
        <v>20</v>
      </c>
      <c r="G111">
        <f>VLOOKUP($B111,INPUTdata!$A:$L, G$8, FALSE)</f>
        <v>29.78</v>
      </c>
      <c r="H111">
        <f>VLOOKUP($B111,INPUTdata!$A:$L, H$8, FALSE)</f>
        <v>2.11</v>
      </c>
      <c r="I111">
        <f>VLOOKUP($B111,INPUTdata!$A:$L, I$8, FALSE)</f>
        <v>-39.49</v>
      </c>
      <c r="N111" s="21">
        <v>100</v>
      </c>
      <c r="O111" s="10">
        <v>70</v>
      </c>
      <c r="P111" s="10">
        <v>0</v>
      </c>
      <c r="Q111" s="10">
        <v>20</v>
      </c>
      <c r="R111" s="31" t="str">
        <f t="shared" si="1"/>
        <v/>
      </c>
    </row>
    <row r="112" spans="1:18" x14ac:dyDescent="0.25">
      <c r="A112">
        <v>102</v>
      </c>
      <c r="B112">
        <v>765</v>
      </c>
      <c r="C112">
        <f>VLOOKUP($B112,INPUTdata!$A:$L, C$8, FALSE)</f>
        <v>100</v>
      </c>
      <c r="D112">
        <f>VLOOKUP($B112,INPUTdata!$A:$L, D$8, FALSE)</f>
        <v>100</v>
      </c>
      <c r="E112">
        <f>VLOOKUP($B112,INPUTdata!$A:$L, E$8, FALSE)</f>
        <v>0</v>
      </c>
      <c r="F112">
        <f>VLOOKUP($B112,INPUTdata!$A:$L, F$8, FALSE)</f>
        <v>20</v>
      </c>
      <c r="G112">
        <f>VLOOKUP($B112,INPUTdata!$A:$L, G$8, FALSE)</f>
        <v>23.07</v>
      </c>
      <c r="H112">
        <f>VLOOKUP($B112,INPUTdata!$A:$L, H$8, FALSE)</f>
        <v>16.18</v>
      </c>
      <c r="I112">
        <f>VLOOKUP($B112,INPUTdata!$A:$L, I$8, FALSE)</f>
        <v>-38.549999999999997</v>
      </c>
      <c r="N112" s="21">
        <v>100</v>
      </c>
      <c r="O112" s="10">
        <v>100</v>
      </c>
      <c r="P112" s="10">
        <v>0</v>
      </c>
      <c r="Q112" s="10">
        <v>20</v>
      </c>
      <c r="R112" s="31" t="str">
        <f t="shared" si="1"/>
        <v/>
      </c>
    </row>
    <row r="113" spans="1:18" x14ac:dyDescent="0.25">
      <c r="A113">
        <v>103</v>
      </c>
      <c r="B113">
        <v>771</v>
      </c>
      <c r="C113">
        <f>VLOOKUP($B113,INPUTdata!$A:$L, C$8, FALSE)</f>
        <v>0</v>
      </c>
      <c r="D113">
        <f>VLOOKUP($B113,INPUTdata!$A:$L, D$8, FALSE)</f>
        <v>100</v>
      </c>
      <c r="E113">
        <f>VLOOKUP($B113,INPUTdata!$A:$L, E$8, FALSE)</f>
        <v>10</v>
      </c>
      <c r="F113">
        <f>VLOOKUP($B113,INPUTdata!$A:$L, F$8, FALSE)</f>
        <v>20</v>
      </c>
      <c r="G113">
        <f>VLOOKUP($B113,INPUTdata!$A:$L, G$8, FALSE)</f>
        <v>41.46</v>
      </c>
      <c r="H113">
        <f>VLOOKUP($B113,INPUTdata!$A:$L, H$8, FALSE)</f>
        <v>62.73</v>
      </c>
      <c r="I113">
        <f>VLOOKUP($B113,INPUTdata!$A:$L, I$8, FALSE)</f>
        <v>0.23</v>
      </c>
      <c r="N113" s="21">
        <v>0</v>
      </c>
      <c r="O113" s="10">
        <v>100</v>
      </c>
      <c r="P113" s="10">
        <v>10</v>
      </c>
      <c r="Q113" s="10">
        <v>20</v>
      </c>
      <c r="R113" s="31" t="str">
        <f t="shared" si="1"/>
        <v/>
      </c>
    </row>
    <row r="114" spans="1:18" x14ac:dyDescent="0.25">
      <c r="A114">
        <v>104</v>
      </c>
      <c r="B114">
        <v>796</v>
      </c>
      <c r="C114">
        <f>VLOOKUP($B114,INPUTdata!$A:$L, C$8, FALSE)</f>
        <v>100</v>
      </c>
      <c r="D114">
        <f>VLOOKUP($B114,INPUTdata!$A:$L, D$8, FALSE)</f>
        <v>0</v>
      </c>
      <c r="E114">
        <f>VLOOKUP($B114,INPUTdata!$A:$L, E$8, FALSE)</f>
        <v>10</v>
      </c>
      <c r="F114">
        <f>VLOOKUP($B114,INPUTdata!$A:$L, F$8, FALSE)</f>
        <v>20</v>
      </c>
      <c r="G114">
        <f>VLOOKUP($B114,INPUTdata!$A:$L, G$8, FALSE)</f>
        <v>47.84</v>
      </c>
      <c r="H114">
        <f>VLOOKUP($B114,INPUTdata!$A:$L, H$8, FALSE)</f>
        <v>-35.83</v>
      </c>
      <c r="I114">
        <f>VLOOKUP($B114,INPUTdata!$A:$L, I$8, FALSE)</f>
        <v>-36.020000000000003</v>
      </c>
      <c r="N114" s="21">
        <v>100</v>
      </c>
      <c r="O114" s="10">
        <v>0</v>
      </c>
      <c r="P114" s="10">
        <v>10</v>
      </c>
      <c r="Q114" s="10">
        <v>20</v>
      </c>
      <c r="R114" s="31" t="str">
        <f t="shared" si="1"/>
        <v/>
      </c>
    </row>
    <row r="115" spans="1:18" x14ac:dyDescent="0.25">
      <c r="A115">
        <v>105</v>
      </c>
      <c r="B115">
        <v>807</v>
      </c>
      <c r="C115">
        <f>VLOOKUP($B115,INPUTdata!$A:$L, C$8, FALSE)</f>
        <v>0</v>
      </c>
      <c r="D115">
        <f>VLOOKUP($B115,INPUTdata!$A:$L, D$8, FALSE)</f>
        <v>100</v>
      </c>
      <c r="E115">
        <f>VLOOKUP($B115,INPUTdata!$A:$L, E$8, FALSE)</f>
        <v>20</v>
      </c>
      <c r="F115">
        <f>VLOOKUP($B115,INPUTdata!$A:$L, F$8, FALSE)</f>
        <v>20</v>
      </c>
      <c r="G115">
        <f>VLOOKUP($B115,INPUTdata!$A:$L, G$8, FALSE)</f>
        <v>41.57</v>
      </c>
      <c r="H115">
        <f>VLOOKUP($B115,INPUTdata!$A:$L, H$8, FALSE)</f>
        <v>61.71</v>
      </c>
      <c r="I115">
        <f>VLOOKUP($B115,INPUTdata!$A:$L, I$8, FALSE)</f>
        <v>4.66</v>
      </c>
      <c r="N115" s="21">
        <v>0</v>
      </c>
      <c r="O115" s="10">
        <v>100</v>
      </c>
      <c r="P115" s="10">
        <v>20</v>
      </c>
      <c r="Q115" s="10">
        <v>20</v>
      </c>
      <c r="R115" s="31" t="str">
        <f t="shared" si="1"/>
        <v/>
      </c>
    </row>
    <row r="116" spans="1:18" x14ac:dyDescent="0.25">
      <c r="A116">
        <v>106</v>
      </c>
      <c r="B116">
        <v>832</v>
      </c>
      <c r="C116">
        <f>VLOOKUP($B116,INPUTdata!$A:$L, C$8, FALSE)</f>
        <v>100</v>
      </c>
      <c r="D116">
        <f>VLOOKUP($B116,INPUTdata!$A:$L, D$8, FALSE)</f>
        <v>0</v>
      </c>
      <c r="E116">
        <f>VLOOKUP($B116,INPUTdata!$A:$L, E$8, FALSE)</f>
        <v>20</v>
      </c>
      <c r="F116">
        <f>VLOOKUP($B116,INPUTdata!$A:$L, F$8, FALSE)</f>
        <v>20</v>
      </c>
      <c r="G116">
        <f>VLOOKUP($B116,INPUTdata!$A:$L, G$8, FALSE)</f>
        <v>47.53</v>
      </c>
      <c r="H116">
        <f>VLOOKUP($B116,INPUTdata!$A:$L, H$8, FALSE)</f>
        <v>-38.93</v>
      </c>
      <c r="I116">
        <f>VLOOKUP($B116,INPUTdata!$A:$L, I$8, FALSE)</f>
        <v>-29.46</v>
      </c>
      <c r="N116" s="21">
        <v>100</v>
      </c>
      <c r="O116" s="10">
        <v>0</v>
      </c>
      <c r="P116" s="10">
        <v>20</v>
      </c>
      <c r="Q116" s="10">
        <v>20</v>
      </c>
      <c r="R116" s="31" t="str">
        <f t="shared" si="1"/>
        <v/>
      </c>
    </row>
    <row r="117" spans="1:18" x14ac:dyDescent="0.25">
      <c r="A117">
        <v>107</v>
      </c>
      <c r="B117">
        <v>843</v>
      </c>
      <c r="C117">
        <f>VLOOKUP($B117,INPUTdata!$A:$L, C$8, FALSE)</f>
        <v>0</v>
      </c>
      <c r="D117">
        <f>VLOOKUP($B117,INPUTdata!$A:$L, D$8, FALSE)</f>
        <v>100</v>
      </c>
      <c r="E117">
        <f>VLOOKUP($B117,INPUTdata!$A:$L, E$8, FALSE)</f>
        <v>40</v>
      </c>
      <c r="F117">
        <f>VLOOKUP($B117,INPUTdata!$A:$L, F$8, FALSE)</f>
        <v>20</v>
      </c>
      <c r="G117">
        <f>VLOOKUP($B117,INPUTdata!$A:$L, G$8, FALSE)</f>
        <v>41.66</v>
      </c>
      <c r="H117">
        <f>VLOOKUP($B117,INPUTdata!$A:$L, H$8, FALSE)</f>
        <v>60.22</v>
      </c>
      <c r="I117">
        <f>VLOOKUP($B117,INPUTdata!$A:$L, I$8, FALSE)</f>
        <v>13.63</v>
      </c>
      <c r="N117" s="21">
        <v>0</v>
      </c>
      <c r="O117" s="10">
        <v>100</v>
      </c>
      <c r="P117" s="10">
        <v>40</v>
      </c>
      <c r="Q117" s="10">
        <v>20</v>
      </c>
      <c r="R117" s="31" t="str">
        <f t="shared" si="1"/>
        <v/>
      </c>
    </row>
    <row r="118" spans="1:18" x14ac:dyDescent="0.25">
      <c r="A118">
        <v>108</v>
      </c>
      <c r="B118">
        <v>868</v>
      </c>
      <c r="C118">
        <f>VLOOKUP($B118,INPUTdata!$A:$L, C$8, FALSE)</f>
        <v>100</v>
      </c>
      <c r="D118">
        <f>VLOOKUP($B118,INPUTdata!$A:$L, D$8, FALSE)</f>
        <v>0</v>
      </c>
      <c r="E118">
        <f>VLOOKUP($B118,INPUTdata!$A:$L, E$8, FALSE)</f>
        <v>40</v>
      </c>
      <c r="F118">
        <f>VLOOKUP($B118,INPUTdata!$A:$L, F$8, FALSE)</f>
        <v>20</v>
      </c>
      <c r="G118">
        <f>VLOOKUP($B118,INPUTdata!$A:$L, G$8, FALSE)</f>
        <v>46.73</v>
      </c>
      <c r="H118">
        <f>VLOOKUP($B118,INPUTdata!$A:$L, H$8, FALSE)</f>
        <v>-44.89</v>
      </c>
      <c r="I118">
        <f>VLOOKUP($B118,INPUTdata!$A:$L, I$8, FALSE)</f>
        <v>-16.27</v>
      </c>
      <c r="N118" s="21">
        <v>100</v>
      </c>
      <c r="O118" s="10">
        <v>0</v>
      </c>
      <c r="P118" s="10">
        <v>40</v>
      </c>
      <c r="Q118" s="10">
        <v>20</v>
      </c>
      <c r="R118" s="31" t="str">
        <f t="shared" si="1"/>
        <v/>
      </c>
    </row>
    <row r="119" spans="1:18" x14ac:dyDescent="0.25">
      <c r="A119">
        <v>109</v>
      </c>
      <c r="B119">
        <v>879</v>
      </c>
      <c r="C119">
        <f>VLOOKUP($B119,INPUTdata!$A:$L, C$8, FALSE)</f>
        <v>0</v>
      </c>
      <c r="D119">
        <f>VLOOKUP($B119,INPUTdata!$A:$L, D$8, FALSE)</f>
        <v>100</v>
      </c>
      <c r="E119">
        <f>VLOOKUP($B119,INPUTdata!$A:$L, E$8, FALSE)</f>
        <v>70</v>
      </c>
      <c r="F119">
        <f>VLOOKUP($B119,INPUTdata!$A:$L, F$8, FALSE)</f>
        <v>20</v>
      </c>
      <c r="G119">
        <f>VLOOKUP($B119,INPUTdata!$A:$L, G$8, FALSE)</f>
        <v>41.35</v>
      </c>
      <c r="H119">
        <f>VLOOKUP($B119,INPUTdata!$A:$L, H$8, FALSE)</f>
        <v>58.07</v>
      </c>
      <c r="I119">
        <f>VLOOKUP($B119,INPUTdata!$A:$L, I$8, FALSE)</f>
        <v>27.09</v>
      </c>
      <c r="N119" s="21">
        <v>0</v>
      </c>
      <c r="O119" s="10">
        <v>100</v>
      </c>
      <c r="P119" s="10">
        <v>70</v>
      </c>
      <c r="Q119" s="10">
        <v>20</v>
      </c>
      <c r="R119" s="31" t="str">
        <f t="shared" si="1"/>
        <v/>
      </c>
    </row>
    <row r="120" spans="1:18" x14ac:dyDescent="0.25">
      <c r="A120">
        <v>110</v>
      </c>
      <c r="B120">
        <v>904</v>
      </c>
      <c r="C120">
        <f>VLOOKUP($B120,INPUTdata!$A:$L, C$8, FALSE)</f>
        <v>100</v>
      </c>
      <c r="D120">
        <f>VLOOKUP($B120,INPUTdata!$A:$L, D$8, FALSE)</f>
        <v>0</v>
      </c>
      <c r="E120">
        <f>VLOOKUP($B120,INPUTdata!$A:$L, E$8, FALSE)</f>
        <v>70</v>
      </c>
      <c r="F120">
        <f>VLOOKUP($B120,INPUTdata!$A:$L, F$8, FALSE)</f>
        <v>20</v>
      </c>
      <c r="G120">
        <f>VLOOKUP($B120,INPUTdata!$A:$L, G$8, FALSE)</f>
        <v>45.51</v>
      </c>
      <c r="H120">
        <f>VLOOKUP($B120,INPUTdata!$A:$L, H$8, FALSE)</f>
        <v>-51.97</v>
      </c>
      <c r="I120">
        <f>VLOOKUP($B120,INPUTdata!$A:$L, I$8, FALSE)</f>
        <v>3.91</v>
      </c>
      <c r="N120" s="21">
        <v>100</v>
      </c>
      <c r="O120" s="10">
        <v>0</v>
      </c>
      <c r="P120" s="10">
        <v>70</v>
      </c>
      <c r="Q120" s="10">
        <v>20</v>
      </c>
      <c r="R120" s="31" t="str">
        <f t="shared" si="1"/>
        <v/>
      </c>
    </row>
    <row r="121" spans="1:18" x14ac:dyDescent="0.25">
      <c r="A121">
        <v>111</v>
      </c>
      <c r="B121">
        <v>910</v>
      </c>
      <c r="C121">
        <f>VLOOKUP($B121,INPUTdata!$A:$L, C$8, FALSE)</f>
        <v>0</v>
      </c>
      <c r="D121">
        <f>VLOOKUP($B121,INPUTdata!$A:$L, D$8, FALSE)</f>
        <v>0</v>
      </c>
      <c r="E121">
        <f>VLOOKUP($B121,INPUTdata!$A:$L, E$8, FALSE)</f>
        <v>100</v>
      </c>
      <c r="F121">
        <f>VLOOKUP($B121,INPUTdata!$A:$L, F$8, FALSE)</f>
        <v>20</v>
      </c>
      <c r="G121">
        <f>VLOOKUP($B121,INPUTdata!$A:$L, G$8, FALSE)</f>
        <v>75.81</v>
      </c>
      <c r="H121">
        <f>VLOOKUP($B121,INPUTdata!$A:$L, H$8, FALSE)</f>
        <v>-4.38</v>
      </c>
      <c r="I121">
        <f>VLOOKUP($B121,INPUTdata!$A:$L, I$8, FALSE)</f>
        <v>78.06</v>
      </c>
      <c r="N121" s="21">
        <v>0</v>
      </c>
      <c r="O121" s="10">
        <v>0</v>
      </c>
      <c r="P121" s="10">
        <v>100</v>
      </c>
      <c r="Q121" s="10">
        <v>20</v>
      </c>
      <c r="R121" s="31" t="str">
        <f t="shared" si="1"/>
        <v/>
      </c>
    </row>
    <row r="122" spans="1:18" x14ac:dyDescent="0.25">
      <c r="A122">
        <v>112</v>
      </c>
      <c r="B122">
        <v>911</v>
      </c>
      <c r="C122">
        <f>VLOOKUP($B122,INPUTdata!$A:$L, C$8, FALSE)</f>
        <v>0</v>
      </c>
      <c r="D122">
        <f>VLOOKUP($B122,INPUTdata!$A:$L, D$8, FALSE)</f>
        <v>10</v>
      </c>
      <c r="E122">
        <f>VLOOKUP($B122,INPUTdata!$A:$L, E$8, FALSE)</f>
        <v>100</v>
      </c>
      <c r="F122">
        <f>VLOOKUP($B122,INPUTdata!$A:$L, F$8, FALSE)</f>
        <v>20</v>
      </c>
      <c r="G122">
        <f>VLOOKUP($B122,INPUTdata!$A:$L, G$8, FALSE)</f>
        <v>72.06</v>
      </c>
      <c r="H122">
        <f>VLOOKUP($B122,INPUTdata!$A:$L, H$8, FALSE)</f>
        <v>1.38</v>
      </c>
      <c r="I122">
        <f>VLOOKUP($B122,INPUTdata!$A:$L, I$8, FALSE)</f>
        <v>73.540000000000006</v>
      </c>
      <c r="N122" s="21">
        <v>0</v>
      </c>
      <c r="O122" s="10">
        <v>10</v>
      </c>
      <c r="P122" s="10">
        <v>100</v>
      </c>
      <c r="Q122" s="10">
        <v>20</v>
      </c>
      <c r="R122" s="31" t="str">
        <f t="shared" si="1"/>
        <v/>
      </c>
    </row>
    <row r="123" spans="1:18" x14ac:dyDescent="0.25">
      <c r="A123">
        <v>113</v>
      </c>
      <c r="B123">
        <v>912</v>
      </c>
      <c r="C123">
        <f>VLOOKUP($B123,INPUTdata!$A:$L, C$8, FALSE)</f>
        <v>0</v>
      </c>
      <c r="D123">
        <f>VLOOKUP($B123,INPUTdata!$A:$L, D$8, FALSE)</f>
        <v>20</v>
      </c>
      <c r="E123">
        <f>VLOOKUP($B123,INPUTdata!$A:$L, E$8, FALSE)</f>
        <v>100</v>
      </c>
      <c r="F123">
        <f>VLOOKUP($B123,INPUTdata!$A:$L, F$8, FALSE)</f>
        <v>20</v>
      </c>
      <c r="G123">
        <f>VLOOKUP($B123,INPUTdata!$A:$L, G$8, FALSE)</f>
        <v>68.33</v>
      </c>
      <c r="H123">
        <f>VLOOKUP($B123,INPUTdata!$A:$L, H$8, FALSE)</f>
        <v>7.16</v>
      </c>
      <c r="I123">
        <f>VLOOKUP($B123,INPUTdata!$A:$L, I$8, FALSE)</f>
        <v>69.09</v>
      </c>
      <c r="N123" s="21">
        <v>0</v>
      </c>
      <c r="O123" s="10">
        <v>20</v>
      </c>
      <c r="P123" s="10">
        <v>100</v>
      </c>
      <c r="Q123" s="10">
        <v>20</v>
      </c>
      <c r="R123" s="31" t="str">
        <f t="shared" si="1"/>
        <v/>
      </c>
    </row>
    <row r="124" spans="1:18" x14ac:dyDescent="0.25">
      <c r="A124">
        <v>114</v>
      </c>
      <c r="B124">
        <v>913</v>
      </c>
      <c r="C124">
        <f>VLOOKUP($B124,INPUTdata!$A:$L, C$8, FALSE)</f>
        <v>0</v>
      </c>
      <c r="D124">
        <f>VLOOKUP($B124,INPUTdata!$A:$L, D$8, FALSE)</f>
        <v>40</v>
      </c>
      <c r="E124">
        <f>VLOOKUP($B124,INPUTdata!$A:$L, E$8, FALSE)</f>
        <v>100</v>
      </c>
      <c r="F124">
        <f>VLOOKUP($B124,INPUTdata!$A:$L, F$8, FALSE)</f>
        <v>20</v>
      </c>
      <c r="G124">
        <f>VLOOKUP($B124,INPUTdata!$A:$L, G$8, FALSE)</f>
        <v>60.79</v>
      </c>
      <c r="H124">
        <f>VLOOKUP($B124,INPUTdata!$A:$L, H$8, FALSE)</f>
        <v>19.39</v>
      </c>
      <c r="I124">
        <f>VLOOKUP($B124,INPUTdata!$A:$L, I$8, FALSE)</f>
        <v>60.44</v>
      </c>
      <c r="N124" s="21">
        <v>0</v>
      </c>
      <c r="O124" s="10">
        <v>40</v>
      </c>
      <c r="P124" s="10">
        <v>100</v>
      </c>
      <c r="Q124" s="10">
        <v>20</v>
      </c>
      <c r="R124" s="31" t="str">
        <f t="shared" si="1"/>
        <v/>
      </c>
    </row>
    <row r="125" spans="1:18" x14ac:dyDescent="0.25">
      <c r="A125">
        <v>115</v>
      </c>
      <c r="B125">
        <v>914</v>
      </c>
      <c r="C125">
        <f>VLOOKUP($B125,INPUTdata!$A:$L, C$8, FALSE)</f>
        <v>0</v>
      </c>
      <c r="D125">
        <f>VLOOKUP($B125,INPUTdata!$A:$L, D$8, FALSE)</f>
        <v>70</v>
      </c>
      <c r="E125">
        <f>VLOOKUP($B125,INPUTdata!$A:$L, E$8, FALSE)</f>
        <v>100</v>
      </c>
      <c r="F125">
        <f>VLOOKUP($B125,INPUTdata!$A:$L, F$8, FALSE)</f>
        <v>20</v>
      </c>
      <c r="G125">
        <f>VLOOKUP($B125,INPUTdata!$A:$L, G$8, FALSE)</f>
        <v>49.56</v>
      </c>
      <c r="H125">
        <f>VLOOKUP($B125,INPUTdata!$A:$L, H$8, FALSE)</f>
        <v>39.049999999999997</v>
      </c>
      <c r="I125">
        <f>VLOOKUP($B125,INPUTdata!$A:$L, I$8, FALSE)</f>
        <v>48.25</v>
      </c>
      <c r="N125" s="21">
        <v>0</v>
      </c>
      <c r="O125" s="10">
        <v>70</v>
      </c>
      <c r="P125" s="10">
        <v>100</v>
      </c>
      <c r="Q125" s="10">
        <v>20</v>
      </c>
      <c r="R125" s="31" t="str">
        <f t="shared" si="1"/>
        <v/>
      </c>
    </row>
    <row r="126" spans="1:18" x14ac:dyDescent="0.25">
      <c r="A126">
        <v>116</v>
      </c>
      <c r="B126">
        <v>915</v>
      </c>
      <c r="C126">
        <f>VLOOKUP($B126,INPUTdata!$A:$L, C$8, FALSE)</f>
        <v>0</v>
      </c>
      <c r="D126">
        <f>VLOOKUP($B126,INPUTdata!$A:$L, D$8, FALSE)</f>
        <v>100</v>
      </c>
      <c r="E126">
        <f>VLOOKUP($B126,INPUTdata!$A:$L, E$8, FALSE)</f>
        <v>100</v>
      </c>
      <c r="F126">
        <f>VLOOKUP($B126,INPUTdata!$A:$L, F$8, FALSE)</f>
        <v>20</v>
      </c>
      <c r="G126">
        <f>VLOOKUP($B126,INPUTdata!$A:$L, G$8, FALSE)</f>
        <v>40.61</v>
      </c>
      <c r="H126">
        <f>VLOOKUP($B126,INPUTdata!$A:$L, H$8, FALSE)</f>
        <v>56.54</v>
      </c>
      <c r="I126">
        <f>VLOOKUP($B126,INPUTdata!$A:$L, I$8, FALSE)</f>
        <v>39.47</v>
      </c>
      <c r="N126" s="21">
        <v>0</v>
      </c>
      <c r="O126" s="10">
        <v>100</v>
      </c>
      <c r="P126" s="10">
        <v>100</v>
      </c>
      <c r="Q126" s="10">
        <v>20</v>
      </c>
      <c r="R126" s="31" t="str">
        <f t="shared" si="1"/>
        <v/>
      </c>
    </row>
    <row r="127" spans="1:18" x14ac:dyDescent="0.25">
      <c r="A127">
        <v>117</v>
      </c>
      <c r="B127">
        <v>916</v>
      </c>
      <c r="C127">
        <f>VLOOKUP($B127,INPUTdata!$A:$L, C$8, FALSE)</f>
        <v>10</v>
      </c>
      <c r="D127">
        <f>VLOOKUP($B127,INPUTdata!$A:$L, D$8, FALSE)</f>
        <v>0</v>
      </c>
      <c r="E127">
        <f>VLOOKUP($B127,INPUTdata!$A:$L, E$8, FALSE)</f>
        <v>100</v>
      </c>
      <c r="F127">
        <f>VLOOKUP($B127,INPUTdata!$A:$L, F$8, FALSE)</f>
        <v>20</v>
      </c>
      <c r="G127">
        <f>VLOOKUP($B127,INPUTdata!$A:$L, G$8, FALSE)</f>
        <v>72.75</v>
      </c>
      <c r="H127">
        <f>VLOOKUP($B127,INPUTdata!$A:$L, H$8, FALSE)</f>
        <v>-8.64</v>
      </c>
      <c r="I127">
        <f>VLOOKUP($B127,INPUTdata!$A:$L, I$8, FALSE)</f>
        <v>72.459999999999994</v>
      </c>
      <c r="N127" s="21">
        <v>10</v>
      </c>
      <c r="O127" s="10">
        <v>0</v>
      </c>
      <c r="P127" s="10">
        <v>100</v>
      </c>
      <c r="Q127" s="10">
        <v>20</v>
      </c>
      <c r="R127" s="31" t="str">
        <f t="shared" si="1"/>
        <v/>
      </c>
    </row>
    <row r="128" spans="1:18" x14ac:dyDescent="0.25">
      <c r="A128">
        <v>118</v>
      </c>
      <c r="B128">
        <v>922</v>
      </c>
      <c r="C128">
        <f>VLOOKUP($B128,INPUTdata!$A:$L, C$8, FALSE)</f>
        <v>20</v>
      </c>
      <c r="D128">
        <f>VLOOKUP($B128,INPUTdata!$A:$L, D$8, FALSE)</f>
        <v>0</v>
      </c>
      <c r="E128">
        <f>VLOOKUP($B128,INPUTdata!$A:$L, E$8, FALSE)</f>
        <v>100</v>
      </c>
      <c r="F128">
        <f>VLOOKUP($B128,INPUTdata!$A:$L, F$8, FALSE)</f>
        <v>20</v>
      </c>
      <c r="G128">
        <f>VLOOKUP($B128,INPUTdata!$A:$L, G$8, FALSE)</f>
        <v>69.56</v>
      </c>
      <c r="H128">
        <f>VLOOKUP($B128,INPUTdata!$A:$L, H$8, FALSE)</f>
        <v>-13.02</v>
      </c>
      <c r="I128">
        <f>VLOOKUP($B128,INPUTdata!$A:$L, I$8, FALSE)</f>
        <v>66.66</v>
      </c>
      <c r="N128" s="21">
        <v>20</v>
      </c>
      <c r="O128" s="10">
        <v>0</v>
      </c>
      <c r="P128" s="10">
        <v>100</v>
      </c>
      <c r="Q128" s="10">
        <v>20</v>
      </c>
      <c r="R128" s="31" t="str">
        <f t="shared" si="1"/>
        <v/>
      </c>
    </row>
    <row r="129" spans="1:18" x14ac:dyDescent="0.25">
      <c r="A129">
        <v>119</v>
      </c>
      <c r="B129">
        <v>928</v>
      </c>
      <c r="C129">
        <f>VLOOKUP($B129,INPUTdata!$A:$L, C$8, FALSE)</f>
        <v>40</v>
      </c>
      <c r="D129">
        <f>VLOOKUP($B129,INPUTdata!$A:$L, D$8, FALSE)</f>
        <v>0</v>
      </c>
      <c r="E129">
        <f>VLOOKUP($B129,INPUTdata!$A:$L, E$8, FALSE)</f>
        <v>100</v>
      </c>
      <c r="F129">
        <f>VLOOKUP($B129,INPUTdata!$A:$L, F$8, FALSE)</f>
        <v>20</v>
      </c>
      <c r="G129">
        <f>VLOOKUP($B129,INPUTdata!$A:$L, G$8, FALSE)</f>
        <v>63.12</v>
      </c>
      <c r="H129">
        <f>VLOOKUP($B129,INPUTdata!$A:$L, H$8, FALSE)</f>
        <v>-22.54</v>
      </c>
      <c r="I129">
        <f>VLOOKUP($B129,INPUTdata!$A:$L, I$8, FALSE)</f>
        <v>55.19</v>
      </c>
      <c r="N129" s="21">
        <v>40</v>
      </c>
      <c r="O129" s="10">
        <v>0</v>
      </c>
      <c r="P129" s="10">
        <v>100</v>
      </c>
      <c r="Q129" s="10">
        <v>20</v>
      </c>
      <c r="R129" s="31" t="str">
        <f t="shared" si="1"/>
        <v/>
      </c>
    </row>
    <row r="130" spans="1:18" x14ac:dyDescent="0.25">
      <c r="A130">
        <v>120</v>
      </c>
      <c r="B130">
        <v>934</v>
      </c>
      <c r="C130">
        <f>VLOOKUP($B130,INPUTdata!$A:$L, C$8, FALSE)</f>
        <v>70</v>
      </c>
      <c r="D130">
        <f>VLOOKUP($B130,INPUTdata!$A:$L, D$8, FALSE)</f>
        <v>0</v>
      </c>
      <c r="E130">
        <f>VLOOKUP($B130,INPUTdata!$A:$L, E$8, FALSE)</f>
        <v>100</v>
      </c>
      <c r="F130">
        <f>VLOOKUP($B130,INPUTdata!$A:$L, F$8, FALSE)</f>
        <v>20</v>
      </c>
      <c r="G130">
        <f>VLOOKUP($B130,INPUTdata!$A:$L, G$8, FALSE)</f>
        <v>53.21</v>
      </c>
      <c r="H130">
        <f>VLOOKUP($B130,INPUTdata!$A:$L, H$8, FALSE)</f>
        <v>-39.17</v>
      </c>
      <c r="I130">
        <f>VLOOKUP($B130,INPUTdata!$A:$L, I$8, FALSE)</f>
        <v>37.72</v>
      </c>
      <c r="N130" s="21">
        <v>70</v>
      </c>
      <c r="O130" s="10">
        <v>0</v>
      </c>
      <c r="P130" s="10">
        <v>100</v>
      </c>
      <c r="Q130" s="10">
        <v>20</v>
      </c>
      <c r="R130" s="31" t="str">
        <f t="shared" si="1"/>
        <v/>
      </c>
    </row>
    <row r="131" spans="1:18" x14ac:dyDescent="0.25">
      <c r="A131">
        <v>121</v>
      </c>
      <c r="B131">
        <v>940</v>
      </c>
      <c r="C131">
        <f>VLOOKUP($B131,INPUTdata!$A:$L, C$8, FALSE)</f>
        <v>100</v>
      </c>
      <c r="D131">
        <f>VLOOKUP($B131,INPUTdata!$A:$L, D$8, FALSE)</f>
        <v>0</v>
      </c>
      <c r="E131">
        <f>VLOOKUP($B131,INPUTdata!$A:$L, E$8, FALSE)</f>
        <v>100</v>
      </c>
      <c r="F131">
        <f>VLOOKUP($B131,INPUTdata!$A:$L, F$8, FALSE)</f>
        <v>20</v>
      </c>
      <c r="G131">
        <f>VLOOKUP($B131,INPUTdata!$A:$L, G$8, FALSE)</f>
        <v>44.35</v>
      </c>
      <c r="H131">
        <f>VLOOKUP($B131,INPUTdata!$A:$L, H$8, FALSE)</f>
        <v>-56.2</v>
      </c>
      <c r="I131">
        <f>VLOOKUP($B131,INPUTdata!$A:$L, I$8, FALSE)</f>
        <v>22.36</v>
      </c>
      <c r="N131" s="21">
        <v>100</v>
      </c>
      <c r="O131" s="10">
        <v>0</v>
      </c>
      <c r="P131" s="10">
        <v>100</v>
      </c>
      <c r="Q131" s="10">
        <v>20</v>
      </c>
      <c r="R131" s="31" t="str">
        <f t="shared" si="1"/>
        <v/>
      </c>
    </row>
    <row r="132" spans="1:18" x14ac:dyDescent="0.25">
      <c r="A132">
        <v>122</v>
      </c>
      <c r="B132">
        <v>950</v>
      </c>
      <c r="C132">
        <f>VLOOKUP($B132,INPUTdata!$A:$L, C$8, FALSE)</f>
        <v>0</v>
      </c>
      <c r="D132">
        <f>VLOOKUP($B132,INPUTdata!$A:$L, D$8, FALSE)</f>
        <v>100</v>
      </c>
      <c r="E132">
        <f>VLOOKUP($B132,INPUTdata!$A:$L, E$8, FALSE)</f>
        <v>0</v>
      </c>
      <c r="F132">
        <f>VLOOKUP($B132,INPUTdata!$A:$L, F$8, FALSE)</f>
        <v>40</v>
      </c>
      <c r="G132">
        <f>VLOOKUP($B132,INPUTdata!$A:$L, G$8, FALSE)</f>
        <v>34.729999999999997</v>
      </c>
      <c r="H132">
        <f>VLOOKUP($B132,INPUTdata!$A:$L, H$8, FALSE)</f>
        <v>52.41</v>
      </c>
      <c r="I132">
        <f>VLOOKUP($B132,INPUTdata!$A:$L, I$8, FALSE)</f>
        <v>-3.59</v>
      </c>
      <c r="N132" s="21">
        <v>0</v>
      </c>
      <c r="O132" s="10">
        <v>100</v>
      </c>
      <c r="P132" s="10">
        <v>0</v>
      </c>
      <c r="Q132" s="10">
        <v>40</v>
      </c>
      <c r="R132" s="31" t="str">
        <f t="shared" si="1"/>
        <v/>
      </c>
    </row>
    <row r="133" spans="1:18" x14ac:dyDescent="0.25">
      <c r="A133">
        <v>123</v>
      </c>
      <c r="B133">
        <v>955</v>
      </c>
      <c r="C133">
        <f>VLOOKUP($B133,INPUTdata!$A:$L, C$8, FALSE)</f>
        <v>20</v>
      </c>
      <c r="D133">
        <f>VLOOKUP($B133,INPUTdata!$A:$L, D$8, FALSE)</f>
        <v>100</v>
      </c>
      <c r="E133">
        <f>VLOOKUP($B133,INPUTdata!$A:$L, E$8, FALSE)</f>
        <v>0</v>
      </c>
      <c r="F133">
        <f>VLOOKUP($B133,INPUTdata!$A:$L, F$8, FALSE)</f>
        <v>40</v>
      </c>
      <c r="G133">
        <f>VLOOKUP($B133,INPUTdata!$A:$L, G$8, FALSE)</f>
        <v>31.68</v>
      </c>
      <c r="H133">
        <f>VLOOKUP($B133,INPUTdata!$A:$L, H$8, FALSE)</f>
        <v>44.79</v>
      </c>
      <c r="I133">
        <f>VLOOKUP($B133,INPUTdata!$A:$L, I$8, FALSE)</f>
        <v>-9.75</v>
      </c>
      <c r="N133" s="21">
        <v>20</v>
      </c>
      <c r="O133" s="10">
        <v>100</v>
      </c>
      <c r="P133" s="10">
        <v>0</v>
      </c>
      <c r="Q133" s="10">
        <v>40</v>
      </c>
      <c r="R133" s="31" t="str">
        <f t="shared" si="1"/>
        <v/>
      </c>
    </row>
    <row r="134" spans="1:18" x14ac:dyDescent="0.25">
      <c r="A134">
        <v>124</v>
      </c>
      <c r="B134">
        <v>960</v>
      </c>
      <c r="C134">
        <f>VLOOKUP($B134,INPUTdata!$A:$L, C$8, FALSE)</f>
        <v>40</v>
      </c>
      <c r="D134">
        <f>VLOOKUP($B134,INPUTdata!$A:$L, D$8, FALSE)</f>
        <v>100</v>
      </c>
      <c r="E134">
        <f>VLOOKUP($B134,INPUTdata!$A:$L, E$8, FALSE)</f>
        <v>0</v>
      </c>
      <c r="F134">
        <f>VLOOKUP($B134,INPUTdata!$A:$L, F$8, FALSE)</f>
        <v>40</v>
      </c>
      <c r="G134">
        <f>VLOOKUP($B134,INPUTdata!$A:$L, G$8, FALSE)</f>
        <v>28.54</v>
      </c>
      <c r="H134">
        <f>VLOOKUP($B134,INPUTdata!$A:$L, H$8, FALSE)</f>
        <v>36.979999999999997</v>
      </c>
      <c r="I134">
        <f>VLOOKUP($B134,INPUTdata!$A:$L, I$8, FALSE)</f>
        <v>-15.54</v>
      </c>
      <c r="N134" s="21">
        <v>40</v>
      </c>
      <c r="O134" s="10">
        <v>100</v>
      </c>
      <c r="P134" s="10">
        <v>0</v>
      </c>
      <c r="Q134" s="10">
        <v>40</v>
      </c>
      <c r="R134" s="31" t="str">
        <f t="shared" si="1"/>
        <v/>
      </c>
    </row>
    <row r="135" spans="1:18" x14ac:dyDescent="0.25">
      <c r="A135">
        <v>125</v>
      </c>
      <c r="B135">
        <v>965</v>
      </c>
      <c r="C135">
        <f>VLOOKUP($B135,INPUTdata!$A:$L, C$8, FALSE)</f>
        <v>70</v>
      </c>
      <c r="D135">
        <f>VLOOKUP($B135,INPUTdata!$A:$L, D$8, FALSE)</f>
        <v>100</v>
      </c>
      <c r="E135">
        <f>VLOOKUP($B135,INPUTdata!$A:$L, E$8, FALSE)</f>
        <v>0</v>
      </c>
      <c r="F135">
        <f>VLOOKUP($B135,INPUTdata!$A:$L, F$8, FALSE)</f>
        <v>40</v>
      </c>
      <c r="G135">
        <f>VLOOKUP($B135,INPUTdata!$A:$L, G$8, FALSE)</f>
        <v>24.02</v>
      </c>
      <c r="H135">
        <f>VLOOKUP($B135,INPUTdata!$A:$L, H$8, FALSE)</f>
        <v>24.6</v>
      </c>
      <c r="I135">
        <f>VLOOKUP($B135,INPUTdata!$A:$L, I$8, FALSE)</f>
        <v>-24.3</v>
      </c>
      <c r="N135" s="21">
        <v>70</v>
      </c>
      <c r="O135" s="10">
        <v>100</v>
      </c>
      <c r="P135" s="10">
        <v>0</v>
      </c>
      <c r="Q135" s="10">
        <v>40</v>
      </c>
      <c r="R135" s="31" t="str">
        <f t="shared" si="1"/>
        <v/>
      </c>
    </row>
    <row r="136" spans="1:18" x14ac:dyDescent="0.25">
      <c r="A136">
        <v>126</v>
      </c>
      <c r="B136">
        <v>966</v>
      </c>
      <c r="C136">
        <f>VLOOKUP($B136,INPUTdata!$A:$L, C$8, FALSE)</f>
        <v>100</v>
      </c>
      <c r="D136">
        <f>VLOOKUP($B136,INPUTdata!$A:$L, D$8, FALSE)</f>
        <v>0</v>
      </c>
      <c r="E136">
        <f>VLOOKUP($B136,INPUTdata!$A:$L, E$8, FALSE)</f>
        <v>0</v>
      </c>
      <c r="F136">
        <f>VLOOKUP($B136,INPUTdata!$A:$L, F$8, FALSE)</f>
        <v>40</v>
      </c>
      <c r="G136">
        <f>VLOOKUP($B136,INPUTdata!$A:$L, G$8, FALSE)</f>
        <v>40.47</v>
      </c>
      <c r="H136">
        <f>VLOOKUP($B136,INPUTdata!$A:$L, H$8, FALSE)</f>
        <v>-27.78</v>
      </c>
      <c r="I136">
        <f>VLOOKUP($B136,INPUTdata!$A:$L, I$8, FALSE)</f>
        <v>-35.21</v>
      </c>
      <c r="N136" s="21">
        <v>100</v>
      </c>
      <c r="O136" s="10">
        <v>0</v>
      </c>
      <c r="P136" s="10">
        <v>0</v>
      </c>
      <c r="Q136" s="10">
        <v>40</v>
      </c>
      <c r="R136" s="31" t="str">
        <f t="shared" si="1"/>
        <v/>
      </c>
    </row>
    <row r="137" spans="1:18" x14ac:dyDescent="0.25">
      <c r="A137">
        <v>127</v>
      </c>
      <c r="B137">
        <v>967</v>
      </c>
      <c r="C137">
        <f>VLOOKUP($B137,INPUTdata!$A:$L, C$8, FALSE)</f>
        <v>100</v>
      </c>
      <c r="D137">
        <f>VLOOKUP($B137,INPUTdata!$A:$L, D$8, FALSE)</f>
        <v>20</v>
      </c>
      <c r="E137">
        <f>VLOOKUP($B137,INPUTdata!$A:$L, E$8, FALSE)</f>
        <v>0</v>
      </c>
      <c r="F137">
        <f>VLOOKUP($B137,INPUTdata!$A:$L, F$8, FALSE)</f>
        <v>40</v>
      </c>
      <c r="G137">
        <f>VLOOKUP($B137,INPUTdata!$A:$L, G$8, FALSE)</f>
        <v>36.25</v>
      </c>
      <c r="H137">
        <f>VLOOKUP($B137,INPUTdata!$A:$L, H$8, FALSE)</f>
        <v>-19.71</v>
      </c>
      <c r="I137">
        <f>VLOOKUP($B137,INPUTdata!$A:$L, I$8, FALSE)</f>
        <v>-34.61</v>
      </c>
      <c r="N137" s="21">
        <v>100</v>
      </c>
      <c r="O137" s="10">
        <v>20</v>
      </c>
      <c r="P137" s="10">
        <v>0</v>
      </c>
      <c r="Q137" s="10">
        <v>40</v>
      </c>
      <c r="R137" s="31" t="str">
        <f t="shared" si="1"/>
        <v/>
      </c>
    </row>
    <row r="138" spans="1:18" x14ac:dyDescent="0.25">
      <c r="A138">
        <v>128</v>
      </c>
      <c r="B138">
        <v>968</v>
      </c>
      <c r="C138">
        <f>VLOOKUP($B138,INPUTdata!$A:$L, C$8, FALSE)</f>
        <v>100</v>
      </c>
      <c r="D138">
        <f>VLOOKUP($B138,INPUTdata!$A:$L, D$8, FALSE)</f>
        <v>40</v>
      </c>
      <c r="E138">
        <f>VLOOKUP($B138,INPUTdata!$A:$L, E$8, FALSE)</f>
        <v>0</v>
      </c>
      <c r="F138">
        <f>VLOOKUP($B138,INPUTdata!$A:$L, F$8, FALSE)</f>
        <v>40</v>
      </c>
      <c r="G138">
        <f>VLOOKUP($B138,INPUTdata!$A:$L, G$8, FALSE)</f>
        <v>31.88</v>
      </c>
      <c r="H138">
        <f>VLOOKUP($B138,INPUTdata!$A:$L, H$8, FALSE)</f>
        <v>-11.32</v>
      </c>
      <c r="I138">
        <f>VLOOKUP($B138,INPUTdata!$A:$L, I$8, FALSE)</f>
        <v>-33.979999999999997</v>
      </c>
      <c r="N138" s="21">
        <v>100</v>
      </c>
      <c r="O138" s="10">
        <v>40</v>
      </c>
      <c r="P138" s="10">
        <v>0</v>
      </c>
      <c r="Q138" s="10">
        <v>40</v>
      </c>
      <c r="R138" s="31" t="str">
        <f t="shared" si="1"/>
        <v/>
      </c>
    </row>
    <row r="139" spans="1:18" x14ac:dyDescent="0.25">
      <c r="A139">
        <v>129</v>
      </c>
      <c r="B139">
        <v>969</v>
      </c>
      <c r="C139">
        <f>VLOOKUP($B139,INPUTdata!$A:$L, C$8, FALSE)</f>
        <v>100</v>
      </c>
      <c r="D139">
        <f>VLOOKUP($B139,INPUTdata!$A:$L, D$8, FALSE)</f>
        <v>70</v>
      </c>
      <c r="E139">
        <f>VLOOKUP($B139,INPUTdata!$A:$L, E$8, FALSE)</f>
        <v>0</v>
      </c>
      <c r="F139">
        <f>VLOOKUP($B139,INPUTdata!$A:$L, F$8, FALSE)</f>
        <v>40</v>
      </c>
      <c r="G139">
        <f>VLOOKUP($B139,INPUTdata!$A:$L, G$8, FALSE)</f>
        <v>25.47</v>
      </c>
      <c r="H139">
        <f>VLOOKUP($B139,INPUTdata!$A:$L, H$8, FALSE)</f>
        <v>1.82</v>
      </c>
      <c r="I139">
        <f>VLOOKUP($B139,INPUTdata!$A:$L, I$8, FALSE)</f>
        <v>-32.619999999999997</v>
      </c>
      <c r="N139" s="21">
        <v>100</v>
      </c>
      <c r="O139" s="10">
        <v>70</v>
      </c>
      <c r="P139" s="10">
        <v>0</v>
      </c>
      <c r="Q139" s="10">
        <v>40</v>
      </c>
      <c r="R139" s="31" t="str">
        <f t="shared" si="1"/>
        <v/>
      </c>
    </row>
    <row r="140" spans="1:18" x14ac:dyDescent="0.25">
      <c r="A140">
        <v>130</v>
      </c>
      <c r="B140">
        <v>970</v>
      </c>
      <c r="C140">
        <f>VLOOKUP($B140,INPUTdata!$A:$L, C$8, FALSE)</f>
        <v>100</v>
      </c>
      <c r="D140">
        <f>VLOOKUP($B140,INPUTdata!$A:$L, D$8, FALSE)</f>
        <v>100</v>
      </c>
      <c r="E140">
        <f>VLOOKUP($B140,INPUTdata!$A:$L, E$8, FALSE)</f>
        <v>0</v>
      </c>
      <c r="F140">
        <f>VLOOKUP($B140,INPUTdata!$A:$L, F$8, FALSE)</f>
        <v>40</v>
      </c>
      <c r="G140">
        <f>VLOOKUP($B140,INPUTdata!$A:$L, G$8, FALSE)</f>
        <v>20.329999999999998</v>
      </c>
      <c r="H140">
        <f>VLOOKUP($B140,INPUTdata!$A:$L, H$8, FALSE)</f>
        <v>13.31</v>
      </c>
      <c r="I140">
        <f>VLOOKUP($B140,INPUTdata!$A:$L, I$8, FALSE)</f>
        <v>-31.27</v>
      </c>
      <c r="N140" s="21">
        <v>100</v>
      </c>
      <c r="O140" s="10">
        <v>100</v>
      </c>
      <c r="P140" s="10">
        <v>0</v>
      </c>
      <c r="Q140" s="10">
        <v>40</v>
      </c>
      <c r="R140" s="31" t="str">
        <f t="shared" ref="R140:R203" si="2">IF(AND(N140=C140,O140=D140,P140=E140,Q140=F140), "", 1)</f>
        <v/>
      </c>
    </row>
    <row r="141" spans="1:18" x14ac:dyDescent="0.25">
      <c r="A141">
        <v>131</v>
      </c>
      <c r="B141">
        <v>975</v>
      </c>
      <c r="C141">
        <f>VLOOKUP($B141,INPUTdata!$A:$L, C$8, FALSE)</f>
        <v>0</v>
      </c>
      <c r="D141">
        <f>VLOOKUP($B141,INPUTdata!$A:$L, D$8, FALSE)</f>
        <v>100</v>
      </c>
      <c r="E141">
        <f>VLOOKUP($B141,INPUTdata!$A:$L, E$8, FALSE)</f>
        <v>20</v>
      </c>
      <c r="F141">
        <f>VLOOKUP($B141,INPUTdata!$A:$L, F$8, FALSE)</f>
        <v>40</v>
      </c>
      <c r="G141">
        <f>VLOOKUP($B141,INPUTdata!$A:$L, G$8, FALSE)</f>
        <v>34.92</v>
      </c>
      <c r="H141">
        <f>VLOOKUP($B141,INPUTdata!$A:$L, H$8, FALSE)</f>
        <v>50.69</v>
      </c>
      <c r="I141">
        <f>VLOOKUP($B141,INPUTdata!$A:$L, I$8, FALSE)</f>
        <v>3.68</v>
      </c>
      <c r="N141" s="21">
        <v>0</v>
      </c>
      <c r="O141" s="10">
        <v>100</v>
      </c>
      <c r="P141" s="10">
        <v>20</v>
      </c>
      <c r="Q141" s="10">
        <v>40</v>
      </c>
      <c r="R141" s="31" t="str">
        <f t="shared" si="2"/>
        <v/>
      </c>
    </row>
    <row r="142" spans="1:18" x14ac:dyDescent="0.25">
      <c r="A142">
        <v>132</v>
      </c>
      <c r="B142">
        <v>991</v>
      </c>
      <c r="C142">
        <f>VLOOKUP($B142,INPUTdata!$A:$L, C$8, FALSE)</f>
        <v>100</v>
      </c>
      <c r="D142">
        <f>VLOOKUP($B142,INPUTdata!$A:$L, D$8, FALSE)</f>
        <v>0</v>
      </c>
      <c r="E142">
        <f>VLOOKUP($B142,INPUTdata!$A:$L, E$8, FALSE)</f>
        <v>20</v>
      </c>
      <c r="F142">
        <f>VLOOKUP($B142,INPUTdata!$A:$L, F$8, FALSE)</f>
        <v>40</v>
      </c>
      <c r="G142">
        <f>VLOOKUP($B142,INPUTdata!$A:$L, G$8, FALSE)</f>
        <v>39.9</v>
      </c>
      <c r="H142">
        <f>VLOOKUP($B142,INPUTdata!$A:$L, H$8, FALSE)</f>
        <v>-33</v>
      </c>
      <c r="I142">
        <f>VLOOKUP($B142,INPUTdata!$A:$L, I$8, FALSE)</f>
        <v>-24.49</v>
      </c>
      <c r="N142" s="21">
        <v>100</v>
      </c>
      <c r="O142" s="10">
        <v>0</v>
      </c>
      <c r="P142" s="10">
        <v>20</v>
      </c>
      <c r="Q142" s="10">
        <v>40</v>
      </c>
      <c r="R142" s="31" t="str">
        <f t="shared" si="2"/>
        <v/>
      </c>
    </row>
    <row r="143" spans="1:18" x14ac:dyDescent="0.25">
      <c r="A143">
        <v>133</v>
      </c>
      <c r="B143">
        <v>1000</v>
      </c>
      <c r="C143">
        <f>VLOOKUP($B143,INPUTdata!$A:$L, C$8, FALSE)</f>
        <v>0</v>
      </c>
      <c r="D143">
        <f>VLOOKUP($B143,INPUTdata!$A:$L, D$8, FALSE)</f>
        <v>100</v>
      </c>
      <c r="E143">
        <f>VLOOKUP($B143,INPUTdata!$A:$L, E$8, FALSE)</f>
        <v>40</v>
      </c>
      <c r="F143">
        <f>VLOOKUP($B143,INPUTdata!$A:$L, F$8, FALSE)</f>
        <v>40</v>
      </c>
      <c r="G143">
        <f>VLOOKUP($B143,INPUTdata!$A:$L, G$8, FALSE)</f>
        <v>34.82</v>
      </c>
      <c r="H143">
        <f>VLOOKUP($B143,INPUTdata!$A:$L, H$8, FALSE)</f>
        <v>49.2</v>
      </c>
      <c r="I143">
        <f>VLOOKUP($B143,INPUTdata!$A:$L, I$8, FALSE)</f>
        <v>11.03</v>
      </c>
      <c r="N143" s="21">
        <v>0</v>
      </c>
      <c r="O143" s="10">
        <v>100</v>
      </c>
      <c r="P143" s="10">
        <v>40</v>
      </c>
      <c r="Q143" s="10">
        <v>40</v>
      </c>
      <c r="R143" s="31" t="str">
        <f t="shared" si="2"/>
        <v/>
      </c>
    </row>
    <row r="144" spans="1:18" x14ac:dyDescent="0.25">
      <c r="A144">
        <v>134</v>
      </c>
      <c r="B144">
        <v>1016</v>
      </c>
      <c r="C144">
        <f>VLOOKUP($B144,INPUTdata!$A:$L, C$8, FALSE)</f>
        <v>100</v>
      </c>
      <c r="D144">
        <f>VLOOKUP($B144,INPUTdata!$A:$L, D$8, FALSE)</f>
        <v>0</v>
      </c>
      <c r="E144">
        <f>VLOOKUP($B144,INPUTdata!$A:$L, E$8, FALSE)</f>
        <v>40</v>
      </c>
      <c r="F144">
        <f>VLOOKUP($B144,INPUTdata!$A:$L, F$8, FALSE)</f>
        <v>40</v>
      </c>
      <c r="G144">
        <f>VLOOKUP($B144,INPUTdata!$A:$L, G$8, FALSE)</f>
        <v>39.26</v>
      </c>
      <c r="H144">
        <f>VLOOKUP($B144,INPUTdata!$A:$L, H$8, FALSE)</f>
        <v>-37.340000000000003</v>
      </c>
      <c r="I144">
        <f>VLOOKUP($B144,INPUTdata!$A:$L, I$8, FALSE)</f>
        <v>-13.75</v>
      </c>
      <c r="N144" s="21">
        <v>100</v>
      </c>
      <c r="O144" s="10">
        <v>0</v>
      </c>
      <c r="P144" s="10">
        <v>40</v>
      </c>
      <c r="Q144" s="10">
        <v>40</v>
      </c>
      <c r="R144" s="31" t="str">
        <f t="shared" si="2"/>
        <v/>
      </c>
    </row>
    <row r="145" spans="1:18" x14ac:dyDescent="0.25">
      <c r="A145">
        <v>135</v>
      </c>
      <c r="B145">
        <v>1025</v>
      </c>
      <c r="C145">
        <f>VLOOKUP($B145,INPUTdata!$A:$L, C$8, FALSE)</f>
        <v>0</v>
      </c>
      <c r="D145">
        <f>VLOOKUP($B145,INPUTdata!$A:$L, D$8, FALSE)</f>
        <v>100</v>
      </c>
      <c r="E145">
        <f>VLOOKUP($B145,INPUTdata!$A:$L, E$8, FALSE)</f>
        <v>70</v>
      </c>
      <c r="F145">
        <f>VLOOKUP($B145,INPUTdata!$A:$L, F$8, FALSE)</f>
        <v>40</v>
      </c>
      <c r="G145">
        <f>VLOOKUP($B145,INPUTdata!$A:$L, G$8, FALSE)</f>
        <v>34.659999999999997</v>
      </c>
      <c r="H145">
        <f>VLOOKUP($B145,INPUTdata!$A:$L, H$8, FALSE)</f>
        <v>47.17</v>
      </c>
      <c r="I145">
        <f>VLOOKUP($B145,INPUTdata!$A:$L, I$8, FALSE)</f>
        <v>21.98</v>
      </c>
      <c r="N145" s="21">
        <v>0</v>
      </c>
      <c r="O145" s="10">
        <v>100</v>
      </c>
      <c r="P145" s="10">
        <v>70</v>
      </c>
      <c r="Q145" s="10">
        <v>40</v>
      </c>
      <c r="R145" s="31" t="str">
        <f t="shared" si="2"/>
        <v/>
      </c>
    </row>
    <row r="146" spans="1:18" x14ac:dyDescent="0.25">
      <c r="A146">
        <v>136</v>
      </c>
      <c r="B146">
        <v>1041</v>
      </c>
      <c r="C146">
        <f>VLOOKUP($B146,INPUTdata!$A:$L, C$8, FALSE)</f>
        <v>100</v>
      </c>
      <c r="D146">
        <f>VLOOKUP($B146,INPUTdata!$A:$L, D$8, FALSE)</f>
        <v>0</v>
      </c>
      <c r="E146">
        <f>VLOOKUP($B146,INPUTdata!$A:$L, E$8, FALSE)</f>
        <v>70</v>
      </c>
      <c r="F146">
        <f>VLOOKUP($B146,INPUTdata!$A:$L, F$8, FALSE)</f>
        <v>40</v>
      </c>
      <c r="G146">
        <f>VLOOKUP($B146,INPUTdata!$A:$L, G$8, FALSE)</f>
        <v>38.49</v>
      </c>
      <c r="H146">
        <f>VLOOKUP($B146,INPUTdata!$A:$L, H$8, FALSE)</f>
        <v>-43.3</v>
      </c>
      <c r="I146">
        <f>VLOOKUP($B146,INPUTdata!$A:$L, I$8, FALSE)</f>
        <v>3.14</v>
      </c>
      <c r="N146" s="21">
        <v>100</v>
      </c>
      <c r="O146" s="10">
        <v>0</v>
      </c>
      <c r="P146" s="10">
        <v>70</v>
      </c>
      <c r="Q146" s="10">
        <v>40</v>
      </c>
      <c r="R146" s="31" t="str">
        <f t="shared" si="2"/>
        <v/>
      </c>
    </row>
    <row r="147" spans="1:18" x14ac:dyDescent="0.25">
      <c r="A147">
        <v>137</v>
      </c>
      <c r="B147">
        <v>1046</v>
      </c>
      <c r="C147">
        <f>VLOOKUP($B147,INPUTdata!$A:$L, C$8, FALSE)</f>
        <v>0</v>
      </c>
      <c r="D147">
        <f>VLOOKUP($B147,INPUTdata!$A:$L, D$8, FALSE)</f>
        <v>0</v>
      </c>
      <c r="E147">
        <f>VLOOKUP($B147,INPUTdata!$A:$L, E$8, FALSE)</f>
        <v>100</v>
      </c>
      <c r="F147">
        <f>VLOOKUP($B147,INPUTdata!$A:$L, F$8, FALSE)</f>
        <v>40</v>
      </c>
      <c r="G147">
        <f>VLOOKUP($B147,INPUTdata!$A:$L, G$8, FALSE)</f>
        <v>62.87</v>
      </c>
      <c r="H147">
        <f>VLOOKUP($B147,INPUTdata!$A:$L, H$8, FALSE)</f>
        <v>-4.63</v>
      </c>
      <c r="I147">
        <f>VLOOKUP($B147,INPUTdata!$A:$L, I$8, FALSE)</f>
        <v>63.27</v>
      </c>
      <c r="N147" s="21">
        <v>0</v>
      </c>
      <c r="O147" s="10">
        <v>0</v>
      </c>
      <c r="P147" s="10">
        <v>100</v>
      </c>
      <c r="Q147" s="10">
        <v>40</v>
      </c>
      <c r="R147" s="31" t="str">
        <f t="shared" si="2"/>
        <v/>
      </c>
    </row>
    <row r="148" spans="1:18" x14ac:dyDescent="0.25">
      <c r="A148">
        <v>138</v>
      </c>
      <c r="B148">
        <v>1047</v>
      </c>
      <c r="C148">
        <f>VLOOKUP($B148,INPUTdata!$A:$L, C$8, FALSE)</f>
        <v>0</v>
      </c>
      <c r="D148">
        <f>VLOOKUP($B148,INPUTdata!$A:$L, D$8, FALSE)</f>
        <v>20</v>
      </c>
      <c r="E148">
        <f>VLOOKUP($B148,INPUTdata!$A:$L, E$8, FALSE)</f>
        <v>100</v>
      </c>
      <c r="F148">
        <f>VLOOKUP($B148,INPUTdata!$A:$L, F$8, FALSE)</f>
        <v>40</v>
      </c>
      <c r="G148">
        <f>VLOOKUP($B148,INPUTdata!$A:$L, G$8, FALSE)</f>
        <v>56.78</v>
      </c>
      <c r="H148">
        <f>VLOOKUP($B148,INPUTdata!$A:$L, H$8, FALSE)</f>
        <v>4.88</v>
      </c>
      <c r="I148">
        <f>VLOOKUP($B148,INPUTdata!$A:$L, I$8, FALSE)</f>
        <v>56.16</v>
      </c>
      <c r="N148" s="21">
        <v>0</v>
      </c>
      <c r="O148" s="10">
        <v>20</v>
      </c>
      <c r="P148" s="10">
        <v>100</v>
      </c>
      <c r="Q148" s="10">
        <v>40</v>
      </c>
      <c r="R148" s="31" t="str">
        <f t="shared" si="2"/>
        <v/>
      </c>
    </row>
    <row r="149" spans="1:18" x14ac:dyDescent="0.25">
      <c r="A149">
        <v>139</v>
      </c>
      <c r="B149">
        <v>1048</v>
      </c>
      <c r="C149">
        <f>VLOOKUP($B149,INPUTdata!$A:$L, C$8, FALSE)</f>
        <v>0</v>
      </c>
      <c r="D149">
        <f>VLOOKUP($B149,INPUTdata!$A:$L, D$8, FALSE)</f>
        <v>40</v>
      </c>
      <c r="E149">
        <f>VLOOKUP($B149,INPUTdata!$A:$L, E$8, FALSE)</f>
        <v>100</v>
      </c>
      <c r="F149">
        <f>VLOOKUP($B149,INPUTdata!$A:$L, F$8, FALSE)</f>
        <v>40</v>
      </c>
      <c r="G149">
        <f>VLOOKUP($B149,INPUTdata!$A:$L, G$8, FALSE)</f>
        <v>50.64</v>
      </c>
      <c r="H149">
        <f>VLOOKUP($B149,INPUTdata!$A:$L, H$8, FALSE)</f>
        <v>15.02</v>
      </c>
      <c r="I149">
        <f>VLOOKUP($B149,INPUTdata!$A:$L, I$8, FALSE)</f>
        <v>49.41</v>
      </c>
      <c r="N149" s="21">
        <v>0</v>
      </c>
      <c r="O149" s="10">
        <v>40</v>
      </c>
      <c r="P149" s="10">
        <v>100</v>
      </c>
      <c r="Q149" s="10">
        <v>40</v>
      </c>
      <c r="R149" s="31" t="str">
        <f t="shared" si="2"/>
        <v/>
      </c>
    </row>
    <row r="150" spans="1:18" x14ac:dyDescent="0.25">
      <c r="A150">
        <v>140</v>
      </c>
      <c r="B150">
        <v>1049</v>
      </c>
      <c r="C150">
        <f>VLOOKUP($B150,INPUTdata!$A:$L, C$8, FALSE)</f>
        <v>0</v>
      </c>
      <c r="D150">
        <f>VLOOKUP($B150,INPUTdata!$A:$L, D$8, FALSE)</f>
        <v>70</v>
      </c>
      <c r="E150">
        <f>VLOOKUP($B150,INPUTdata!$A:$L, E$8, FALSE)</f>
        <v>100</v>
      </c>
      <c r="F150">
        <f>VLOOKUP($B150,INPUTdata!$A:$L, F$8, FALSE)</f>
        <v>40</v>
      </c>
      <c r="G150">
        <f>VLOOKUP($B150,INPUTdata!$A:$L, G$8, FALSE)</f>
        <v>41.43</v>
      </c>
      <c r="H150">
        <f>VLOOKUP($B150,INPUTdata!$A:$L, H$8, FALSE)</f>
        <v>31.24</v>
      </c>
      <c r="I150">
        <f>VLOOKUP($B150,INPUTdata!$A:$L, I$8, FALSE)</f>
        <v>39.229999999999997</v>
      </c>
      <c r="N150" s="21">
        <v>0</v>
      </c>
      <c r="O150" s="10">
        <v>70</v>
      </c>
      <c r="P150" s="10">
        <v>100</v>
      </c>
      <c r="Q150" s="10">
        <v>40</v>
      </c>
      <c r="R150" s="31" t="str">
        <f t="shared" si="2"/>
        <v/>
      </c>
    </row>
    <row r="151" spans="1:18" x14ac:dyDescent="0.25">
      <c r="A151">
        <v>141</v>
      </c>
      <c r="B151">
        <v>1050</v>
      </c>
      <c r="C151">
        <f>VLOOKUP($B151,INPUTdata!$A:$L, C$8, FALSE)</f>
        <v>0</v>
      </c>
      <c r="D151">
        <f>VLOOKUP($B151,INPUTdata!$A:$L, D$8, FALSE)</f>
        <v>100</v>
      </c>
      <c r="E151">
        <f>VLOOKUP($B151,INPUTdata!$A:$L, E$8, FALSE)</f>
        <v>100</v>
      </c>
      <c r="F151">
        <f>VLOOKUP($B151,INPUTdata!$A:$L, F$8, FALSE)</f>
        <v>40</v>
      </c>
      <c r="G151">
        <f>VLOOKUP($B151,INPUTdata!$A:$L, G$8, FALSE)</f>
        <v>34.119999999999997</v>
      </c>
      <c r="H151">
        <f>VLOOKUP($B151,INPUTdata!$A:$L, H$8, FALSE)</f>
        <v>45.71</v>
      </c>
      <c r="I151">
        <f>VLOOKUP($B151,INPUTdata!$A:$L, I$8, FALSE)</f>
        <v>31.75</v>
      </c>
      <c r="N151" s="21">
        <v>0</v>
      </c>
      <c r="O151" s="10">
        <v>100</v>
      </c>
      <c r="P151" s="10">
        <v>100</v>
      </c>
      <c r="Q151" s="10">
        <v>40</v>
      </c>
      <c r="R151" s="31" t="str">
        <f t="shared" si="2"/>
        <v/>
      </c>
    </row>
    <row r="152" spans="1:18" x14ac:dyDescent="0.25">
      <c r="A152">
        <v>142</v>
      </c>
      <c r="B152">
        <v>1051</v>
      </c>
      <c r="C152">
        <f>VLOOKUP($B152,INPUTdata!$A:$L, C$8, FALSE)</f>
        <v>20</v>
      </c>
      <c r="D152">
        <f>VLOOKUP($B152,INPUTdata!$A:$L, D$8, FALSE)</f>
        <v>0</v>
      </c>
      <c r="E152">
        <f>VLOOKUP($B152,INPUTdata!$A:$L, E$8, FALSE)</f>
        <v>100</v>
      </c>
      <c r="F152">
        <f>VLOOKUP($B152,INPUTdata!$A:$L, F$8, FALSE)</f>
        <v>40</v>
      </c>
      <c r="G152">
        <f>VLOOKUP($B152,INPUTdata!$A:$L, G$8, FALSE)</f>
        <v>57.8</v>
      </c>
      <c r="H152">
        <f>VLOOKUP($B152,INPUTdata!$A:$L, H$8, FALSE)</f>
        <v>-11.85</v>
      </c>
      <c r="I152">
        <f>VLOOKUP($B152,INPUTdata!$A:$L, I$8, FALSE)</f>
        <v>53.93</v>
      </c>
      <c r="N152" s="21">
        <v>20</v>
      </c>
      <c r="O152" s="10">
        <v>0</v>
      </c>
      <c r="P152" s="10">
        <v>100</v>
      </c>
      <c r="Q152" s="10">
        <v>40</v>
      </c>
      <c r="R152" s="31" t="str">
        <f t="shared" si="2"/>
        <v/>
      </c>
    </row>
    <row r="153" spans="1:18" x14ac:dyDescent="0.25">
      <c r="A153">
        <v>143</v>
      </c>
      <c r="B153">
        <v>1056</v>
      </c>
      <c r="C153">
        <f>VLOOKUP($B153,INPUTdata!$A:$L, C$8, FALSE)</f>
        <v>40</v>
      </c>
      <c r="D153">
        <f>VLOOKUP($B153,INPUTdata!$A:$L, D$8, FALSE)</f>
        <v>0</v>
      </c>
      <c r="E153">
        <f>VLOOKUP($B153,INPUTdata!$A:$L, E$8, FALSE)</f>
        <v>100</v>
      </c>
      <c r="F153">
        <f>VLOOKUP($B153,INPUTdata!$A:$L, F$8, FALSE)</f>
        <v>40</v>
      </c>
      <c r="G153">
        <f>VLOOKUP($B153,INPUTdata!$A:$L, G$8, FALSE)</f>
        <v>52.64</v>
      </c>
      <c r="H153">
        <f>VLOOKUP($B153,INPUTdata!$A:$L, H$8, FALSE)</f>
        <v>-19.78</v>
      </c>
      <c r="I153">
        <f>VLOOKUP($B153,INPUTdata!$A:$L, I$8, FALSE)</f>
        <v>44.88</v>
      </c>
      <c r="N153" s="21">
        <v>40</v>
      </c>
      <c r="O153" s="10">
        <v>0</v>
      </c>
      <c r="P153" s="10">
        <v>100</v>
      </c>
      <c r="Q153" s="10">
        <v>40</v>
      </c>
      <c r="R153" s="31" t="str">
        <f t="shared" si="2"/>
        <v/>
      </c>
    </row>
    <row r="154" spans="1:18" x14ac:dyDescent="0.25">
      <c r="A154">
        <v>144</v>
      </c>
      <c r="B154">
        <v>1061</v>
      </c>
      <c r="C154">
        <f>VLOOKUP($B154,INPUTdata!$A:$L, C$8, FALSE)</f>
        <v>70</v>
      </c>
      <c r="D154">
        <f>VLOOKUP($B154,INPUTdata!$A:$L, D$8, FALSE)</f>
        <v>0</v>
      </c>
      <c r="E154">
        <f>VLOOKUP($B154,INPUTdata!$A:$L, E$8, FALSE)</f>
        <v>100</v>
      </c>
      <c r="F154">
        <f>VLOOKUP($B154,INPUTdata!$A:$L, F$8, FALSE)</f>
        <v>40</v>
      </c>
      <c r="G154">
        <f>VLOOKUP($B154,INPUTdata!$A:$L, G$8, FALSE)</f>
        <v>44.75</v>
      </c>
      <c r="H154">
        <f>VLOOKUP($B154,INPUTdata!$A:$L, H$8, FALSE)</f>
        <v>-33.19</v>
      </c>
      <c r="I154">
        <f>VLOOKUP($B154,INPUTdata!$A:$L, I$8, FALSE)</f>
        <v>30.74</v>
      </c>
      <c r="N154" s="21">
        <v>70</v>
      </c>
      <c r="O154" s="10">
        <v>0</v>
      </c>
      <c r="P154" s="10">
        <v>100</v>
      </c>
      <c r="Q154" s="10">
        <v>40</v>
      </c>
      <c r="R154" s="31" t="str">
        <f t="shared" si="2"/>
        <v/>
      </c>
    </row>
    <row r="155" spans="1:18" x14ac:dyDescent="0.25">
      <c r="A155">
        <v>145</v>
      </c>
      <c r="B155">
        <v>1066</v>
      </c>
      <c r="C155">
        <f>VLOOKUP($B155,INPUTdata!$A:$L, C$8, FALSE)</f>
        <v>100</v>
      </c>
      <c r="D155">
        <f>VLOOKUP($B155,INPUTdata!$A:$L, D$8, FALSE)</f>
        <v>0</v>
      </c>
      <c r="E155">
        <f>VLOOKUP($B155,INPUTdata!$A:$L, E$8, FALSE)</f>
        <v>100</v>
      </c>
      <c r="F155">
        <f>VLOOKUP($B155,INPUTdata!$A:$L, F$8, FALSE)</f>
        <v>40</v>
      </c>
      <c r="G155">
        <f>VLOOKUP($B155,INPUTdata!$A:$L, G$8, FALSE)</f>
        <v>37.9</v>
      </c>
      <c r="H155">
        <f>VLOOKUP($B155,INPUTdata!$A:$L, H$8, FALSE)</f>
        <v>-46.57</v>
      </c>
      <c r="I155">
        <f>VLOOKUP($B155,INPUTdata!$A:$L, I$8, FALSE)</f>
        <v>18.61</v>
      </c>
      <c r="N155" s="21">
        <v>100</v>
      </c>
      <c r="O155" s="10">
        <v>0</v>
      </c>
      <c r="P155" s="10">
        <v>100</v>
      </c>
      <c r="Q155" s="10">
        <v>40</v>
      </c>
      <c r="R155" s="31" t="str">
        <f t="shared" si="2"/>
        <v/>
      </c>
    </row>
    <row r="156" spans="1:18" x14ac:dyDescent="0.25">
      <c r="A156">
        <v>146</v>
      </c>
      <c r="B156">
        <v>1075</v>
      </c>
      <c r="C156">
        <f>VLOOKUP($B156,INPUTdata!$A:$L, C$8, FALSE)</f>
        <v>0</v>
      </c>
      <c r="D156">
        <f>VLOOKUP($B156,INPUTdata!$A:$L, D$8, FALSE)</f>
        <v>100</v>
      </c>
      <c r="E156">
        <f>VLOOKUP($B156,INPUTdata!$A:$L, E$8, FALSE)</f>
        <v>0</v>
      </c>
      <c r="F156">
        <f>VLOOKUP($B156,INPUTdata!$A:$L, F$8, FALSE)</f>
        <v>60</v>
      </c>
      <c r="G156">
        <f>VLOOKUP($B156,INPUTdata!$A:$L, G$8, FALSE)</f>
        <v>27.7</v>
      </c>
      <c r="H156">
        <f>VLOOKUP($B156,INPUTdata!$A:$L, H$8, FALSE)</f>
        <v>41.31</v>
      </c>
      <c r="I156">
        <f>VLOOKUP($B156,INPUTdata!$A:$L, I$8, FALSE)</f>
        <v>-2.4700000000000002</v>
      </c>
      <c r="N156" s="21">
        <v>0</v>
      </c>
      <c r="O156" s="10">
        <v>100</v>
      </c>
      <c r="P156" s="10">
        <v>0</v>
      </c>
      <c r="Q156" s="10">
        <v>60</v>
      </c>
      <c r="R156" s="31" t="str">
        <f t="shared" si="2"/>
        <v/>
      </c>
    </row>
    <row r="157" spans="1:18" x14ac:dyDescent="0.25">
      <c r="A157">
        <v>147</v>
      </c>
      <c r="B157">
        <v>1080</v>
      </c>
      <c r="C157">
        <f>VLOOKUP($B157,INPUTdata!$A:$L, C$8, FALSE)</f>
        <v>20</v>
      </c>
      <c r="D157">
        <f>VLOOKUP($B157,INPUTdata!$A:$L, D$8, FALSE)</f>
        <v>100</v>
      </c>
      <c r="E157">
        <f>VLOOKUP($B157,INPUTdata!$A:$L, E$8, FALSE)</f>
        <v>0</v>
      </c>
      <c r="F157">
        <f>VLOOKUP($B157,INPUTdata!$A:$L, F$8, FALSE)</f>
        <v>60</v>
      </c>
      <c r="G157">
        <f>VLOOKUP($B157,INPUTdata!$A:$L, G$8, FALSE)</f>
        <v>25.41</v>
      </c>
      <c r="H157">
        <f>VLOOKUP($B157,INPUTdata!$A:$L, H$8, FALSE)</f>
        <v>35.380000000000003</v>
      </c>
      <c r="I157">
        <f>VLOOKUP($B157,INPUTdata!$A:$L, I$8, FALSE)</f>
        <v>-7.21</v>
      </c>
      <c r="N157" s="21">
        <v>20</v>
      </c>
      <c r="O157" s="10">
        <v>100</v>
      </c>
      <c r="P157" s="10">
        <v>0</v>
      </c>
      <c r="Q157" s="10">
        <v>60</v>
      </c>
      <c r="R157" s="31" t="str">
        <f t="shared" si="2"/>
        <v/>
      </c>
    </row>
    <row r="158" spans="1:18" x14ac:dyDescent="0.25">
      <c r="A158">
        <v>148</v>
      </c>
      <c r="B158">
        <v>1085</v>
      </c>
      <c r="C158">
        <f>VLOOKUP($B158,INPUTdata!$A:$L, C$8, FALSE)</f>
        <v>40</v>
      </c>
      <c r="D158">
        <f>VLOOKUP($B158,INPUTdata!$A:$L, D$8, FALSE)</f>
        <v>100</v>
      </c>
      <c r="E158">
        <f>VLOOKUP($B158,INPUTdata!$A:$L, E$8, FALSE)</f>
        <v>0</v>
      </c>
      <c r="F158">
        <f>VLOOKUP($B158,INPUTdata!$A:$L, F$8, FALSE)</f>
        <v>60</v>
      </c>
      <c r="G158">
        <f>VLOOKUP($B158,INPUTdata!$A:$L, G$8, FALSE)</f>
        <v>23.17</v>
      </c>
      <c r="H158">
        <f>VLOOKUP($B158,INPUTdata!$A:$L, H$8, FALSE)</f>
        <v>29.32</v>
      </c>
      <c r="I158">
        <f>VLOOKUP($B158,INPUTdata!$A:$L, I$8, FALSE)</f>
        <v>-11.7</v>
      </c>
      <c r="N158" s="21">
        <v>40</v>
      </c>
      <c r="O158" s="10">
        <v>100</v>
      </c>
      <c r="P158" s="10">
        <v>0</v>
      </c>
      <c r="Q158" s="10">
        <v>60</v>
      </c>
      <c r="R158" s="31" t="str">
        <f t="shared" si="2"/>
        <v/>
      </c>
    </row>
    <row r="159" spans="1:18" x14ac:dyDescent="0.25">
      <c r="A159">
        <v>149</v>
      </c>
      <c r="B159">
        <v>1090</v>
      </c>
      <c r="C159">
        <f>VLOOKUP($B159,INPUTdata!$A:$L, C$8, FALSE)</f>
        <v>70</v>
      </c>
      <c r="D159">
        <f>VLOOKUP($B159,INPUTdata!$A:$L, D$8, FALSE)</f>
        <v>100</v>
      </c>
      <c r="E159">
        <f>VLOOKUP($B159,INPUTdata!$A:$L, E$8, FALSE)</f>
        <v>0</v>
      </c>
      <c r="F159">
        <f>VLOOKUP($B159,INPUTdata!$A:$L, F$8, FALSE)</f>
        <v>60</v>
      </c>
      <c r="G159">
        <f>VLOOKUP($B159,INPUTdata!$A:$L, G$8, FALSE)</f>
        <v>19.82</v>
      </c>
      <c r="H159">
        <f>VLOOKUP($B159,INPUTdata!$A:$L, H$8, FALSE)</f>
        <v>19.559999999999999</v>
      </c>
      <c r="I159">
        <f>VLOOKUP($B159,INPUTdata!$A:$L, I$8, FALSE)</f>
        <v>-18.55</v>
      </c>
      <c r="N159" s="21">
        <v>70</v>
      </c>
      <c r="O159" s="10">
        <v>100</v>
      </c>
      <c r="P159" s="10">
        <v>0</v>
      </c>
      <c r="Q159" s="10">
        <v>60</v>
      </c>
      <c r="R159" s="31" t="str">
        <f t="shared" si="2"/>
        <v/>
      </c>
    </row>
    <row r="160" spans="1:18" x14ac:dyDescent="0.25">
      <c r="A160">
        <v>150</v>
      </c>
      <c r="B160">
        <v>1091</v>
      </c>
      <c r="C160">
        <f>VLOOKUP($B160,INPUTdata!$A:$L, C$8, FALSE)</f>
        <v>100</v>
      </c>
      <c r="D160">
        <f>VLOOKUP($B160,INPUTdata!$A:$L, D$8, FALSE)</f>
        <v>0</v>
      </c>
      <c r="E160">
        <f>VLOOKUP($B160,INPUTdata!$A:$L, E$8, FALSE)</f>
        <v>0</v>
      </c>
      <c r="F160">
        <f>VLOOKUP($B160,INPUTdata!$A:$L, F$8, FALSE)</f>
        <v>60</v>
      </c>
      <c r="G160">
        <f>VLOOKUP($B160,INPUTdata!$A:$L, G$8, FALSE)</f>
        <v>32.07</v>
      </c>
      <c r="H160">
        <f>VLOOKUP($B160,INPUTdata!$A:$L, H$8, FALSE)</f>
        <v>-22.41</v>
      </c>
      <c r="I160">
        <f>VLOOKUP($B160,INPUTdata!$A:$L, I$8, FALSE)</f>
        <v>-28.05</v>
      </c>
      <c r="N160" s="21">
        <v>100</v>
      </c>
      <c r="O160" s="10">
        <v>0</v>
      </c>
      <c r="P160" s="10">
        <v>0</v>
      </c>
      <c r="Q160" s="10">
        <v>60</v>
      </c>
      <c r="R160" s="31" t="str">
        <f t="shared" si="2"/>
        <v/>
      </c>
    </row>
    <row r="161" spans="1:18" x14ac:dyDescent="0.25">
      <c r="A161">
        <v>151</v>
      </c>
      <c r="B161">
        <v>1092</v>
      </c>
      <c r="C161">
        <f>VLOOKUP($B161,INPUTdata!$A:$L, C$8, FALSE)</f>
        <v>100</v>
      </c>
      <c r="D161">
        <f>VLOOKUP($B161,INPUTdata!$A:$L, D$8, FALSE)</f>
        <v>20</v>
      </c>
      <c r="E161">
        <f>VLOOKUP($B161,INPUTdata!$A:$L, E$8, FALSE)</f>
        <v>0</v>
      </c>
      <c r="F161">
        <f>VLOOKUP($B161,INPUTdata!$A:$L, F$8, FALSE)</f>
        <v>60</v>
      </c>
      <c r="G161">
        <f>VLOOKUP($B161,INPUTdata!$A:$L, G$8, FALSE)</f>
        <v>28.84</v>
      </c>
      <c r="H161">
        <f>VLOOKUP($B161,INPUTdata!$A:$L, H$8, FALSE)</f>
        <v>-15.73</v>
      </c>
      <c r="I161">
        <f>VLOOKUP($B161,INPUTdata!$A:$L, I$8, FALSE)</f>
        <v>-27.45</v>
      </c>
      <c r="N161" s="21">
        <v>100</v>
      </c>
      <c r="O161" s="10">
        <v>20</v>
      </c>
      <c r="P161" s="10">
        <v>0</v>
      </c>
      <c r="Q161" s="10">
        <v>60</v>
      </c>
      <c r="R161" s="31" t="str">
        <f t="shared" si="2"/>
        <v/>
      </c>
    </row>
    <row r="162" spans="1:18" x14ac:dyDescent="0.25">
      <c r="A162">
        <v>152</v>
      </c>
      <c r="B162">
        <v>1093</v>
      </c>
      <c r="C162">
        <f>VLOOKUP($B162,INPUTdata!$A:$L, C$8, FALSE)</f>
        <v>100</v>
      </c>
      <c r="D162">
        <f>VLOOKUP($B162,INPUTdata!$A:$L, D$8, FALSE)</f>
        <v>40</v>
      </c>
      <c r="E162">
        <f>VLOOKUP($B162,INPUTdata!$A:$L, E$8, FALSE)</f>
        <v>0</v>
      </c>
      <c r="F162">
        <f>VLOOKUP($B162,INPUTdata!$A:$L, F$8, FALSE)</f>
        <v>60</v>
      </c>
      <c r="G162">
        <f>VLOOKUP($B162,INPUTdata!$A:$L, G$8, FALSE)</f>
        <v>25.63</v>
      </c>
      <c r="H162">
        <f>VLOOKUP($B162,INPUTdata!$A:$L, H$8, FALSE)</f>
        <v>-8.92</v>
      </c>
      <c r="I162">
        <f>VLOOKUP($B162,INPUTdata!$A:$L, I$8, FALSE)</f>
        <v>-26.77</v>
      </c>
      <c r="N162" s="21">
        <v>100</v>
      </c>
      <c r="O162" s="10">
        <v>40</v>
      </c>
      <c r="P162" s="10">
        <v>0</v>
      </c>
      <c r="Q162" s="10">
        <v>60</v>
      </c>
      <c r="R162" s="31" t="str">
        <f t="shared" si="2"/>
        <v/>
      </c>
    </row>
    <row r="163" spans="1:18" x14ac:dyDescent="0.25">
      <c r="A163">
        <v>153</v>
      </c>
      <c r="B163">
        <v>1094</v>
      </c>
      <c r="C163">
        <f>VLOOKUP($B163,INPUTdata!$A:$L, C$8, FALSE)</f>
        <v>100</v>
      </c>
      <c r="D163">
        <f>VLOOKUP($B163,INPUTdata!$A:$L, D$8, FALSE)</f>
        <v>70</v>
      </c>
      <c r="E163">
        <f>VLOOKUP($B163,INPUTdata!$A:$L, E$8, FALSE)</f>
        <v>0</v>
      </c>
      <c r="F163">
        <f>VLOOKUP($B163,INPUTdata!$A:$L, F$8, FALSE)</f>
        <v>60</v>
      </c>
      <c r="G163">
        <f>VLOOKUP($B163,INPUTdata!$A:$L, G$8, FALSE)</f>
        <v>20.91</v>
      </c>
      <c r="H163">
        <f>VLOOKUP($B163,INPUTdata!$A:$L, H$8, FALSE)</f>
        <v>1.64</v>
      </c>
      <c r="I163">
        <f>VLOOKUP($B163,INPUTdata!$A:$L, I$8, FALSE)</f>
        <v>-25.33</v>
      </c>
      <c r="N163" s="21">
        <v>100</v>
      </c>
      <c r="O163" s="10">
        <v>70</v>
      </c>
      <c r="P163" s="10">
        <v>0</v>
      </c>
      <c r="Q163" s="10">
        <v>60</v>
      </c>
      <c r="R163" s="31" t="str">
        <f t="shared" si="2"/>
        <v/>
      </c>
    </row>
    <row r="164" spans="1:18" x14ac:dyDescent="0.25">
      <c r="A164">
        <v>154</v>
      </c>
      <c r="B164">
        <v>1095</v>
      </c>
      <c r="C164">
        <f>VLOOKUP($B164,INPUTdata!$A:$L, C$8, FALSE)</f>
        <v>100</v>
      </c>
      <c r="D164">
        <f>VLOOKUP($B164,INPUTdata!$A:$L, D$8, FALSE)</f>
        <v>100</v>
      </c>
      <c r="E164">
        <f>VLOOKUP($B164,INPUTdata!$A:$L, E$8, FALSE)</f>
        <v>0</v>
      </c>
      <c r="F164">
        <f>VLOOKUP($B164,INPUTdata!$A:$L, F$8, FALSE)</f>
        <v>60</v>
      </c>
      <c r="G164">
        <f>VLOOKUP($B164,INPUTdata!$A:$L, G$8, FALSE)</f>
        <v>17.190000000000001</v>
      </c>
      <c r="H164">
        <f>VLOOKUP($B164,INPUTdata!$A:$L, H$8, FALSE)</f>
        <v>10.82</v>
      </c>
      <c r="I164">
        <f>VLOOKUP($B164,INPUTdata!$A:$L, I$8, FALSE)</f>
        <v>-23.85</v>
      </c>
      <c r="N164" s="21">
        <v>100</v>
      </c>
      <c r="O164" s="10">
        <v>100</v>
      </c>
      <c r="P164" s="10">
        <v>0</v>
      </c>
      <c r="Q164" s="10">
        <v>60</v>
      </c>
      <c r="R164" s="31" t="str">
        <f t="shared" si="2"/>
        <v/>
      </c>
    </row>
    <row r="165" spans="1:18" x14ac:dyDescent="0.25">
      <c r="A165">
        <v>155</v>
      </c>
      <c r="B165">
        <v>1100</v>
      </c>
      <c r="C165">
        <f>VLOOKUP($B165,INPUTdata!$A:$L, C$8, FALSE)</f>
        <v>0</v>
      </c>
      <c r="D165">
        <f>VLOOKUP($B165,INPUTdata!$A:$L, D$8, FALSE)</f>
        <v>100</v>
      </c>
      <c r="E165">
        <f>VLOOKUP($B165,INPUTdata!$A:$L, E$8, FALSE)</f>
        <v>20</v>
      </c>
      <c r="F165">
        <f>VLOOKUP($B165,INPUTdata!$A:$L, F$8, FALSE)</f>
        <v>60</v>
      </c>
      <c r="G165">
        <f>VLOOKUP($B165,INPUTdata!$A:$L, G$8, FALSE)</f>
        <v>27.86</v>
      </c>
      <c r="H165">
        <f>VLOOKUP($B165,INPUTdata!$A:$L, H$8, FALSE)</f>
        <v>39.67</v>
      </c>
      <c r="I165">
        <f>VLOOKUP($B165,INPUTdata!$A:$L, I$8, FALSE)</f>
        <v>3.2</v>
      </c>
      <c r="N165" s="21">
        <v>0</v>
      </c>
      <c r="O165" s="10">
        <v>100</v>
      </c>
      <c r="P165" s="10">
        <v>20</v>
      </c>
      <c r="Q165" s="10">
        <v>60</v>
      </c>
      <c r="R165" s="31" t="str">
        <f t="shared" si="2"/>
        <v/>
      </c>
    </row>
    <row r="166" spans="1:18" x14ac:dyDescent="0.25">
      <c r="A166">
        <v>156</v>
      </c>
      <c r="B166">
        <v>1116</v>
      </c>
      <c r="C166">
        <f>VLOOKUP($B166,INPUTdata!$A:$L, C$8, FALSE)</f>
        <v>100</v>
      </c>
      <c r="D166">
        <f>VLOOKUP($B166,INPUTdata!$A:$L, D$8, FALSE)</f>
        <v>0</v>
      </c>
      <c r="E166">
        <f>VLOOKUP($B166,INPUTdata!$A:$L, E$8, FALSE)</f>
        <v>20</v>
      </c>
      <c r="F166">
        <f>VLOOKUP($B166,INPUTdata!$A:$L, F$8, FALSE)</f>
        <v>60</v>
      </c>
      <c r="G166">
        <f>VLOOKUP($B166,INPUTdata!$A:$L, G$8, FALSE)</f>
        <v>31.66</v>
      </c>
      <c r="H166">
        <f>VLOOKUP($B166,INPUTdata!$A:$L, H$8, FALSE)</f>
        <v>-26.5</v>
      </c>
      <c r="I166">
        <f>VLOOKUP($B166,INPUTdata!$A:$L, I$8, FALSE)</f>
        <v>-19.53</v>
      </c>
      <c r="N166" s="21">
        <v>100</v>
      </c>
      <c r="O166" s="10">
        <v>0</v>
      </c>
      <c r="P166" s="10">
        <v>20</v>
      </c>
      <c r="Q166" s="10">
        <v>60</v>
      </c>
      <c r="R166" s="31" t="str">
        <f t="shared" si="2"/>
        <v/>
      </c>
    </row>
    <row r="167" spans="1:18" x14ac:dyDescent="0.25">
      <c r="A167">
        <v>157</v>
      </c>
      <c r="B167">
        <v>1125</v>
      </c>
      <c r="C167">
        <f>VLOOKUP($B167,INPUTdata!$A:$L, C$8, FALSE)</f>
        <v>0</v>
      </c>
      <c r="D167">
        <f>VLOOKUP($B167,INPUTdata!$A:$L, D$8, FALSE)</f>
        <v>100</v>
      </c>
      <c r="E167">
        <f>VLOOKUP($B167,INPUTdata!$A:$L, E$8, FALSE)</f>
        <v>40</v>
      </c>
      <c r="F167">
        <f>VLOOKUP($B167,INPUTdata!$A:$L, F$8, FALSE)</f>
        <v>60</v>
      </c>
      <c r="G167">
        <f>VLOOKUP($B167,INPUTdata!$A:$L, G$8, FALSE)</f>
        <v>27.84</v>
      </c>
      <c r="H167">
        <f>VLOOKUP($B167,INPUTdata!$A:$L, H$8, FALSE)</f>
        <v>38.18</v>
      </c>
      <c r="I167">
        <f>VLOOKUP($B167,INPUTdata!$A:$L, I$8, FALSE)</f>
        <v>8.74</v>
      </c>
      <c r="N167" s="21">
        <v>0</v>
      </c>
      <c r="O167" s="10">
        <v>100</v>
      </c>
      <c r="P167" s="10">
        <v>40</v>
      </c>
      <c r="Q167" s="10">
        <v>60</v>
      </c>
      <c r="R167" s="31" t="str">
        <f t="shared" si="2"/>
        <v/>
      </c>
    </row>
    <row r="168" spans="1:18" x14ac:dyDescent="0.25">
      <c r="A168">
        <v>158</v>
      </c>
      <c r="B168">
        <v>1141</v>
      </c>
      <c r="C168">
        <f>VLOOKUP($B168,INPUTdata!$A:$L, C$8, FALSE)</f>
        <v>100</v>
      </c>
      <c r="D168">
        <f>VLOOKUP($B168,INPUTdata!$A:$L, D$8, FALSE)</f>
        <v>0</v>
      </c>
      <c r="E168">
        <f>VLOOKUP($B168,INPUTdata!$A:$L, E$8, FALSE)</f>
        <v>40</v>
      </c>
      <c r="F168">
        <f>VLOOKUP($B168,INPUTdata!$A:$L, F$8, FALSE)</f>
        <v>60</v>
      </c>
      <c r="G168">
        <f>VLOOKUP($B168,INPUTdata!$A:$L, G$8, FALSE)</f>
        <v>31.37</v>
      </c>
      <c r="H168">
        <f>VLOOKUP($B168,INPUTdata!$A:$L, H$8, FALSE)</f>
        <v>-29.74</v>
      </c>
      <c r="I168">
        <f>VLOOKUP($B168,INPUTdata!$A:$L, I$8, FALSE)</f>
        <v>-11.06</v>
      </c>
      <c r="N168" s="21">
        <v>100</v>
      </c>
      <c r="O168" s="10">
        <v>0</v>
      </c>
      <c r="P168" s="10">
        <v>40</v>
      </c>
      <c r="Q168" s="10">
        <v>60</v>
      </c>
      <c r="R168" s="31" t="str">
        <f t="shared" si="2"/>
        <v/>
      </c>
    </row>
    <row r="169" spans="1:18" x14ac:dyDescent="0.25">
      <c r="A169">
        <v>159</v>
      </c>
      <c r="B169">
        <v>1150</v>
      </c>
      <c r="C169">
        <f>VLOOKUP($B169,INPUTdata!$A:$L, C$8, FALSE)</f>
        <v>0</v>
      </c>
      <c r="D169">
        <f>VLOOKUP($B169,INPUTdata!$A:$L, D$8, FALSE)</f>
        <v>100</v>
      </c>
      <c r="E169">
        <f>VLOOKUP($B169,INPUTdata!$A:$L, E$8, FALSE)</f>
        <v>70</v>
      </c>
      <c r="F169">
        <f>VLOOKUP($B169,INPUTdata!$A:$L, F$8, FALSE)</f>
        <v>60</v>
      </c>
      <c r="G169">
        <f>VLOOKUP($B169,INPUTdata!$A:$L, G$8, FALSE)</f>
        <v>27.8</v>
      </c>
      <c r="H169">
        <f>VLOOKUP($B169,INPUTdata!$A:$L, H$8, FALSE)</f>
        <v>36.18</v>
      </c>
      <c r="I169">
        <f>VLOOKUP($B169,INPUTdata!$A:$L, I$8, FALSE)</f>
        <v>16.940000000000001</v>
      </c>
      <c r="N169" s="21">
        <v>0</v>
      </c>
      <c r="O169" s="10">
        <v>100</v>
      </c>
      <c r="P169" s="10">
        <v>70</v>
      </c>
      <c r="Q169" s="10">
        <v>60</v>
      </c>
      <c r="R169" s="31" t="str">
        <f t="shared" si="2"/>
        <v/>
      </c>
    </row>
    <row r="170" spans="1:18" x14ac:dyDescent="0.25">
      <c r="A170">
        <v>160</v>
      </c>
      <c r="B170">
        <v>1166</v>
      </c>
      <c r="C170">
        <f>VLOOKUP($B170,INPUTdata!$A:$L, C$8, FALSE)</f>
        <v>100</v>
      </c>
      <c r="D170">
        <f>VLOOKUP($B170,INPUTdata!$A:$L, D$8, FALSE)</f>
        <v>0</v>
      </c>
      <c r="E170">
        <f>VLOOKUP($B170,INPUTdata!$A:$L, E$8, FALSE)</f>
        <v>70</v>
      </c>
      <c r="F170">
        <f>VLOOKUP($B170,INPUTdata!$A:$L, F$8, FALSE)</f>
        <v>60</v>
      </c>
      <c r="G170">
        <f>VLOOKUP($B170,INPUTdata!$A:$L, G$8, FALSE)</f>
        <v>31.05</v>
      </c>
      <c r="H170">
        <f>VLOOKUP($B170,INPUTdata!$A:$L, H$8, FALSE)</f>
        <v>-34.39</v>
      </c>
      <c r="I170">
        <f>VLOOKUP($B170,INPUTdata!$A:$L, I$8, FALSE)</f>
        <v>2.31</v>
      </c>
      <c r="N170" s="21">
        <v>100</v>
      </c>
      <c r="O170" s="10">
        <v>0</v>
      </c>
      <c r="P170" s="10">
        <v>70</v>
      </c>
      <c r="Q170" s="10">
        <v>60</v>
      </c>
      <c r="R170" s="31" t="str">
        <f t="shared" si="2"/>
        <v/>
      </c>
    </row>
    <row r="171" spans="1:18" x14ac:dyDescent="0.25">
      <c r="A171">
        <v>161</v>
      </c>
      <c r="B171">
        <v>1171</v>
      </c>
      <c r="C171">
        <f>VLOOKUP($B171,INPUTdata!$A:$L, C$8, FALSE)</f>
        <v>0</v>
      </c>
      <c r="D171">
        <f>VLOOKUP($B171,INPUTdata!$A:$L, D$8, FALSE)</f>
        <v>0</v>
      </c>
      <c r="E171">
        <f>VLOOKUP($B171,INPUTdata!$A:$L, E$8, FALSE)</f>
        <v>100</v>
      </c>
      <c r="F171">
        <f>VLOOKUP($B171,INPUTdata!$A:$L, F$8, FALSE)</f>
        <v>60</v>
      </c>
      <c r="G171">
        <f>VLOOKUP($B171,INPUTdata!$A:$L, G$8, FALSE)</f>
        <v>49.44</v>
      </c>
      <c r="H171">
        <f>VLOOKUP($B171,INPUTdata!$A:$L, H$8, FALSE)</f>
        <v>-4.7</v>
      </c>
      <c r="I171">
        <f>VLOOKUP($B171,INPUTdata!$A:$L, I$8, FALSE)</f>
        <v>48.48</v>
      </c>
      <c r="N171" s="21">
        <v>0</v>
      </c>
      <c r="O171" s="10">
        <v>0</v>
      </c>
      <c r="P171" s="10">
        <v>100</v>
      </c>
      <c r="Q171" s="10">
        <v>60</v>
      </c>
      <c r="R171" s="31" t="str">
        <f t="shared" si="2"/>
        <v/>
      </c>
    </row>
    <row r="172" spans="1:18" x14ac:dyDescent="0.25">
      <c r="A172">
        <v>162</v>
      </c>
      <c r="B172">
        <v>1172</v>
      </c>
      <c r="C172">
        <f>VLOOKUP($B172,INPUTdata!$A:$L, C$8, FALSE)</f>
        <v>0</v>
      </c>
      <c r="D172">
        <f>VLOOKUP($B172,INPUTdata!$A:$L, D$8, FALSE)</f>
        <v>20</v>
      </c>
      <c r="E172">
        <f>VLOOKUP($B172,INPUTdata!$A:$L, E$8, FALSE)</f>
        <v>100</v>
      </c>
      <c r="F172">
        <f>VLOOKUP($B172,INPUTdata!$A:$L, F$8, FALSE)</f>
        <v>60</v>
      </c>
      <c r="G172">
        <f>VLOOKUP($B172,INPUTdata!$A:$L, G$8, FALSE)</f>
        <v>44.75</v>
      </c>
      <c r="H172">
        <f>VLOOKUP($B172,INPUTdata!$A:$L, H$8, FALSE)</f>
        <v>2.76</v>
      </c>
      <c r="I172">
        <f>VLOOKUP($B172,INPUTdata!$A:$L, I$8, FALSE)</f>
        <v>43.09</v>
      </c>
      <c r="N172" s="21">
        <v>0</v>
      </c>
      <c r="O172" s="10">
        <v>20</v>
      </c>
      <c r="P172" s="10">
        <v>100</v>
      </c>
      <c r="Q172" s="10">
        <v>60</v>
      </c>
      <c r="R172" s="31" t="str">
        <f t="shared" si="2"/>
        <v/>
      </c>
    </row>
    <row r="173" spans="1:18" x14ac:dyDescent="0.25">
      <c r="A173">
        <v>163</v>
      </c>
      <c r="B173">
        <v>1173</v>
      </c>
      <c r="C173">
        <f>VLOOKUP($B173,INPUTdata!$A:$L, C$8, FALSE)</f>
        <v>0</v>
      </c>
      <c r="D173">
        <f>VLOOKUP($B173,INPUTdata!$A:$L, D$8, FALSE)</f>
        <v>40</v>
      </c>
      <c r="E173">
        <f>VLOOKUP($B173,INPUTdata!$A:$L, E$8, FALSE)</f>
        <v>100</v>
      </c>
      <c r="F173">
        <f>VLOOKUP($B173,INPUTdata!$A:$L, F$8, FALSE)</f>
        <v>60</v>
      </c>
      <c r="G173">
        <f>VLOOKUP($B173,INPUTdata!$A:$L, G$8, FALSE)</f>
        <v>40.130000000000003</v>
      </c>
      <c r="H173">
        <f>VLOOKUP($B173,INPUTdata!$A:$L, H$8, FALSE)</f>
        <v>10.7</v>
      </c>
      <c r="I173">
        <f>VLOOKUP($B173,INPUTdata!$A:$L, I$8, FALSE)</f>
        <v>37.979999999999997</v>
      </c>
      <c r="N173" s="21">
        <v>0</v>
      </c>
      <c r="O173" s="10">
        <v>40</v>
      </c>
      <c r="P173" s="10">
        <v>100</v>
      </c>
      <c r="Q173" s="10">
        <v>60</v>
      </c>
      <c r="R173" s="31" t="str">
        <f t="shared" si="2"/>
        <v/>
      </c>
    </row>
    <row r="174" spans="1:18" x14ac:dyDescent="0.25">
      <c r="A174">
        <v>164</v>
      </c>
      <c r="B174">
        <v>1174</v>
      </c>
      <c r="C174">
        <f>VLOOKUP($B174,INPUTdata!$A:$L, C$8, FALSE)</f>
        <v>0</v>
      </c>
      <c r="D174">
        <f>VLOOKUP($B174,INPUTdata!$A:$L, D$8, FALSE)</f>
        <v>70</v>
      </c>
      <c r="E174">
        <f>VLOOKUP($B174,INPUTdata!$A:$L, E$8, FALSE)</f>
        <v>100</v>
      </c>
      <c r="F174">
        <f>VLOOKUP($B174,INPUTdata!$A:$L, F$8, FALSE)</f>
        <v>60</v>
      </c>
      <c r="G174">
        <f>VLOOKUP($B174,INPUTdata!$A:$L, G$8, FALSE)</f>
        <v>33.06</v>
      </c>
      <c r="H174">
        <f>VLOOKUP($B174,INPUTdata!$A:$L, H$8, FALSE)</f>
        <v>23.39</v>
      </c>
      <c r="I174">
        <f>VLOOKUP($B174,INPUTdata!$A:$L, I$8, FALSE)</f>
        <v>29.99</v>
      </c>
      <c r="N174" s="21">
        <v>0</v>
      </c>
      <c r="O174" s="10">
        <v>70</v>
      </c>
      <c r="P174" s="10">
        <v>100</v>
      </c>
      <c r="Q174" s="10">
        <v>60</v>
      </c>
      <c r="R174" s="31" t="str">
        <f t="shared" si="2"/>
        <v/>
      </c>
    </row>
    <row r="175" spans="1:18" x14ac:dyDescent="0.25">
      <c r="A175">
        <v>165</v>
      </c>
      <c r="B175">
        <v>1175</v>
      </c>
      <c r="C175">
        <f>VLOOKUP($B175,INPUTdata!$A:$L, C$8, FALSE)</f>
        <v>0</v>
      </c>
      <c r="D175">
        <f>VLOOKUP($B175,INPUTdata!$A:$L, D$8, FALSE)</f>
        <v>100</v>
      </c>
      <c r="E175">
        <f>VLOOKUP($B175,INPUTdata!$A:$L, E$8, FALSE)</f>
        <v>100</v>
      </c>
      <c r="F175">
        <f>VLOOKUP($B175,INPUTdata!$A:$L, F$8, FALSE)</f>
        <v>60</v>
      </c>
      <c r="G175">
        <f>VLOOKUP($B175,INPUTdata!$A:$L, G$8, FALSE)</f>
        <v>27.49</v>
      </c>
      <c r="H175">
        <f>VLOOKUP($B175,INPUTdata!$A:$L, H$8, FALSE)</f>
        <v>34.659999999999997</v>
      </c>
      <c r="I175">
        <f>VLOOKUP($B175,INPUTdata!$A:$L, I$8, FALSE)</f>
        <v>24.24</v>
      </c>
      <c r="N175" s="21">
        <v>0</v>
      </c>
      <c r="O175" s="10">
        <v>100</v>
      </c>
      <c r="P175" s="10">
        <v>100</v>
      </c>
      <c r="Q175" s="10">
        <v>60</v>
      </c>
      <c r="R175" s="31" t="str">
        <f t="shared" si="2"/>
        <v/>
      </c>
    </row>
    <row r="176" spans="1:18" x14ac:dyDescent="0.25">
      <c r="A176">
        <v>166</v>
      </c>
      <c r="B176">
        <v>1176</v>
      </c>
      <c r="C176">
        <f>VLOOKUP($B176,INPUTdata!$A:$L, C$8, FALSE)</f>
        <v>20</v>
      </c>
      <c r="D176">
        <f>VLOOKUP($B176,INPUTdata!$A:$L, D$8, FALSE)</f>
        <v>0</v>
      </c>
      <c r="E176">
        <f>VLOOKUP($B176,INPUTdata!$A:$L, E$8, FALSE)</f>
        <v>100</v>
      </c>
      <c r="F176">
        <f>VLOOKUP($B176,INPUTdata!$A:$L, F$8, FALSE)</f>
        <v>60</v>
      </c>
      <c r="G176">
        <f>VLOOKUP($B176,INPUTdata!$A:$L, G$8, FALSE)</f>
        <v>45.55</v>
      </c>
      <c r="H176">
        <f>VLOOKUP($B176,INPUTdata!$A:$L, H$8, FALSE)</f>
        <v>-10.43</v>
      </c>
      <c r="I176">
        <f>VLOOKUP($B176,INPUTdata!$A:$L, I$8, FALSE)</f>
        <v>41.25</v>
      </c>
      <c r="N176" s="21">
        <v>20</v>
      </c>
      <c r="O176" s="10">
        <v>0</v>
      </c>
      <c r="P176" s="10">
        <v>100</v>
      </c>
      <c r="Q176" s="10">
        <v>60</v>
      </c>
      <c r="R176" s="31" t="str">
        <f t="shared" si="2"/>
        <v/>
      </c>
    </row>
    <row r="177" spans="1:18" x14ac:dyDescent="0.25">
      <c r="A177">
        <v>167</v>
      </c>
      <c r="B177">
        <v>1181</v>
      </c>
      <c r="C177">
        <f>VLOOKUP($B177,INPUTdata!$A:$L, C$8, FALSE)</f>
        <v>40</v>
      </c>
      <c r="D177">
        <f>VLOOKUP($B177,INPUTdata!$A:$L, D$8, FALSE)</f>
        <v>0</v>
      </c>
      <c r="E177">
        <f>VLOOKUP($B177,INPUTdata!$A:$L, E$8, FALSE)</f>
        <v>100</v>
      </c>
      <c r="F177">
        <f>VLOOKUP($B177,INPUTdata!$A:$L, F$8, FALSE)</f>
        <v>60</v>
      </c>
      <c r="G177">
        <f>VLOOKUP($B177,INPUTdata!$A:$L, G$8, FALSE)</f>
        <v>41.75</v>
      </c>
      <c r="H177">
        <f>VLOOKUP($B177,INPUTdata!$A:$L, H$8, FALSE)</f>
        <v>-16.62</v>
      </c>
      <c r="I177">
        <f>VLOOKUP($B177,INPUTdata!$A:$L, I$8, FALSE)</f>
        <v>34.35</v>
      </c>
      <c r="N177" s="21">
        <v>40</v>
      </c>
      <c r="O177" s="10">
        <v>0</v>
      </c>
      <c r="P177" s="10">
        <v>100</v>
      </c>
      <c r="Q177" s="10">
        <v>60</v>
      </c>
      <c r="R177" s="31" t="str">
        <f t="shared" si="2"/>
        <v/>
      </c>
    </row>
    <row r="178" spans="1:18" x14ac:dyDescent="0.25">
      <c r="A178">
        <v>168</v>
      </c>
      <c r="B178">
        <v>1186</v>
      </c>
      <c r="C178">
        <f>VLOOKUP($B178,INPUTdata!$A:$L, C$8, FALSE)</f>
        <v>70</v>
      </c>
      <c r="D178">
        <f>VLOOKUP($B178,INPUTdata!$A:$L, D$8, FALSE)</f>
        <v>0</v>
      </c>
      <c r="E178">
        <f>VLOOKUP($B178,INPUTdata!$A:$L, E$8, FALSE)</f>
        <v>100</v>
      </c>
      <c r="F178">
        <f>VLOOKUP($B178,INPUTdata!$A:$L, F$8, FALSE)</f>
        <v>60</v>
      </c>
      <c r="G178">
        <f>VLOOKUP($B178,INPUTdata!$A:$L, G$8, FALSE)</f>
        <v>35.9</v>
      </c>
      <c r="H178">
        <f>VLOOKUP($B178,INPUTdata!$A:$L, H$8, FALSE)</f>
        <v>-26.85</v>
      </c>
      <c r="I178">
        <f>VLOOKUP($B178,INPUTdata!$A:$L, I$8, FALSE)</f>
        <v>23.63</v>
      </c>
      <c r="N178" s="21">
        <v>70</v>
      </c>
      <c r="O178" s="10">
        <v>0</v>
      </c>
      <c r="P178" s="10">
        <v>100</v>
      </c>
      <c r="Q178" s="10">
        <v>60</v>
      </c>
      <c r="R178" s="31" t="str">
        <f t="shared" si="2"/>
        <v/>
      </c>
    </row>
    <row r="179" spans="1:18" x14ac:dyDescent="0.25">
      <c r="A179">
        <v>169</v>
      </c>
      <c r="B179">
        <v>1191</v>
      </c>
      <c r="C179">
        <f>VLOOKUP($B179,INPUTdata!$A:$L, C$8, FALSE)</f>
        <v>100</v>
      </c>
      <c r="D179">
        <f>VLOOKUP($B179,INPUTdata!$A:$L, D$8, FALSE)</f>
        <v>0</v>
      </c>
      <c r="E179">
        <f>VLOOKUP($B179,INPUTdata!$A:$L, E$8, FALSE)</f>
        <v>100</v>
      </c>
      <c r="F179">
        <f>VLOOKUP($B179,INPUTdata!$A:$L, F$8, FALSE)</f>
        <v>60</v>
      </c>
      <c r="G179">
        <f>VLOOKUP($B179,INPUTdata!$A:$L, G$8, FALSE)</f>
        <v>30.93</v>
      </c>
      <c r="H179">
        <f>VLOOKUP($B179,INPUTdata!$A:$L, H$8, FALSE)</f>
        <v>-36.82</v>
      </c>
      <c r="I179">
        <f>VLOOKUP($B179,INPUTdata!$A:$L, I$8, FALSE)</f>
        <v>14.62</v>
      </c>
      <c r="N179" s="21">
        <v>100</v>
      </c>
      <c r="O179" s="10">
        <v>0</v>
      </c>
      <c r="P179" s="10">
        <v>100</v>
      </c>
      <c r="Q179" s="10">
        <v>60</v>
      </c>
      <c r="R179" s="31" t="str">
        <f t="shared" si="2"/>
        <v/>
      </c>
    </row>
    <row r="180" spans="1:18" x14ac:dyDescent="0.25">
      <c r="A180">
        <v>170</v>
      </c>
      <c r="B180">
        <v>1199</v>
      </c>
      <c r="C180">
        <f>VLOOKUP($B180,INPUTdata!$A:$L, C$8, FALSE)</f>
        <v>0</v>
      </c>
      <c r="D180">
        <f>VLOOKUP($B180,INPUTdata!$A:$L, D$8, FALSE)</f>
        <v>100</v>
      </c>
      <c r="E180">
        <f>VLOOKUP($B180,INPUTdata!$A:$L, E$8, FALSE)</f>
        <v>0</v>
      </c>
      <c r="F180">
        <f>VLOOKUP($B180,INPUTdata!$A:$L, F$8, FALSE)</f>
        <v>80</v>
      </c>
      <c r="G180">
        <f>VLOOKUP($B180,INPUTdata!$A:$L, G$8, FALSE)</f>
        <v>19.3</v>
      </c>
      <c r="H180">
        <f>VLOOKUP($B180,INPUTdata!$A:$L, H$8, FALSE)</f>
        <v>28.12</v>
      </c>
      <c r="I180">
        <f>VLOOKUP($B180,INPUTdata!$A:$L, I$8, FALSE)</f>
        <v>-0.32</v>
      </c>
      <c r="N180" s="21">
        <v>0</v>
      </c>
      <c r="O180" s="10">
        <v>100</v>
      </c>
      <c r="P180" s="10">
        <v>0</v>
      </c>
      <c r="Q180" s="10">
        <v>80</v>
      </c>
      <c r="R180" s="31" t="str">
        <f t="shared" si="2"/>
        <v/>
      </c>
    </row>
    <row r="181" spans="1:18" x14ac:dyDescent="0.25">
      <c r="A181">
        <v>171</v>
      </c>
      <c r="B181">
        <v>1203</v>
      </c>
      <c r="C181">
        <f>VLOOKUP($B181,INPUTdata!$A:$L, C$8, FALSE)</f>
        <v>40</v>
      </c>
      <c r="D181">
        <f>VLOOKUP($B181,INPUTdata!$A:$L, D$8, FALSE)</f>
        <v>100</v>
      </c>
      <c r="E181">
        <f>VLOOKUP($B181,INPUTdata!$A:$L, E$8, FALSE)</f>
        <v>0</v>
      </c>
      <c r="F181">
        <f>VLOOKUP($B181,INPUTdata!$A:$L, F$8, FALSE)</f>
        <v>80</v>
      </c>
      <c r="G181">
        <f>VLOOKUP($B181,INPUTdata!$A:$L, G$8, FALSE)</f>
        <v>16.649999999999999</v>
      </c>
      <c r="H181">
        <f>VLOOKUP($B181,INPUTdata!$A:$L, H$8, FALSE)</f>
        <v>21.02</v>
      </c>
      <c r="I181">
        <f>VLOOKUP($B181,INPUTdata!$A:$L, I$8, FALSE)</f>
        <v>-6.3</v>
      </c>
      <c r="N181" s="21">
        <v>40</v>
      </c>
      <c r="O181" s="10">
        <v>100</v>
      </c>
      <c r="P181" s="10">
        <v>0</v>
      </c>
      <c r="Q181" s="10">
        <v>80</v>
      </c>
      <c r="R181" s="31" t="str">
        <f t="shared" si="2"/>
        <v/>
      </c>
    </row>
    <row r="182" spans="1:18" x14ac:dyDescent="0.25">
      <c r="A182">
        <v>172</v>
      </c>
      <c r="B182">
        <v>1207</v>
      </c>
      <c r="C182">
        <f>VLOOKUP($B182,INPUTdata!$A:$L, C$8, FALSE)</f>
        <v>70</v>
      </c>
      <c r="D182">
        <f>VLOOKUP($B182,INPUTdata!$A:$L, D$8, FALSE)</f>
        <v>100</v>
      </c>
      <c r="E182">
        <f>VLOOKUP($B182,INPUTdata!$A:$L, E$8, FALSE)</f>
        <v>0</v>
      </c>
      <c r="F182">
        <f>VLOOKUP($B182,INPUTdata!$A:$L, F$8, FALSE)</f>
        <v>80</v>
      </c>
      <c r="G182">
        <f>VLOOKUP($B182,INPUTdata!$A:$L, G$8, FALSE)</f>
        <v>14.48</v>
      </c>
      <c r="H182">
        <f>VLOOKUP($B182,INPUTdata!$A:$L, H$8, FALSE)</f>
        <v>14.33</v>
      </c>
      <c r="I182">
        <f>VLOOKUP($B182,INPUTdata!$A:$L, I$8, FALSE)</f>
        <v>-11.55</v>
      </c>
      <c r="N182" s="21">
        <v>70</v>
      </c>
      <c r="O182" s="10">
        <v>100</v>
      </c>
      <c r="P182" s="10">
        <v>0</v>
      </c>
      <c r="Q182" s="10">
        <v>80</v>
      </c>
      <c r="R182" s="31" t="str">
        <f t="shared" si="2"/>
        <v/>
      </c>
    </row>
    <row r="183" spans="1:18" x14ac:dyDescent="0.25">
      <c r="A183">
        <v>173</v>
      </c>
      <c r="B183">
        <v>1208</v>
      </c>
      <c r="C183">
        <f>VLOOKUP($B183,INPUTdata!$A:$L, C$8, FALSE)</f>
        <v>100</v>
      </c>
      <c r="D183">
        <f>VLOOKUP($B183,INPUTdata!$A:$L, D$8, FALSE)</f>
        <v>0</v>
      </c>
      <c r="E183">
        <f>VLOOKUP($B183,INPUTdata!$A:$L, E$8, FALSE)</f>
        <v>0</v>
      </c>
      <c r="F183">
        <f>VLOOKUP($B183,INPUTdata!$A:$L, F$8, FALSE)</f>
        <v>80</v>
      </c>
      <c r="G183">
        <f>VLOOKUP($B183,INPUTdata!$A:$L, G$8, FALSE)</f>
        <v>21.74</v>
      </c>
      <c r="H183">
        <f>VLOOKUP($B183,INPUTdata!$A:$L, H$8, FALSE)</f>
        <v>-15.31</v>
      </c>
      <c r="I183">
        <f>VLOOKUP($B183,INPUTdata!$A:$L, I$8, FALSE)</f>
        <v>-19.73</v>
      </c>
      <c r="N183" s="21">
        <v>100</v>
      </c>
      <c r="O183" s="10">
        <v>0</v>
      </c>
      <c r="P183" s="10">
        <v>0</v>
      </c>
      <c r="Q183" s="10">
        <v>80</v>
      </c>
      <c r="R183" s="31" t="str">
        <f t="shared" si="2"/>
        <v/>
      </c>
    </row>
    <row r="184" spans="1:18" x14ac:dyDescent="0.25">
      <c r="A184">
        <v>174</v>
      </c>
      <c r="B184">
        <v>1209</v>
      </c>
      <c r="C184">
        <f>VLOOKUP($B184,INPUTdata!$A:$L, C$8, FALSE)</f>
        <v>100</v>
      </c>
      <c r="D184">
        <f>VLOOKUP($B184,INPUTdata!$A:$L, D$8, FALSE)</f>
        <v>40</v>
      </c>
      <c r="E184">
        <f>VLOOKUP($B184,INPUTdata!$A:$L, E$8, FALSE)</f>
        <v>0</v>
      </c>
      <c r="F184">
        <f>VLOOKUP($B184,INPUTdata!$A:$L, F$8, FALSE)</f>
        <v>80</v>
      </c>
      <c r="G184">
        <f>VLOOKUP($B184,INPUTdata!$A:$L, G$8, FALSE)</f>
        <v>18.12</v>
      </c>
      <c r="H184">
        <f>VLOOKUP($B184,INPUTdata!$A:$L, H$8, FALSE)</f>
        <v>-6.07</v>
      </c>
      <c r="I184">
        <f>VLOOKUP($B184,INPUTdata!$A:$L, I$8, FALSE)</f>
        <v>-17.97</v>
      </c>
      <c r="N184" s="21">
        <v>100</v>
      </c>
      <c r="O184" s="10">
        <v>40</v>
      </c>
      <c r="P184" s="10">
        <v>0</v>
      </c>
      <c r="Q184" s="10">
        <v>80</v>
      </c>
      <c r="R184" s="31" t="str">
        <f t="shared" si="2"/>
        <v/>
      </c>
    </row>
    <row r="185" spans="1:18" x14ac:dyDescent="0.25">
      <c r="A185">
        <v>175</v>
      </c>
      <c r="B185">
        <v>1210</v>
      </c>
      <c r="C185">
        <f>VLOOKUP($B185,INPUTdata!$A:$L, C$8, FALSE)</f>
        <v>100</v>
      </c>
      <c r="D185">
        <f>VLOOKUP($B185,INPUTdata!$A:$L, D$8, FALSE)</f>
        <v>70</v>
      </c>
      <c r="E185">
        <f>VLOOKUP($B185,INPUTdata!$A:$L, E$8, FALSE)</f>
        <v>0</v>
      </c>
      <c r="F185">
        <f>VLOOKUP($B185,INPUTdata!$A:$L, F$8, FALSE)</f>
        <v>80</v>
      </c>
      <c r="G185">
        <f>VLOOKUP($B185,INPUTdata!$A:$L, G$8, FALSE)</f>
        <v>15.27</v>
      </c>
      <c r="H185">
        <f>VLOOKUP($B185,INPUTdata!$A:$L, H$8, FALSE)</f>
        <v>1.66</v>
      </c>
      <c r="I185">
        <f>VLOOKUP($B185,INPUTdata!$A:$L, I$8, FALSE)</f>
        <v>-16.739999999999998</v>
      </c>
      <c r="N185" s="21">
        <v>100</v>
      </c>
      <c r="O185" s="10">
        <v>70</v>
      </c>
      <c r="P185" s="10">
        <v>0</v>
      </c>
      <c r="Q185" s="10">
        <v>80</v>
      </c>
      <c r="R185" s="31" t="str">
        <f t="shared" si="2"/>
        <v/>
      </c>
    </row>
    <row r="186" spans="1:18" x14ac:dyDescent="0.25">
      <c r="A186">
        <v>176</v>
      </c>
      <c r="B186">
        <v>1211</v>
      </c>
      <c r="C186">
        <f>VLOOKUP($B186,INPUTdata!$A:$L, C$8, FALSE)</f>
        <v>100</v>
      </c>
      <c r="D186">
        <f>VLOOKUP($B186,INPUTdata!$A:$L, D$8, FALSE)</f>
        <v>100</v>
      </c>
      <c r="E186">
        <f>VLOOKUP($B186,INPUTdata!$A:$L, E$8, FALSE)</f>
        <v>0</v>
      </c>
      <c r="F186">
        <f>VLOOKUP($B186,INPUTdata!$A:$L, F$8, FALSE)</f>
        <v>80</v>
      </c>
      <c r="G186">
        <f>VLOOKUP($B186,INPUTdata!$A:$L, G$8, FALSE)</f>
        <v>12.86</v>
      </c>
      <c r="H186">
        <f>VLOOKUP($B186,INPUTdata!$A:$L, H$8, FALSE)</f>
        <v>8.39</v>
      </c>
      <c r="I186">
        <f>VLOOKUP($B186,INPUTdata!$A:$L, I$8, FALSE)</f>
        <v>-14.5</v>
      </c>
      <c r="N186" s="21">
        <v>100</v>
      </c>
      <c r="O186" s="10">
        <v>100</v>
      </c>
      <c r="P186" s="10">
        <v>0</v>
      </c>
      <c r="Q186" s="10">
        <v>80</v>
      </c>
      <c r="R186" s="31" t="str">
        <f t="shared" si="2"/>
        <v/>
      </c>
    </row>
    <row r="187" spans="1:18" x14ac:dyDescent="0.25">
      <c r="A187">
        <v>177</v>
      </c>
      <c r="B187">
        <v>1215</v>
      </c>
      <c r="C187">
        <f>VLOOKUP($B187,INPUTdata!$A:$L, C$8, FALSE)</f>
        <v>0</v>
      </c>
      <c r="D187">
        <f>VLOOKUP($B187,INPUTdata!$A:$L, D$8, FALSE)</f>
        <v>100</v>
      </c>
      <c r="E187">
        <f>VLOOKUP($B187,INPUTdata!$A:$L, E$8, FALSE)</f>
        <v>40</v>
      </c>
      <c r="F187">
        <f>VLOOKUP($B187,INPUTdata!$A:$L, F$8, FALSE)</f>
        <v>80</v>
      </c>
      <c r="G187">
        <f>VLOOKUP($B187,INPUTdata!$A:$L, G$8, FALSE)</f>
        <v>19.54</v>
      </c>
      <c r="H187">
        <f>VLOOKUP($B187,INPUTdata!$A:$L, H$8, FALSE)</f>
        <v>25.34</v>
      </c>
      <c r="I187">
        <f>VLOOKUP($B187,INPUTdata!$A:$L, I$8, FALSE)</f>
        <v>6.31</v>
      </c>
      <c r="N187" s="21">
        <v>0</v>
      </c>
      <c r="O187" s="10">
        <v>100</v>
      </c>
      <c r="P187" s="10">
        <v>40</v>
      </c>
      <c r="Q187" s="10">
        <v>80</v>
      </c>
      <c r="R187" s="31" t="str">
        <f t="shared" si="2"/>
        <v/>
      </c>
    </row>
    <row r="188" spans="1:18" x14ac:dyDescent="0.25">
      <c r="A188">
        <v>178</v>
      </c>
      <c r="B188">
        <v>1224</v>
      </c>
      <c r="C188">
        <f>VLOOKUP($B188,INPUTdata!$A:$L, C$8, FALSE)</f>
        <v>100</v>
      </c>
      <c r="D188">
        <f>VLOOKUP($B188,INPUTdata!$A:$L, D$8, FALSE)</f>
        <v>0</v>
      </c>
      <c r="E188">
        <f>VLOOKUP($B188,INPUTdata!$A:$L, E$8, FALSE)</f>
        <v>40</v>
      </c>
      <c r="F188">
        <f>VLOOKUP($B188,INPUTdata!$A:$L, F$8, FALSE)</f>
        <v>80</v>
      </c>
      <c r="G188">
        <f>VLOOKUP($B188,INPUTdata!$A:$L, G$8, FALSE)</f>
        <v>21.57</v>
      </c>
      <c r="H188">
        <f>VLOOKUP($B188,INPUTdata!$A:$L, H$8, FALSE)</f>
        <v>-20.61</v>
      </c>
      <c r="I188">
        <f>VLOOKUP($B188,INPUTdata!$A:$L, I$8, FALSE)</f>
        <v>-8.32</v>
      </c>
      <c r="N188" s="21">
        <v>100</v>
      </c>
      <c r="O188" s="10">
        <v>0</v>
      </c>
      <c r="P188" s="10">
        <v>40</v>
      </c>
      <c r="Q188" s="10">
        <v>80</v>
      </c>
      <c r="R188" s="31" t="str">
        <f t="shared" si="2"/>
        <v/>
      </c>
    </row>
    <row r="189" spans="1:18" x14ac:dyDescent="0.25">
      <c r="A189">
        <v>179</v>
      </c>
      <c r="B189">
        <v>1231</v>
      </c>
      <c r="C189">
        <f>VLOOKUP($B189,INPUTdata!$A:$L, C$8, FALSE)</f>
        <v>0</v>
      </c>
      <c r="D189">
        <f>VLOOKUP($B189,INPUTdata!$A:$L, D$8, FALSE)</f>
        <v>100</v>
      </c>
      <c r="E189">
        <f>VLOOKUP($B189,INPUTdata!$A:$L, E$8, FALSE)</f>
        <v>70</v>
      </c>
      <c r="F189">
        <f>VLOOKUP($B189,INPUTdata!$A:$L, F$8, FALSE)</f>
        <v>80</v>
      </c>
      <c r="G189">
        <f>VLOOKUP($B189,INPUTdata!$A:$L, G$8, FALSE)</f>
        <v>19.829999999999998</v>
      </c>
      <c r="H189">
        <f>VLOOKUP($B189,INPUTdata!$A:$L, H$8, FALSE)</f>
        <v>23.89</v>
      </c>
      <c r="I189">
        <f>VLOOKUP($B189,INPUTdata!$A:$L, I$8, FALSE)</f>
        <v>11.63</v>
      </c>
      <c r="N189" s="21">
        <v>0</v>
      </c>
      <c r="O189" s="10">
        <v>100</v>
      </c>
      <c r="P189" s="10">
        <v>70</v>
      </c>
      <c r="Q189" s="10">
        <v>80</v>
      </c>
      <c r="R189" s="31" t="str">
        <f t="shared" si="2"/>
        <v/>
      </c>
    </row>
    <row r="190" spans="1:18" x14ac:dyDescent="0.25">
      <c r="A190">
        <v>180</v>
      </c>
      <c r="B190">
        <v>1240</v>
      </c>
      <c r="C190">
        <f>VLOOKUP($B190,INPUTdata!$A:$L, C$8, FALSE)</f>
        <v>100</v>
      </c>
      <c r="D190">
        <f>VLOOKUP($B190,INPUTdata!$A:$L, D$8, FALSE)</f>
        <v>0</v>
      </c>
      <c r="E190">
        <f>VLOOKUP($B190,INPUTdata!$A:$L, E$8, FALSE)</f>
        <v>70</v>
      </c>
      <c r="F190">
        <f>VLOOKUP($B190,INPUTdata!$A:$L, F$8, FALSE)</f>
        <v>80</v>
      </c>
      <c r="G190">
        <f>VLOOKUP($B190,INPUTdata!$A:$L, G$8, FALSE)</f>
        <v>21.84</v>
      </c>
      <c r="H190">
        <f>VLOOKUP($B190,INPUTdata!$A:$L, H$8, FALSE)</f>
        <v>-24.34</v>
      </c>
      <c r="I190">
        <f>VLOOKUP($B190,INPUTdata!$A:$L, I$8, FALSE)</f>
        <v>1.1000000000000001</v>
      </c>
      <c r="N190" s="21">
        <v>100</v>
      </c>
      <c r="O190" s="10">
        <v>0</v>
      </c>
      <c r="P190" s="10">
        <v>70</v>
      </c>
      <c r="Q190" s="10">
        <v>80</v>
      </c>
      <c r="R190" s="31" t="str">
        <f t="shared" si="2"/>
        <v/>
      </c>
    </row>
    <row r="191" spans="1:18" x14ac:dyDescent="0.25">
      <c r="A191">
        <v>181</v>
      </c>
      <c r="B191">
        <v>1244</v>
      </c>
      <c r="C191">
        <f>VLOOKUP($B191,INPUTdata!$A:$L, C$8, FALSE)</f>
        <v>0</v>
      </c>
      <c r="D191">
        <f>VLOOKUP($B191,INPUTdata!$A:$L, D$8, FALSE)</f>
        <v>0</v>
      </c>
      <c r="E191">
        <f>VLOOKUP($B191,INPUTdata!$A:$L, E$8, FALSE)</f>
        <v>100</v>
      </c>
      <c r="F191">
        <f>VLOOKUP($B191,INPUTdata!$A:$L, F$8, FALSE)</f>
        <v>80</v>
      </c>
      <c r="G191">
        <f>VLOOKUP($B191,INPUTdata!$A:$L, G$8, FALSE)</f>
        <v>33.409999999999997</v>
      </c>
      <c r="H191">
        <f>VLOOKUP($B191,INPUTdata!$A:$L, H$8, FALSE)</f>
        <v>-4.5199999999999996</v>
      </c>
      <c r="I191">
        <f>VLOOKUP($B191,INPUTdata!$A:$L, I$8, FALSE)</f>
        <v>30.96</v>
      </c>
      <c r="N191" s="21">
        <v>0</v>
      </c>
      <c r="O191" s="10">
        <v>0</v>
      </c>
      <c r="P191" s="10">
        <v>100</v>
      </c>
      <c r="Q191" s="10">
        <v>80</v>
      </c>
      <c r="R191" s="31" t="str">
        <f t="shared" si="2"/>
        <v/>
      </c>
    </row>
    <row r="192" spans="1:18" x14ac:dyDescent="0.25">
      <c r="A192">
        <v>182</v>
      </c>
      <c r="B192">
        <v>1245</v>
      </c>
      <c r="C192">
        <f>VLOOKUP($B192,INPUTdata!$A:$L, C$8, FALSE)</f>
        <v>0</v>
      </c>
      <c r="D192">
        <f>VLOOKUP($B192,INPUTdata!$A:$L, D$8, FALSE)</f>
        <v>40</v>
      </c>
      <c r="E192">
        <f>VLOOKUP($B192,INPUTdata!$A:$L, E$8, FALSE)</f>
        <v>100</v>
      </c>
      <c r="F192">
        <f>VLOOKUP($B192,INPUTdata!$A:$L, F$8, FALSE)</f>
        <v>80</v>
      </c>
      <c r="G192">
        <f>VLOOKUP($B192,INPUTdata!$A:$L, G$8, FALSE)</f>
        <v>27.79</v>
      </c>
      <c r="H192">
        <f>VLOOKUP($B192,INPUTdata!$A:$L, H$8, FALSE)</f>
        <v>5.3</v>
      </c>
      <c r="I192">
        <f>VLOOKUP($B192,INPUTdata!$A:$L, I$8, FALSE)</f>
        <v>24.68</v>
      </c>
      <c r="N192" s="21">
        <v>0</v>
      </c>
      <c r="O192" s="10">
        <v>40</v>
      </c>
      <c r="P192" s="10">
        <v>100</v>
      </c>
      <c r="Q192" s="10">
        <v>80</v>
      </c>
      <c r="R192" s="31" t="str">
        <f t="shared" si="2"/>
        <v/>
      </c>
    </row>
    <row r="193" spans="1:18" x14ac:dyDescent="0.25">
      <c r="A193">
        <v>183</v>
      </c>
      <c r="B193">
        <v>1246</v>
      </c>
      <c r="C193">
        <f>VLOOKUP($B193,INPUTdata!$A:$L, C$8, FALSE)</f>
        <v>0</v>
      </c>
      <c r="D193">
        <f>VLOOKUP($B193,INPUTdata!$A:$L, D$8, FALSE)</f>
        <v>70</v>
      </c>
      <c r="E193">
        <f>VLOOKUP($B193,INPUTdata!$A:$L, E$8, FALSE)</f>
        <v>100</v>
      </c>
      <c r="F193">
        <f>VLOOKUP($B193,INPUTdata!$A:$L, F$8, FALSE)</f>
        <v>80</v>
      </c>
      <c r="G193">
        <f>VLOOKUP($B193,INPUTdata!$A:$L, G$8, FALSE)</f>
        <v>23.44</v>
      </c>
      <c r="H193">
        <f>VLOOKUP($B193,INPUTdata!$A:$L, H$8, FALSE)</f>
        <v>14.43</v>
      </c>
      <c r="I193">
        <f>VLOOKUP($B193,INPUTdata!$A:$L, I$8, FALSE)</f>
        <v>19.89</v>
      </c>
      <c r="N193" s="21">
        <v>0</v>
      </c>
      <c r="O193" s="10">
        <v>70</v>
      </c>
      <c r="P193" s="10">
        <v>100</v>
      </c>
      <c r="Q193" s="10">
        <v>80</v>
      </c>
      <c r="R193" s="31" t="str">
        <f t="shared" si="2"/>
        <v/>
      </c>
    </row>
    <row r="194" spans="1:18" x14ac:dyDescent="0.25">
      <c r="A194">
        <v>184</v>
      </c>
      <c r="B194">
        <v>1247</v>
      </c>
      <c r="C194">
        <f>VLOOKUP($B194,INPUTdata!$A:$L, C$8, FALSE)</f>
        <v>0</v>
      </c>
      <c r="D194">
        <f>VLOOKUP($B194,INPUTdata!$A:$L, D$8, FALSE)</f>
        <v>100</v>
      </c>
      <c r="E194">
        <f>VLOOKUP($B194,INPUTdata!$A:$L, E$8, FALSE)</f>
        <v>100</v>
      </c>
      <c r="F194">
        <f>VLOOKUP($B194,INPUTdata!$A:$L, F$8, FALSE)</f>
        <v>80</v>
      </c>
      <c r="G194">
        <f>VLOOKUP($B194,INPUTdata!$A:$L, G$8, FALSE)</f>
        <v>19.54</v>
      </c>
      <c r="H194">
        <f>VLOOKUP($B194,INPUTdata!$A:$L, H$8, FALSE)</f>
        <v>21.84</v>
      </c>
      <c r="I194">
        <f>VLOOKUP($B194,INPUTdata!$A:$L, I$8, FALSE)</f>
        <v>15.87</v>
      </c>
      <c r="N194" s="21">
        <v>0</v>
      </c>
      <c r="O194" s="10">
        <v>100</v>
      </c>
      <c r="P194" s="10">
        <v>100</v>
      </c>
      <c r="Q194" s="10">
        <v>80</v>
      </c>
      <c r="R194" s="31" t="str">
        <f t="shared" si="2"/>
        <v/>
      </c>
    </row>
    <row r="195" spans="1:18" x14ac:dyDescent="0.25">
      <c r="A195">
        <v>185</v>
      </c>
      <c r="B195">
        <v>1248</v>
      </c>
      <c r="C195">
        <f>VLOOKUP($B195,INPUTdata!$A:$L, C$8, FALSE)</f>
        <v>40</v>
      </c>
      <c r="D195">
        <f>VLOOKUP($B195,INPUTdata!$A:$L, D$8, FALSE)</f>
        <v>0</v>
      </c>
      <c r="E195">
        <f>VLOOKUP($B195,INPUTdata!$A:$L, E$8, FALSE)</f>
        <v>100</v>
      </c>
      <c r="F195">
        <f>VLOOKUP($B195,INPUTdata!$A:$L, F$8, FALSE)</f>
        <v>80</v>
      </c>
      <c r="G195">
        <f>VLOOKUP($B195,INPUTdata!$A:$L, G$8, FALSE)</f>
        <v>28.73</v>
      </c>
      <c r="H195">
        <f>VLOOKUP($B195,INPUTdata!$A:$L, H$8, FALSE)</f>
        <v>-12</v>
      </c>
      <c r="I195">
        <f>VLOOKUP($B195,INPUTdata!$A:$L, I$8, FALSE)</f>
        <v>22.34</v>
      </c>
      <c r="N195" s="21">
        <v>40</v>
      </c>
      <c r="O195" s="10">
        <v>0</v>
      </c>
      <c r="P195" s="10">
        <v>100</v>
      </c>
      <c r="Q195" s="10">
        <v>80</v>
      </c>
      <c r="R195" s="31" t="str">
        <f t="shared" si="2"/>
        <v/>
      </c>
    </row>
    <row r="196" spans="1:18" x14ac:dyDescent="0.25">
      <c r="A196">
        <v>186</v>
      </c>
      <c r="B196">
        <v>1252</v>
      </c>
      <c r="C196">
        <f>VLOOKUP($B196,INPUTdata!$A:$L, C$8, FALSE)</f>
        <v>70</v>
      </c>
      <c r="D196">
        <f>VLOOKUP($B196,INPUTdata!$A:$L, D$8, FALSE)</f>
        <v>0</v>
      </c>
      <c r="E196">
        <f>VLOOKUP($B196,INPUTdata!$A:$L, E$8, FALSE)</f>
        <v>100</v>
      </c>
      <c r="F196">
        <f>VLOOKUP($B196,INPUTdata!$A:$L, F$8, FALSE)</f>
        <v>80</v>
      </c>
      <c r="G196">
        <f>VLOOKUP($B196,INPUTdata!$A:$L, G$8, FALSE)</f>
        <v>25.08</v>
      </c>
      <c r="H196">
        <f>VLOOKUP($B196,INPUTdata!$A:$L, H$8, FALSE)</f>
        <v>-19.510000000000002</v>
      </c>
      <c r="I196">
        <f>VLOOKUP($B196,INPUTdata!$A:$L, I$8, FALSE)</f>
        <v>15.39</v>
      </c>
      <c r="N196" s="21">
        <v>70</v>
      </c>
      <c r="O196" s="10">
        <v>0</v>
      </c>
      <c r="P196" s="10">
        <v>100</v>
      </c>
      <c r="Q196" s="10">
        <v>80</v>
      </c>
      <c r="R196" s="31" t="str">
        <f t="shared" si="2"/>
        <v/>
      </c>
    </row>
    <row r="197" spans="1:18" x14ac:dyDescent="0.25">
      <c r="A197">
        <v>187</v>
      </c>
      <c r="B197">
        <v>1256</v>
      </c>
      <c r="C197">
        <f>VLOOKUP($B197,INPUTdata!$A:$L, C$8, FALSE)</f>
        <v>100</v>
      </c>
      <c r="D197">
        <f>VLOOKUP($B197,INPUTdata!$A:$L, D$8, FALSE)</f>
        <v>0</v>
      </c>
      <c r="E197">
        <f>VLOOKUP($B197,INPUTdata!$A:$L, E$8, FALSE)</f>
        <v>100</v>
      </c>
      <c r="F197">
        <f>VLOOKUP($B197,INPUTdata!$A:$L, F$8, FALSE)</f>
        <v>80</v>
      </c>
      <c r="G197">
        <f>VLOOKUP($B197,INPUTdata!$A:$L, G$8, FALSE)</f>
        <v>21.55</v>
      </c>
      <c r="H197">
        <f>VLOOKUP($B197,INPUTdata!$A:$L, H$8, FALSE)</f>
        <v>-25.5</v>
      </c>
      <c r="I197">
        <f>VLOOKUP($B197,INPUTdata!$A:$L, I$8, FALSE)</f>
        <v>9.39</v>
      </c>
      <c r="N197" s="21">
        <v>100</v>
      </c>
      <c r="O197" s="10">
        <v>0</v>
      </c>
      <c r="P197" s="10">
        <v>100</v>
      </c>
      <c r="Q197" s="10">
        <v>80</v>
      </c>
      <c r="R197" s="31" t="str">
        <f t="shared" si="2"/>
        <v/>
      </c>
    </row>
    <row r="198" spans="1:18" x14ac:dyDescent="0.25">
      <c r="A198">
        <v>188</v>
      </c>
      <c r="B198">
        <v>1262</v>
      </c>
      <c r="C198">
        <f>VLOOKUP($B198,INPUTdata!$A:$L, C$8, FALSE)</f>
        <v>0</v>
      </c>
      <c r="D198">
        <f>VLOOKUP($B198,INPUTdata!$A:$L, D$8, FALSE)</f>
        <v>100</v>
      </c>
      <c r="E198">
        <f>VLOOKUP($B198,INPUTdata!$A:$L, E$8, FALSE)</f>
        <v>0</v>
      </c>
      <c r="F198">
        <f>VLOOKUP($B198,INPUTdata!$A:$L, F$8, FALSE)</f>
        <v>100</v>
      </c>
      <c r="G198">
        <f>VLOOKUP($B198,INPUTdata!$A:$L, G$8, FALSE)</f>
        <v>10.35</v>
      </c>
      <c r="H198">
        <f>VLOOKUP($B198,INPUTdata!$A:$L, H$8, FALSE)</f>
        <v>14.1</v>
      </c>
      <c r="I198">
        <f>VLOOKUP($B198,INPUTdata!$A:$L, I$8, FALSE)</f>
        <v>2.2000000000000002</v>
      </c>
      <c r="N198" s="21">
        <v>0</v>
      </c>
      <c r="O198" s="10">
        <v>100</v>
      </c>
      <c r="P198" s="10">
        <v>0</v>
      </c>
      <c r="Q198" s="10">
        <v>100</v>
      </c>
      <c r="R198" s="31" t="str">
        <f t="shared" si="2"/>
        <v/>
      </c>
    </row>
    <row r="199" spans="1:18" x14ac:dyDescent="0.25">
      <c r="A199">
        <v>189</v>
      </c>
      <c r="B199">
        <v>1266</v>
      </c>
      <c r="C199">
        <f>VLOOKUP($B199,INPUTdata!$A:$L, C$8, FALSE)</f>
        <v>100</v>
      </c>
      <c r="D199">
        <f>VLOOKUP($B199,INPUTdata!$A:$L, D$8, FALSE)</f>
        <v>0</v>
      </c>
      <c r="E199">
        <f>VLOOKUP($B199,INPUTdata!$A:$L, E$8, FALSE)</f>
        <v>0</v>
      </c>
      <c r="F199">
        <f>VLOOKUP($B199,INPUTdata!$A:$L, F$8, FALSE)</f>
        <v>100</v>
      </c>
      <c r="G199">
        <f>VLOOKUP($B199,INPUTdata!$A:$L, G$8, FALSE)</f>
        <v>10.64</v>
      </c>
      <c r="H199">
        <f>VLOOKUP($B199,INPUTdata!$A:$L, H$8, FALSE)</f>
        <v>-7.57</v>
      </c>
      <c r="I199">
        <f>VLOOKUP($B199,INPUTdata!$A:$L, I$8, FALSE)</f>
        <v>-10.68</v>
      </c>
      <c r="N199" s="21">
        <v>100</v>
      </c>
      <c r="O199" s="10">
        <v>0</v>
      </c>
      <c r="P199" s="10">
        <v>0</v>
      </c>
      <c r="Q199" s="10">
        <v>100</v>
      </c>
      <c r="R199" s="31" t="str">
        <f t="shared" si="2"/>
        <v/>
      </c>
    </row>
    <row r="200" spans="1:18" x14ac:dyDescent="0.25">
      <c r="A200">
        <v>190</v>
      </c>
      <c r="B200">
        <v>1268</v>
      </c>
      <c r="C200">
        <f>VLOOKUP($B200,INPUTdata!$A:$L, C$8, FALSE)</f>
        <v>100</v>
      </c>
      <c r="D200">
        <f>VLOOKUP($B200,INPUTdata!$A:$L, D$8, FALSE)</f>
        <v>100</v>
      </c>
      <c r="E200">
        <f>VLOOKUP($B200,INPUTdata!$A:$L, E$8, FALSE)</f>
        <v>0</v>
      </c>
      <c r="F200">
        <f>VLOOKUP($B200,INPUTdata!$A:$L, F$8, FALSE)</f>
        <v>100</v>
      </c>
      <c r="G200">
        <f>VLOOKUP($B200,INPUTdata!$A:$L, G$8, FALSE)</f>
        <v>7.91</v>
      </c>
      <c r="H200">
        <f>VLOOKUP($B200,INPUTdata!$A:$L, H$8, FALSE)</f>
        <v>6.23</v>
      </c>
      <c r="I200">
        <f>VLOOKUP($B200,INPUTdata!$A:$L, I$8, FALSE)</f>
        <v>-4.82</v>
      </c>
      <c r="N200" s="21">
        <v>100</v>
      </c>
      <c r="O200" s="10">
        <v>100</v>
      </c>
      <c r="P200" s="10">
        <v>0</v>
      </c>
      <c r="Q200" s="10">
        <v>100</v>
      </c>
      <c r="R200" s="31" t="str">
        <f t="shared" si="2"/>
        <v/>
      </c>
    </row>
    <row r="201" spans="1:18" x14ac:dyDescent="0.25">
      <c r="A201">
        <v>191</v>
      </c>
      <c r="B201">
        <v>1278</v>
      </c>
      <c r="C201">
        <f>VLOOKUP($B201,INPUTdata!$A:$L, C$8, FALSE)</f>
        <v>0</v>
      </c>
      <c r="D201">
        <f>VLOOKUP($B201,INPUTdata!$A:$L, D$8, FALSE)</f>
        <v>0</v>
      </c>
      <c r="E201">
        <f>VLOOKUP($B201,INPUTdata!$A:$L, E$8, FALSE)</f>
        <v>100</v>
      </c>
      <c r="F201">
        <f>VLOOKUP($B201,INPUTdata!$A:$L, F$8, FALSE)</f>
        <v>100</v>
      </c>
      <c r="G201">
        <f>VLOOKUP($B201,INPUTdata!$A:$L, G$8, FALSE)</f>
        <v>16.190000000000001</v>
      </c>
      <c r="H201">
        <f>VLOOKUP($B201,INPUTdata!$A:$L, H$8, FALSE)</f>
        <v>-4.3099999999999996</v>
      </c>
      <c r="I201">
        <f>VLOOKUP($B201,INPUTdata!$A:$L, I$8, FALSE)</f>
        <v>11.95</v>
      </c>
      <c r="N201" s="21">
        <v>0</v>
      </c>
      <c r="O201" s="10">
        <v>0</v>
      </c>
      <c r="P201" s="10">
        <v>100</v>
      </c>
      <c r="Q201" s="10">
        <v>100</v>
      </c>
      <c r="R201" s="31" t="str">
        <f t="shared" si="2"/>
        <v/>
      </c>
    </row>
    <row r="202" spans="1:18" x14ac:dyDescent="0.25">
      <c r="A202">
        <v>192</v>
      </c>
      <c r="B202">
        <v>1280</v>
      </c>
      <c r="C202">
        <f>VLOOKUP($B202,INPUTdata!$A:$L, C$8, FALSE)</f>
        <v>0</v>
      </c>
      <c r="D202">
        <f>VLOOKUP($B202,INPUTdata!$A:$L, D$8, FALSE)</f>
        <v>100</v>
      </c>
      <c r="E202">
        <f>VLOOKUP($B202,INPUTdata!$A:$L, E$8, FALSE)</f>
        <v>100</v>
      </c>
      <c r="F202">
        <f>VLOOKUP($B202,INPUTdata!$A:$L, F$8, FALSE)</f>
        <v>100</v>
      </c>
      <c r="G202">
        <f>VLOOKUP($B202,INPUTdata!$A:$L, G$8, FALSE)</f>
        <v>11.1</v>
      </c>
      <c r="H202">
        <f>VLOOKUP($B202,INPUTdata!$A:$L, H$8, FALSE)</f>
        <v>8.1999999999999993</v>
      </c>
      <c r="I202">
        <f>VLOOKUP($B202,INPUTdata!$A:$L, I$8, FALSE)</f>
        <v>7.28</v>
      </c>
      <c r="N202" s="21">
        <v>0</v>
      </c>
      <c r="O202" s="10">
        <v>100</v>
      </c>
      <c r="P202" s="10">
        <v>100</v>
      </c>
      <c r="Q202" s="10">
        <v>100</v>
      </c>
      <c r="R202" s="31" t="str">
        <f t="shared" si="2"/>
        <v/>
      </c>
    </row>
    <row r="203" spans="1:18" x14ac:dyDescent="0.25">
      <c r="A203">
        <v>193</v>
      </c>
      <c r="B203">
        <v>1284</v>
      </c>
      <c r="C203">
        <f>VLOOKUP($B203,INPUTdata!$A:$L, C$8, FALSE)</f>
        <v>100</v>
      </c>
      <c r="D203">
        <f>VLOOKUP($B203,INPUTdata!$A:$L, D$8, FALSE)</f>
        <v>0</v>
      </c>
      <c r="E203">
        <f>VLOOKUP($B203,INPUTdata!$A:$L, E$8, FALSE)</f>
        <v>100</v>
      </c>
      <c r="F203">
        <f>VLOOKUP($B203,INPUTdata!$A:$L, F$8, FALSE)</f>
        <v>100</v>
      </c>
      <c r="G203">
        <f>VLOOKUP($B203,INPUTdata!$A:$L, G$8, FALSE)</f>
        <v>11.32</v>
      </c>
      <c r="H203">
        <f>VLOOKUP($B203,INPUTdata!$A:$L, H$8, FALSE)</f>
        <v>-13.43</v>
      </c>
      <c r="I203">
        <f>VLOOKUP($B203,INPUTdata!$A:$L, I$8, FALSE)</f>
        <v>3.66</v>
      </c>
      <c r="N203" s="24">
        <v>100</v>
      </c>
      <c r="O203" s="29">
        <v>0</v>
      </c>
      <c r="P203" s="29">
        <v>100</v>
      </c>
      <c r="Q203" s="29">
        <v>100</v>
      </c>
      <c r="R203" s="32" t="str">
        <f t="shared" si="2"/>
        <v/>
      </c>
    </row>
  </sheetData>
  <conditionalFormatting sqref="A5">
    <cfRule type="cellIs" dxfId="2" priority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92"/>
  <sheetViews>
    <sheetView workbookViewId="0">
      <selection activeCell="A2" sqref="A2"/>
    </sheetView>
  </sheetViews>
  <sheetFormatPr defaultRowHeight="15" x14ac:dyDescent="0.25"/>
  <cols>
    <col min="2" max="4" width="10.28515625" customWidth="1"/>
  </cols>
  <sheetData>
    <row r="1" spans="1:17" ht="21" x14ac:dyDescent="0.35">
      <c r="A1" s="2" t="s">
        <v>13</v>
      </c>
    </row>
    <row r="3" spans="1:17" x14ac:dyDescent="0.25">
      <c r="B3" s="3" t="s">
        <v>35</v>
      </c>
    </row>
    <row r="4" spans="1:17" x14ac:dyDescent="0.25">
      <c r="B4" t="s">
        <v>14</v>
      </c>
    </row>
    <row r="5" spans="1:17" x14ac:dyDescent="0.25">
      <c r="B5" t="s">
        <v>36</v>
      </c>
    </row>
    <row r="6" spans="1:17" x14ac:dyDescent="0.25">
      <c r="B6" t="s">
        <v>37</v>
      </c>
    </row>
    <row r="8" spans="1:17" ht="15.75" thickBot="1" x14ac:dyDescent="0.3"/>
    <row r="9" spans="1:17" x14ac:dyDescent="0.25">
      <c r="F9" s="41" t="s">
        <v>16</v>
      </c>
      <c r="G9" s="42"/>
      <c r="H9" s="42"/>
      <c r="I9" s="43"/>
      <c r="J9" s="41" t="s">
        <v>17</v>
      </c>
      <c r="K9" s="42"/>
      <c r="L9" s="42"/>
      <c r="M9" s="43"/>
      <c r="N9" s="41" t="s">
        <v>18</v>
      </c>
      <c r="O9" s="42"/>
      <c r="P9" s="42"/>
      <c r="Q9" s="43"/>
    </row>
    <row r="10" spans="1:17" x14ac:dyDescent="0.25">
      <c r="A10" s="4" t="s">
        <v>15</v>
      </c>
      <c r="B10" s="4" t="s">
        <v>16</v>
      </c>
      <c r="C10" s="4" t="s">
        <v>17</v>
      </c>
      <c r="D10" s="4" t="s">
        <v>18</v>
      </c>
      <c r="F10" s="6" t="s">
        <v>5</v>
      </c>
      <c r="G10" s="7" t="s">
        <v>6</v>
      </c>
      <c r="H10" s="7" t="s">
        <v>7</v>
      </c>
      <c r="I10" s="8" t="s">
        <v>8</v>
      </c>
      <c r="J10" s="6" t="s">
        <v>5</v>
      </c>
      <c r="K10" s="7" t="s">
        <v>6</v>
      </c>
      <c r="L10" s="7" t="s">
        <v>7</v>
      </c>
      <c r="M10" s="8" t="s">
        <v>8</v>
      </c>
      <c r="N10" s="6" t="s">
        <v>5</v>
      </c>
      <c r="O10" s="7" t="s">
        <v>6</v>
      </c>
      <c r="P10" s="7" t="s">
        <v>7</v>
      </c>
      <c r="Q10" s="8" t="s">
        <v>8</v>
      </c>
    </row>
    <row r="11" spans="1:17" x14ac:dyDescent="0.25">
      <c r="A11">
        <v>1</v>
      </c>
      <c r="B11">
        <v>1</v>
      </c>
      <c r="C11">
        <v>8</v>
      </c>
      <c r="D11">
        <v>7</v>
      </c>
      <c r="F11" s="9">
        <f>VLOOKUP($B11,Vertices!$A$10:$F$203, 3, FALSE)</f>
        <v>0</v>
      </c>
      <c r="G11" s="10">
        <f>VLOOKUP($B11,Vertices!$A$10:$F$203, 4, FALSE)</f>
        <v>0</v>
      </c>
      <c r="H11" s="10">
        <f>VLOOKUP($B11,Vertices!$A$10:$F$203, 5, FALSE)</f>
        <v>0</v>
      </c>
      <c r="I11" s="11">
        <f>VLOOKUP($B11,Vertices!$A$10:$F$203, 6, FALSE)</f>
        <v>0</v>
      </c>
      <c r="J11" s="9">
        <f>VLOOKUP($C11,Vertices!$A$10:$F$203, 3, FALSE)</f>
        <v>10</v>
      </c>
      <c r="K11" s="10">
        <f>VLOOKUP($C11,Vertices!$A$10:$F$203, 4, FALSE)</f>
        <v>10</v>
      </c>
      <c r="L11" s="10">
        <f>VLOOKUP($C11,Vertices!$A$10:$F$203, 5, FALSE)</f>
        <v>0</v>
      </c>
      <c r="M11" s="11">
        <f>VLOOKUP($C11,Vertices!$A$10:$F$203, 6, FALSE)</f>
        <v>0</v>
      </c>
      <c r="N11" s="9">
        <f>VLOOKUP($D11,Vertices!$A$10:$F$203, 3, FALSE)</f>
        <v>10</v>
      </c>
      <c r="O11" s="10">
        <f>VLOOKUP($D11,Vertices!$A$10:$F$203, 4, FALSE)</f>
        <v>0</v>
      </c>
      <c r="P11" s="10">
        <f>VLOOKUP($D11,Vertices!$A$10:$F$203, 5, FALSE)</f>
        <v>0</v>
      </c>
      <c r="Q11" s="11">
        <f>VLOOKUP($D11,Vertices!$A$10:$F$203, 6, FALSE)</f>
        <v>0</v>
      </c>
    </row>
    <row r="12" spans="1:17" x14ac:dyDescent="0.25">
      <c r="A12">
        <v>2</v>
      </c>
      <c r="B12">
        <v>1</v>
      </c>
      <c r="C12">
        <v>2</v>
      </c>
      <c r="D12">
        <v>8</v>
      </c>
      <c r="F12" s="9">
        <f>VLOOKUP($B12,Vertices!$A$10:$F$203, 3, FALSE)</f>
        <v>0</v>
      </c>
      <c r="G12" s="10">
        <f>VLOOKUP($B12,Vertices!$A$10:$F$203, 4, FALSE)</f>
        <v>0</v>
      </c>
      <c r="H12" s="10">
        <f>VLOOKUP($B12,Vertices!$A$10:$F$203, 5, FALSE)</f>
        <v>0</v>
      </c>
      <c r="I12" s="11">
        <f>VLOOKUP($B12,Vertices!$A$10:$F$203, 6, FALSE)</f>
        <v>0</v>
      </c>
      <c r="J12" s="9">
        <f>VLOOKUP($C12,Vertices!$A$10:$F$203, 3, FALSE)</f>
        <v>0</v>
      </c>
      <c r="K12" s="10">
        <f>VLOOKUP($C12,Vertices!$A$10:$F$203, 4, FALSE)</f>
        <v>10</v>
      </c>
      <c r="L12" s="10">
        <f>VLOOKUP($C12,Vertices!$A$10:$F$203, 5, FALSE)</f>
        <v>0</v>
      </c>
      <c r="M12" s="11">
        <f>VLOOKUP($C12,Vertices!$A$10:$F$203, 6, FALSE)</f>
        <v>0</v>
      </c>
      <c r="N12" s="9">
        <f>VLOOKUP($D12,Vertices!$A$10:$F$203, 3, FALSE)</f>
        <v>10</v>
      </c>
      <c r="O12" s="10">
        <f>VLOOKUP($D12,Vertices!$A$10:$F$203, 4, FALSE)</f>
        <v>10</v>
      </c>
      <c r="P12" s="10">
        <f>VLOOKUP($D12,Vertices!$A$10:$F$203, 5, FALSE)</f>
        <v>0</v>
      </c>
      <c r="Q12" s="11">
        <f>VLOOKUP($D12,Vertices!$A$10:$F$203, 6, FALSE)</f>
        <v>0</v>
      </c>
    </row>
    <row r="13" spans="1:17" x14ac:dyDescent="0.25">
      <c r="A13">
        <v>3</v>
      </c>
      <c r="B13">
        <v>7</v>
      </c>
      <c r="C13">
        <v>14</v>
      </c>
      <c r="D13">
        <v>13</v>
      </c>
      <c r="F13" s="9">
        <f>VLOOKUP($B13,Vertices!$A$10:$F$203, 3, FALSE)</f>
        <v>10</v>
      </c>
      <c r="G13" s="10">
        <f>VLOOKUP($B13,Vertices!$A$10:$F$203, 4, FALSE)</f>
        <v>0</v>
      </c>
      <c r="H13" s="10">
        <f>VLOOKUP($B13,Vertices!$A$10:$F$203, 5, FALSE)</f>
        <v>0</v>
      </c>
      <c r="I13" s="11">
        <f>VLOOKUP($B13,Vertices!$A$10:$F$203, 6, FALSE)</f>
        <v>0</v>
      </c>
      <c r="J13" s="9">
        <f>VLOOKUP($C13,Vertices!$A$10:$F$203, 3, FALSE)</f>
        <v>20</v>
      </c>
      <c r="K13" s="10">
        <f>VLOOKUP($C13,Vertices!$A$10:$F$203, 4, FALSE)</f>
        <v>10</v>
      </c>
      <c r="L13" s="10">
        <f>VLOOKUP($C13,Vertices!$A$10:$F$203, 5, FALSE)</f>
        <v>0</v>
      </c>
      <c r="M13" s="11">
        <f>VLOOKUP($C13,Vertices!$A$10:$F$203, 6, FALSE)</f>
        <v>0</v>
      </c>
      <c r="N13" s="9">
        <f>VLOOKUP($D13,Vertices!$A$10:$F$203, 3, FALSE)</f>
        <v>20</v>
      </c>
      <c r="O13" s="10">
        <f>VLOOKUP($D13,Vertices!$A$10:$F$203, 4, FALSE)</f>
        <v>0</v>
      </c>
      <c r="P13" s="10">
        <f>VLOOKUP($D13,Vertices!$A$10:$F$203, 5, FALSE)</f>
        <v>0</v>
      </c>
      <c r="Q13" s="11">
        <f>VLOOKUP($D13,Vertices!$A$10:$F$203, 6, FALSE)</f>
        <v>0</v>
      </c>
    </row>
    <row r="14" spans="1:17" x14ac:dyDescent="0.25">
      <c r="A14">
        <v>4</v>
      </c>
      <c r="B14">
        <v>7</v>
      </c>
      <c r="C14">
        <v>8</v>
      </c>
      <c r="D14">
        <v>14</v>
      </c>
      <c r="F14" s="9">
        <f>VLOOKUP($B14,Vertices!$A$10:$F$203, 3, FALSE)</f>
        <v>10</v>
      </c>
      <c r="G14" s="10">
        <f>VLOOKUP($B14,Vertices!$A$10:$F$203, 4, FALSE)</f>
        <v>0</v>
      </c>
      <c r="H14" s="10">
        <f>VLOOKUP($B14,Vertices!$A$10:$F$203, 5, FALSE)</f>
        <v>0</v>
      </c>
      <c r="I14" s="11">
        <f>VLOOKUP($B14,Vertices!$A$10:$F$203, 6, FALSE)</f>
        <v>0</v>
      </c>
      <c r="J14" s="9">
        <f>VLOOKUP($C14,Vertices!$A$10:$F$203, 3, FALSE)</f>
        <v>10</v>
      </c>
      <c r="K14" s="10">
        <f>VLOOKUP($C14,Vertices!$A$10:$F$203, 4, FALSE)</f>
        <v>10</v>
      </c>
      <c r="L14" s="10">
        <f>VLOOKUP($C14,Vertices!$A$10:$F$203, 5, FALSE)</f>
        <v>0</v>
      </c>
      <c r="M14" s="11">
        <f>VLOOKUP($C14,Vertices!$A$10:$F$203, 6, FALSE)</f>
        <v>0</v>
      </c>
      <c r="N14" s="9">
        <f>VLOOKUP($D14,Vertices!$A$10:$F$203, 3, FALSE)</f>
        <v>20</v>
      </c>
      <c r="O14" s="10">
        <f>VLOOKUP($D14,Vertices!$A$10:$F$203, 4, FALSE)</f>
        <v>10</v>
      </c>
      <c r="P14" s="10">
        <f>VLOOKUP($D14,Vertices!$A$10:$F$203, 5, FALSE)</f>
        <v>0</v>
      </c>
      <c r="Q14" s="11">
        <f>VLOOKUP($D14,Vertices!$A$10:$F$203, 6, FALSE)</f>
        <v>0</v>
      </c>
    </row>
    <row r="15" spans="1:17" x14ac:dyDescent="0.25">
      <c r="A15">
        <v>5</v>
      </c>
      <c r="B15">
        <v>8</v>
      </c>
      <c r="C15">
        <v>15</v>
      </c>
      <c r="D15">
        <v>14</v>
      </c>
      <c r="F15" s="9">
        <f>VLOOKUP($B15,Vertices!$A$10:$F$203, 3, FALSE)</f>
        <v>10</v>
      </c>
      <c r="G15" s="10">
        <f>VLOOKUP($B15,Vertices!$A$10:$F$203, 4, FALSE)</f>
        <v>10</v>
      </c>
      <c r="H15" s="10">
        <f>VLOOKUP($B15,Vertices!$A$10:$F$203, 5, FALSE)</f>
        <v>0</v>
      </c>
      <c r="I15" s="11">
        <f>VLOOKUP($B15,Vertices!$A$10:$F$203, 6, FALSE)</f>
        <v>0</v>
      </c>
      <c r="J15" s="9">
        <f>VLOOKUP($C15,Vertices!$A$10:$F$203, 3, FALSE)</f>
        <v>20</v>
      </c>
      <c r="K15" s="10">
        <f>VLOOKUP($C15,Vertices!$A$10:$F$203, 4, FALSE)</f>
        <v>20</v>
      </c>
      <c r="L15" s="10">
        <f>VLOOKUP($C15,Vertices!$A$10:$F$203, 5, FALSE)</f>
        <v>0</v>
      </c>
      <c r="M15" s="11">
        <f>VLOOKUP($C15,Vertices!$A$10:$F$203, 6, FALSE)</f>
        <v>0</v>
      </c>
      <c r="N15" s="9">
        <f>VLOOKUP($D15,Vertices!$A$10:$F$203, 3, FALSE)</f>
        <v>20</v>
      </c>
      <c r="O15" s="10">
        <f>VLOOKUP($D15,Vertices!$A$10:$F$203, 4, FALSE)</f>
        <v>10</v>
      </c>
      <c r="P15" s="10">
        <f>VLOOKUP($D15,Vertices!$A$10:$F$203, 5, FALSE)</f>
        <v>0</v>
      </c>
      <c r="Q15" s="11">
        <f>VLOOKUP($D15,Vertices!$A$10:$F$203, 6, FALSE)</f>
        <v>0</v>
      </c>
    </row>
    <row r="16" spans="1:17" x14ac:dyDescent="0.25">
      <c r="A16">
        <v>6</v>
      </c>
      <c r="B16">
        <v>8</v>
      </c>
      <c r="C16">
        <v>9</v>
      </c>
      <c r="D16">
        <v>15</v>
      </c>
      <c r="F16" s="9">
        <f>VLOOKUP($B16,Vertices!$A$10:$F$203, 3, FALSE)</f>
        <v>10</v>
      </c>
      <c r="G16" s="10">
        <f>VLOOKUP($B16,Vertices!$A$10:$F$203, 4, FALSE)</f>
        <v>10</v>
      </c>
      <c r="H16" s="10">
        <f>VLOOKUP($B16,Vertices!$A$10:$F$203, 5, FALSE)</f>
        <v>0</v>
      </c>
      <c r="I16" s="11">
        <f>VLOOKUP($B16,Vertices!$A$10:$F$203, 6, FALSE)</f>
        <v>0</v>
      </c>
      <c r="J16" s="9">
        <f>VLOOKUP($C16,Vertices!$A$10:$F$203, 3, FALSE)</f>
        <v>10</v>
      </c>
      <c r="K16" s="10">
        <f>VLOOKUP($C16,Vertices!$A$10:$F$203, 4, FALSE)</f>
        <v>20</v>
      </c>
      <c r="L16" s="10">
        <f>VLOOKUP($C16,Vertices!$A$10:$F$203, 5, FALSE)</f>
        <v>0</v>
      </c>
      <c r="M16" s="11">
        <f>VLOOKUP($C16,Vertices!$A$10:$F$203, 6, FALSE)</f>
        <v>0</v>
      </c>
      <c r="N16" s="9">
        <f>VLOOKUP($D16,Vertices!$A$10:$F$203, 3, FALSE)</f>
        <v>20</v>
      </c>
      <c r="O16" s="10">
        <f>VLOOKUP($D16,Vertices!$A$10:$F$203, 4, FALSE)</f>
        <v>20</v>
      </c>
      <c r="P16" s="10">
        <f>VLOOKUP($D16,Vertices!$A$10:$F$203, 5, FALSE)</f>
        <v>0</v>
      </c>
      <c r="Q16" s="11">
        <f>VLOOKUP($D16,Vertices!$A$10:$F$203, 6, FALSE)</f>
        <v>0</v>
      </c>
    </row>
    <row r="17" spans="1:17" x14ac:dyDescent="0.25">
      <c r="A17">
        <v>7</v>
      </c>
      <c r="B17">
        <v>2</v>
      </c>
      <c r="C17">
        <v>9</v>
      </c>
      <c r="D17">
        <v>8</v>
      </c>
      <c r="F17" s="9">
        <f>VLOOKUP($B17,Vertices!$A$10:$F$203, 3, FALSE)</f>
        <v>0</v>
      </c>
      <c r="G17" s="10">
        <f>VLOOKUP($B17,Vertices!$A$10:$F$203, 4, FALSE)</f>
        <v>10</v>
      </c>
      <c r="H17" s="10">
        <f>VLOOKUP($B17,Vertices!$A$10:$F$203, 5, FALSE)</f>
        <v>0</v>
      </c>
      <c r="I17" s="11">
        <f>VLOOKUP($B17,Vertices!$A$10:$F$203, 6, FALSE)</f>
        <v>0</v>
      </c>
      <c r="J17" s="9">
        <f>VLOOKUP($C17,Vertices!$A$10:$F$203, 3, FALSE)</f>
        <v>10</v>
      </c>
      <c r="K17" s="10">
        <f>VLOOKUP($C17,Vertices!$A$10:$F$203, 4, FALSE)</f>
        <v>20</v>
      </c>
      <c r="L17" s="10">
        <f>VLOOKUP($C17,Vertices!$A$10:$F$203, 5, FALSE)</f>
        <v>0</v>
      </c>
      <c r="M17" s="11">
        <f>VLOOKUP($C17,Vertices!$A$10:$F$203, 6, FALSE)</f>
        <v>0</v>
      </c>
      <c r="N17" s="9">
        <f>VLOOKUP($D17,Vertices!$A$10:$F$203, 3, FALSE)</f>
        <v>10</v>
      </c>
      <c r="O17" s="10">
        <f>VLOOKUP($D17,Vertices!$A$10:$F$203, 4, FALSE)</f>
        <v>10</v>
      </c>
      <c r="P17" s="10">
        <f>VLOOKUP($D17,Vertices!$A$10:$F$203, 5, FALSE)</f>
        <v>0</v>
      </c>
      <c r="Q17" s="11">
        <f>VLOOKUP($D17,Vertices!$A$10:$F$203, 6, FALSE)</f>
        <v>0</v>
      </c>
    </row>
    <row r="18" spans="1:17" x14ac:dyDescent="0.25">
      <c r="A18">
        <v>8</v>
      </c>
      <c r="B18">
        <v>2</v>
      </c>
      <c r="C18">
        <v>3</v>
      </c>
      <c r="D18">
        <v>9</v>
      </c>
      <c r="F18" s="9">
        <f>VLOOKUP($B18,Vertices!$A$10:$F$203, 3, FALSE)</f>
        <v>0</v>
      </c>
      <c r="G18" s="10">
        <f>VLOOKUP($B18,Vertices!$A$10:$F$203, 4, FALSE)</f>
        <v>10</v>
      </c>
      <c r="H18" s="10">
        <f>VLOOKUP($B18,Vertices!$A$10:$F$203, 5, FALSE)</f>
        <v>0</v>
      </c>
      <c r="I18" s="11">
        <f>VLOOKUP($B18,Vertices!$A$10:$F$203, 6, FALSE)</f>
        <v>0</v>
      </c>
      <c r="J18" s="9">
        <f>VLOOKUP($C18,Vertices!$A$10:$F$203, 3, FALSE)</f>
        <v>0</v>
      </c>
      <c r="K18" s="10">
        <f>VLOOKUP($C18,Vertices!$A$10:$F$203, 4, FALSE)</f>
        <v>20</v>
      </c>
      <c r="L18" s="10">
        <f>VLOOKUP($C18,Vertices!$A$10:$F$203, 5, FALSE)</f>
        <v>0</v>
      </c>
      <c r="M18" s="11">
        <f>VLOOKUP($C18,Vertices!$A$10:$F$203, 6, FALSE)</f>
        <v>0</v>
      </c>
      <c r="N18" s="9">
        <f>VLOOKUP($D18,Vertices!$A$10:$F$203, 3, FALSE)</f>
        <v>10</v>
      </c>
      <c r="O18" s="10">
        <f>VLOOKUP($D18,Vertices!$A$10:$F$203, 4, FALSE)</f>
        <v>20</v>
      </c>
      <c r="P18" s="10">
        <f>VLOOKUP($D18,Vertices!$A$10:$F$203, 5, FALSE)</f>
        <v>0</v>
      </c>
      <c r="Q18" s="11">
        <f>VLOOKUP($D18,Vertices!$A$10:$F$203, 6, FALSE)</f>
        <v>0</v>
      </c>
    </row>
    <row r="19" spans="1:17" x14ac:dyDescent="0.25">
      <c r="A19">
        <v>9</v>
      </c>
      <c r="B19">
        <v>13</v>
      </c>
      <c r="C19">
        <v>20</v>
      </c>
      <c r="D19">
        <v>19</v>
      </c>
      <c r="F19" s="9">
        <f>VLOOKUP($B19,Vertices!$A$10:$F$203, 3, FALSE)</f>
        <v>20</v>
      </c>
      <c r="G19" s="10">
        <f>VLOOKUP($B19,Vertices!$A$10:$F$203, 4, FALSE)</f>
        <v>0</v>
      </c>
      <c r="H19" s="10">
        <f>VLOOKUP($B19,Vertices!$A$10:$F$203, 5, FALSE)</f>
        <v>0</v>
      </c>
      <c r="I19" s="11">
        <f>VLOOKUP($B19,Vertices!$A$10:$F$203, 6, FALSE)</f>
        <v>0</v>
      </c>
      <c r="J19" s="9">
        <f>VLOOKUP($C19,Vertices!$A$10:$F$203, 3, FALSE)</f>
        <v>40</v>
      </c>
      <c r="K19" s="10">
        <f>VLOOKUP($C19,Vertices!$A$10:$F$203, 4, FALSE)</f>
        <v>10</v>
      </c>
      <c r="L19" s="10">
        <f>VLOOKUP($C19,Vertices!$A$10:$F$203, 5, FALSE)</f>
        <v>0</v>
      </c>
      <c r="M19" s="11">
        <f>VLOOKUP($C19,Vertices!$A$10:$F$203, 6, FALSE)</f>
        <v>0</v>
      </c>
      <c r="N19" s="9">
        <f>VLOOKUP($D19,Vertices!$A$10:$F$203, 3, FALSE)</f>
        <v>40</v>
      </c>
      <c r="O19" s="10">
        <f>VLOOKUP($D19,Vertices!$A$10:$F$203, 4, FALSE)</f>
        <v>0</v>
      </c>
      <c r="P19" s="10">
        <f>VLOOKUP($D19,Vertices!$A$10:$F$203, 5, FALSE)</f>
        <v>0</v>
      </c>
      <c r="Q19" s="11">
        <f>VLOOKUP($D19,Vertices!$A$10:$F$203, 6, FALSE)</f>
        <v>0</v>
      </c>
    </row>
    <row r="20" spans="1:17" x14ac:dyDescent="0.25">
      <c r="A20">
        <v>10</v>
      </c>
      <c r="B20">
        <v>13</v>
      </c>
      <c r="C20">
        <v>14</v>
      </c>
      <c r="D20">
        <v>20</v>
      </c>
      <c r="F20" s="9">
        <f>VLOOKUP($B20,Vertices!$A$10:$F$203, 3, FALSE)</f>
        <v>20</v>
      </c>
      <c r="G20" s="10">
        <f>VLOOKUP($B20,Vertices!$A$10:$F$203, 4, FALSE)</f>
        <v>0</v>
      </c>
      <c r="H20" s="10">
        <f>VLOOKUP($B20,Vertices!$A$10:$F$203, 5, FALSE)</f>
        <v>0</v>
      </c>
      <c r="I20" s="11">
        <f>VLOOKUP($B20,Vertices!$A$10:$F$203, 6, FALSE)</f>
        <v>0</v>
      </c>
      <c r="J20" s="9">
        <f>VLOOKUP($C20,Vertices!$A$10:$F$203, 3, FALSE)</f>
        <v>20</v>
      </c>
      <c r="K20" s="10">
        <f>VLOOKUP($C20,Vertices!$A$10:$F$203, 4, FALSE)</f>
        <v>10</v>
      </c>
      <c r="L20" s="10">
        <f>VLOOKUP($C20,Vertices!$A$10:$F$203, 5, FALSE)</f>
        <v>0</v>
      </c>
      <c r="M20" s="11">
        <f>VLOOKUP($C20,Vertices!$A$10:$F$203, 6, FALSE)</f>
        <v>0</v>
      </c>
      <c r="N20" s="9">
        <f>VLOOKUP($D20,Vertices!$A$10:$F$203, 3, FALSE)</f>
        <v>40</v>
      </c>
      <c r="O20" s="10">
        <f>VLOOKUP($D20,Vertices!$A$10:$F$203, 4, FALSE)</f>
        <v>10</v>
      </c>
      <c r="P20" s="10">
        <f>VLOOKUP($D20,Vertices!$A$10:$F$203, 5, FALSE)</f>
        <v>0</v>
      </c>
      <c r="Q20" s="11">
        <f>VLOOKUP($D20,Vertices!$A$10:$F$203, 6, FALSE)</f>
        <v>0</v>
      </c>
    </row>
    <row r="21" spans="1:17" x14ac:dyDescent="0.25">
      <c r="A21">
        <v>11</v>
      </c>
      <c r="B21">
        <v>14</v>
      </c>
      <c r="C21">
        <v>21</v>
      </c>
      <c r="D21">
        <v>20</v>
      </c>
      <c r="F21" s="9">
        <f>VLOOKUP($B21,Vertices!$A$10:$F$203, 3, FALSE)</f>
        <v>20</v>
      </c>
      <c r="G21" s="10">
        <f>VLOOKUP($B21,Vertices!$A$10:$F$203, 4, FALSE)</f>
        <v>10</v>
      </c>
      <c r="H21" s="10">
        <f>VLOOKUP($B21,Vertices!$A$10:$F$203, 5, FALSE)</f>
        <v>0</v>
      </c>
      <c r="I21" s="11">
        <f>VLOOKUP($B21,Vertices!$A$10:$F$203, 6, FALSE)</f>
        <v>0</v>
      </c>
      <c r="J21" s="9">
        <f>VLOOKUP($C21,Vertices!$A$10:$F$203, 3, FALSE)</f>
        <v>40</v>
      </c>
      <c r="K21" s="10">
        <f>VLOOKUP($C21,Vertices!$A$10:$F$203, 4, FALSE)</f>
        <v>20</v>
      </c>
      <c r="L21" s="10">
        <f>VLOOKUP($C21,Vertices!$A$10:$F$203, 5, FALSE)</f>
        <v>0</v>
      </c>
      <c r="M21" s="11">
        <f>VLOOKUP($C21,Vertices!$A$10:$F$203, 6, FALSE)</f>
        <v>0</v>
      </c>
      <c r="N21" s="9">
        <f>VLOOKUP($D21,Vertices!$A$10:$F$203, 3, FALSE)</f>
        <v>40</v>
      </c>
      <c r="O21" s="10">
        <f>VLOOKUP($D21,Vertices!$A$10:$F$203, 4, FALSE)</f>
        <v>10</v>
      </c>
      <c r="P21" s="10">
        <f>VLOOKUP($D21,Vertices!$A$10:$F$203, 5, FALSE)</f>
        <v>0</v>
      </c>
      <c r="Q21" s="11">
        <f>VLOOKUP($D21,Vertices!$A$10:$F$203, 6, FALSE)</f>
        <v>0</v>
      </c>
    </row>
    <row r="22" spans="1:17" x14ac:dyDescent="0.25">
      <c r="A22">
        <v>12</v>
      </c>
      <c r="B22">
        <v>14</v>
      </c>
      <c r="C22">
        <v>15</v>
      </c>
      <c r="D22">
        <v>21</v>
      </c>
      <c r="F22" s="9">
        <f>VLOOKUP($B22,Vertices!$A$10:$F$203, 3, FALSE)</f>
        <v>20</v>
      </c>
      <c r="G22" s="10">
        <f>VLOOKUP($B22,Vertices!$A$10:$F$203, 4, FALSE)</f>
        <v>10</v>
      </c>
      <c r="H22" s="10">
        <f>VLOOKUP($B22,Vertices!$A$10:$F$203, 5, FALSE)</f>
        <v>0</v>
      </c>
      <c r="I22" s="11">
        <f>VLOOKUP($B22,Vertices!$A$10:$F$203, 6, FALSE)</f>
        <v>0</v>
      </c>
      <c r="J22" s="9">
        <f>VLOOKUP($C22,Vertices!$A$10:$F$203, 3, FALSE)</f>
        <v>20</v>
      </c>
      <c r="K22" s="10">
        <f>VLOOKUP($C22,Vertices!$A$10:$F$203, 4, FALSE)</f>
        <v>20</v>
      </c>
      <c r="L22" s="10">
        <f>VLOOKUP($C22,Vertices!$A$10:$F$203, 5, FALSE)</f>
        <v>0</v>
      </c>
      <c r="M22" s="11">
        <f>VLOOKUP($C22,Vertices!$A$10:$F$203, 6, FALSE)</f>
        <v>0</v>
      </c>
      <c r="N22" s="9">
        <f>VLOOKUP($D22,Vertices!$A$10:$F$203, 3, FALSE)</f>
        <v>40</v>
      </c>
      <c r="O22" s="10">
        <f>VLOOKUP($D22,Vertices!$A$10:$F$203, 4, FALSE)</f>
        <v>20</v>
      </c>
      <c r="P22" s="10">
        <f>VLOOKUP($D22,Vertices!$A$10:$F$203, 5, FALSE)</f>
        <v>0</v>
      </c>
      <c r="Q22" s="11">
        <f>VLOOKUP($D22,Vertices!$A$10:$F$203, 6, FALSE)</f>
        <v>0</v>
      </c>
    </row>
    <row r="23" spans="1:17" x14ac:dyDescent="0.25">
      <c r="A23">
        <v>13</v>
      </c>
      <c r="B23">
        <v>15</v>
      </c>
      <c r="C23">
        <v>22</v>
      </c>
      <c r="D23">
        <v>21</v>
      </c>
      <c r="F23" s="9">
        <f>VLOOKUP($B23,Vertices!$A$10:$F$203, 3, FALSE)</f>
        <v>20</v>
      </c>
      <c r="G23" s="10">
        <f>VLOOKUP($B23,Vertices!$A$10:$F$203, 4, FALSE)</f>
        <v>20</v>
      </c>
      <c r="H23" s="10">
        <f>VLOOKUP($B23,Vertices!$A$10:$F$203, 5, FALSE)</f>
        <v>0</v>
      </c>
      <c r="I23" s="11">
        <f>VLOOKUP($B23,Vertices!$A$10:$F$203, 6, FALSE)</f>
        <v>0</v>
      </c>
      <c r="J23" s="9">
        <f>VLOOKUP($C23,Vertices!$A$10:$F$203, 3, FALSE)</f>
        <v>40</v>
      </c>
      <c r="K23" s="10">
        <f>VLOOKUP($C23,Vertices!$A$10:$F$203, 4, FALSE)</f>
        <v>40</v>
      </c>
      <c r="L23" s="10">
        <f>VLOOKUP($C23,Vertices!$A$10:$F$203, 5, FALSE)</f>
        <v>0</v>
      </c>
      <c r="M23" s="11">
        <f>VLOOKUP($C23,Vertices!$A$10:$F$203, 6, FALSE)</f>
        <v>0</v>
      </c>
      <c r="N23" s="9">
        <f>VLOOKUP($D23,Vertices!$A$10:$F$203, 3, FALSE)</f>
        <v>40</v>
      </c>
      <c r="O23" s="10">
        <f>VLOOKUP($D23,Vertices!$A$10:$F$203, 4, FALSE)</f>
        <v>20</v>
      </c>
      <c r="P23" s="10">
        <f>VLOOKUP($D23,Vertices!$A$10:$F$203, 5, FALSE)</f>
        <v>0</v>
      </c>
      <c r="Q23" s="11">
        <f>VLOOKUP($D23,Vertices!$A$10:$F$203, 6, FALSE)</f>
        <v>0</v>
      </c>
    </row>
    <row r="24" spans="1:17" x14ac:dyDescent="0.25">
      <c r="A24">
        <v>14</v>
      </c>
      <c r="B24">
        <v>15</v>
      </c>
      <c r="C24">
        <v>16</v>
      </c>
      <c r="D24">
        <v>22</v>
      </c>
      <c r="F24" s="9">
        <f>VLOOKUP($B24,Vertices!$A$10:$F$203, 3, FALSE)</f>
        <v>20</v>
      </c>
      <c r="G24" s="10">
        <f>VLOOKUP($B24,Vertices!$A$10:$F$203, 4, FALSE)</f>
        <v>20</v>
      </c>
      <c r="H24" s="10">
        <f>VLOOKUP($B24,Vertices!$A$10:$F$203, 5, FALSE)</f>
        <v>0</v>
      </c>
      <c r="I24" s="11">
        <f>VLOOKUP($B24,Vertices!$A$10:$F$203, 6, FALSE)</f>
        <v>0</v>
      </c>
      <c r="J24" s="9">
        <f>VLOOKUP($C24,Vertices!$A$10:$F$203, 3, FALSE)</f>
        <v>20</v>
      </c>
      <c r="K24" s="10">
        <f>VLOOKUP($C24,Vertices!$A$10:$F$203, 4, FALSE)</f>
        <v>40</v>
      </c>
      <c r="L24" s="10">
        <f>VLOOKUP($C24,Vertices!$A$10:$F$203, 5, FALSE)</f>
        <v>0</v>
      </c>
      <c r="M24" s="11">
        <f>VLOOKUP($C24,Vertices!$A$10:$F$203, 6, FALSE)</f>
        <v>0</v>
      </c>
      <c r="N24" s="9">
        <f>VLOOKUP($D24,Vertices!$A$10:$F$203, 3, FALSE)</f>
        <v>40</v>
      </c>
      <c r="O24" s="10">
        <f>VLOOKUP($D24,Vertices!$A$10:$F$203, 4, FALSE)</f>
        <v>40</v>
      </c>
      <c r="P24" s="10">
        <f>VLOOKUP($D24,Vertices!$A$10:$F$203, 5, FALSE)</f>
        <v>0</v>
      </c>
      <c r="Q24" s="11">
        <f>VLOOKUP($D24,Vertices!$A$10:$F$203, 6, FALSE)</f>
        <v>0</v>
      </c>
    </row>
    <row r="25" spans="1:17" x14ac:dyDescent="0.25">
      <c r="A25">
        <v>15</v>
      </c>
      <c r="B25">
        <v>9</v>
      </c>
      <c r="C25">
        <v>16</v>
      </c>
      <c r="D25">
        <v>15</v>
      </c>
      <c r="F25" s="9">
        <f>VLOOKUP($B25,Vertices!$A$10:$F$203, 3, FALSE)</f>
        <v>10</v>
      </c>
      <c r="G25" s="10">
        <f>VLOOKUP($B25,Vertices!$A$10:$F$203, 4, FALSE)</f>
        <v>20</v>
      </c>
      <c r="H25" s="10">
        <f>VLOOKUP($B25,Vertices!$A$10:$F$203, 5, FALSE)</f>
        <v>0</v>
      </c>
      <c r="I25" s="11">
        <f>VLOOKUP($B25,Vertices!$A$10:$F$203, 6, FALSE)</f>
        <v>0</v>
      </c>
      <c r="J25" s="9">
        <f>VLOOKUP($C25,Vertices!$A$10:$F$203, 3, FALSE)</f>
        <v>20</v>
      </c>
      <c r="K25" s="10">
        <f>VLOOKUP($C25,Vertices!$A$10:$F$203, 4, FALSE)</f>
        <v>40</v>
      </c>
      <c r="L25" s="10">
        <f>VLOOKUP($C25,Vertices!$A$10:$F$203, 5, FALSE)</f>
        <v>0</v>
      </c>
      <c r="M25" s="11">
        <f>VLOOKUP($C25,Vertices!$A$10:$F$203, 6, FALSE)</f>
        <v>0</v>
      </c>
      <c r="N25" s="9">
        <f>VLOOKUP($D25,Vertices!$A$10:$F$203, 3, FALSE)</f>
        <v>20</v>
      </c>
      <c r="O25" s="10">
        <f>VLOOKUP($D25,Vertices!$A$10:$F$203, 4, FALSE)</f>
        <v>20</v>
      </c>
      <c r="P25" s="10">
        <f>VLOOKUP($D25,Vertices!$A$10:$F$203, 5, FALSE)</f>
        <v>0</v>
      </c>
      <c r="Q25" s="11">
        <f>VLOOKUP($D25,Vertices!$A$10:$F$203, 6, FALSE)</f>
        <v>0</v>
      </c>
    </row>
    <row r="26" spans="1:17" x14ac:dyDescent="0.25">
      <c r="A26">
        <v>16</v>
      </c>
      <c r="B26">
        <v>9</v>
      </c>
      <c r="C26">
        <v>10</v>
      </c>
      <c r="D26">
        <v>16</v>
      </c>
      <c r="F26" s="9">
        <f>VLOOKUP($B26,Vertices!$A$10:$F$203, 3, FALSE)</f>
        <v>10</v>
      </c>
      <c r="G26" s="10">
        <f>VLOOKUP($B26,Vertices!$A$10:$F$203, 4, FALSE)</f>
        <v>20</v>
      </c>
      <c r="H26" s="10">
        <f>VLOOKUP($B26,Vertices!$A$10:$F$203, 5, FALSE)</f>
        <v>0</v>
      </c>
      <c r="I26" s="11">
        <f>VLOOKUP($B26,Vertices!$A$10:$F$203, 6, FALSE)</f>
        <v>0</v>
      </c>
      <c r="J26" s="9">
        <f>VLOOKUP($C26,Vertices!$A$10:$F$203, 3, FALSE)</f>
        <v>10</v>
      </c>
      <c r="K26" s="10">
        <f>VLOOKUP($C26,Vertices!$A$10:$F$203, 4, FALSE)</f>
        <v>40</v>
      </c>
      <c r="L26" s="10">
        <f>VLOOKUP($C26,Vertices!$A$10:$F$203, 5, FALSE)</f>
        <v>0</v>
      </c>
      <c r="M26" s="11">
        <f>VLOOKUP($C26,Vertices!$A$10:$F$203, 6, FALSE)</f>
        <v>0</v>
      </c>
      <c r="N26" s="9">
        <f>VLOOKUP($D26,Vertices!$A$10:$F$203, 3, FALSE)</f>
        <v>20</v>
      </c>
      <c r="O26" s="10">
        <f>VLOOKUP($D26,Vertices!$A$10:$F$203, 4, FALSE)</f>
        <v>40</v>
      </c>
      <c r="P26" s="10">
        <f>VLOOKUP($D26,Vertices!$A$10:$F$203, 5, FALSE)</f>
        <v>0</v>
      </c>
      <c r="Q26" s="11">
        <f>VLOOKUP($D26,Vertices!$A$10:$F$203, 6, FALSE)</f>
        <v>0</v>
      </c>
    </row>
    <row r="27" spans="1:17" x14ac:dyDescent="0.25">
      <c r="A27">
        <v>17</v>
      </c>
      <c r="B27">
        <v>3</v>
      </c>
      <c r="C27">
        <v>10</v>
      </c>
      <c r="D27">
        <v>9</v>
      </c>
      <c r="F27" s="9">
        <f>VLOOKUP($B27,Vertices!$A$10:$F$203, 3, FALSE)</f>
        <v>0</v>
      </c>
      <c r="G27" s="10">
        <f>VLOOKUP($B27,Vertices!$A$10:$F$203, 4, FALSE)</f>
        <v>20</v>
      </c>
      <c r="H27" s="10">
        <f>VLOOKUP($B27,Vertices!$A$10:$F$203, 5, FALSE)</f>
        <v>0</v>
      </c>
      <c r="I27" s="11">
        <f>VLOOKUP($B27,Vertices!$A$10:$F$203, 6, FALSE)</f>
        <v>0</v>
      </c>
      <c r="J27" s="9">
        <f>VLOOKUP($C27,Vertices!$A$10:$F$203, 3, FALSE)</f>
        <v>10</v>
      </c>
      <c r="K27" s="10">
        <f>VLOOKUP($C27,Vertices!$A$10:$F$203, 4, FALSE)</f>
        <v>40</v>
      </c>
      <c r="L27" s="10">
        <f>VLOOKUP($C27,Vertices!$A$10:$F$203, 5, FALSE)</f>
        <v>0</v>
      </c>
      <c r="M27" s="11">
        <f>VLOOKUP($C27,Vertices!$A$10:$F$203, 6, FALSE)</f>
        <v>0</v>
      </c>
      <c r="N27" s="9">
        <f>VLOOKUP($D27,Vertices!$A$10:$F$203, 3, FALSE)</f>
        <v>10</v>
      </c>
      <c r="O27" s="10">
        <f>VLOOKUP($D27,Vertices!$A$10:$F$203, 4, FALSE)</f>
        <v>20</v>
      </c>
      <c r="P27" s="10">
        <f>VLOOKUP($D27,Vertices!$A$10:$F$203, 5, FALSE)</f>
        <v>0</v>
      </c>
      <c r="Q27" s="11">
        <f>VLOOKUP($D27,Vertices!$A$10:$F$203, 6, FALSE)</f>
        <v>0</v>
      </c>
    </row>
    <row r="28" spans="1:17" x14ac:dyDescent="0.25">
      <c r="A28">
        <v>18</v>
      </c>
      <c r="B28">
        <v>3</v>
      </c>
      <c r="C28">
        <v>4</v>
      </c>
      <c r="D28">
        <v>10</v>
      </c>
      <c r="F28" s="9">
        <f>VLOOKUP($B28,Vertices!$A$10:$F$203, 3, FALSE)</f>
        <v>0</v>
      </c>
      <c r="G28" s="10">
        <f>VLOOKUP($B28,Vertices!$A$10:$F$203, 4, FALSE)</f>
        <v>20</v>
      </c>
      <c r="H28" s="10">
        <f>VLOOKUP($B28,Vertices!$A$10:$F$203, 5, FALSE)</f>
        <v>0</v>
      </c>
      <c r="I28" s="11">
        <f>VLOOKUP($B28,Vertices!$A$10:$F$203, 6, FALSE)</f>
        <v>0</v>
      </c>
      <c r="J28" s="9">
        <f>VLOOKUP($C28,Vertices!$A$10:$F$203, 3, FALSE)</f>
        <v>0</v>
      </c>
      <c r="K28" s="10">
        <f>VLOOKUP($C28,Vertices!$A$10:$F$203, 4, FALSE)</f>
        <v>40</v>
      </c>
      <c r="L28" s="10">
        <f>VLOOKUP($C28,Vertices!$A$10:$F$203, 5, FALSE)</f>
        <v>0</v>
      </c>
      <c r="M28" s="11">
        <f>VLOOKUP($C28,Vertices!$A$10:$F$203, 6, FALSE)</f>
        <v>0</v>
      </c>
      <c r="N28" s="9">
        <f>VLOOKUP($D28,Vertices!$A$10:$F$203, 3, FALSE)</f>
        <v>10</v>
      </c>
      <c r="O28" s="10">
        <f>VLOOKUP($D28,Vertices!$A$10:$F$203, 4, FALSE)</f>
        <v>40</v>
      </c>
      <c r="P28" s="10">
        <f>VLOOKUP($D28,Vertices!$A$10:$F$203, 5, FALSE)</f>
        <v>0</v>
      </c>
      <c r="Q28" s="11">
        <f>VLOOKUP($D28,Vertices!$A$10:$F$203, 6, FALSE)</f>
        <v>0</v>
      </c>
    </row>
    <row r="29" spans="1:17" x14ac:dyDescent="0.25">
      <c r="A29">
        <v>19</v>
      </c>
      <c r="B29">
        <v>19</v>
      </c>
      <c r="C29">
        <v>26</v>
      </c>
      <c r="D29">
        <v>25</v>
      </c>
      <c r="F29" s="9">
        <f>VLOOKUP($B29,Vertices!$A$10:$F$203, 3, FALSE)</f>
        <v>40</v>
      </c>
      <c r="G29" s="10">
        <f>VLOOKUP($B29,Vertices!$A$10:$F$203, 4, FALSE)</f>
        <v>0</v>
      </c>
      <c r="H29" s="10">
        <f>VLOOKUP($B29,Vertices!$A$10:$F$203, 5, FALSE)</f>
        <v>0</v>
      </c>
      <c r="I29" s="11">
        <f>VLOOKUP($B29,Vertices!$A$10:$F$203, 6, FALSE)</f>
        <v>0</v>
      </c>
      <c r="J29" s="9">
        <f>VLOOKUP($C29,Vertices!$A$10:$F$203, 3, FALSE)</f>
        <v>70</v>
      </c>
      <c r="K29" s="10">
        <f>VLOOKUP($C29,Vertices!$A$10:$F$203, 4, FALSE)</f>
        <v>10</v>
      </c>
      <c r="L29" s="10">
        <f>VLOOKUP($C29,Vertices!$A$10:$F$203, 5, FALSE)</f>
        <v>0</v>
      </c>
      <c r="M29" s="11">
        <f>VLOOKUP($C29,Vertices!$A$10:$F$203, 6, FALSE)</f>
        <v>0</v>
      </c>
      <c r="N29" s="9">
        <f>VLOOKUP($D29,Vertices!$A$10:$F$203, 3, FALSE)</f>
        <v>70</v>
      </c>
      <c r="O29" s="10">
        <f>VLOOKUP($D29,Vertices!$A$10:$F$203, 4, FALSE)</f>
        <v>0</v>
      </c>
      <c r="P29" s="10">
        <f>VLOOKUP($D29,Vertices!$A$10:$F$203, 5, FALSE)</f>
        <v>0</v>
      </c>
      <c r="Q29" s="11">
        <f>VLOOKUP($D29,Vertices!$A$10:$F$203, 6, FALSE)</f>
        <v>0</v>
      </c>
    </row>
    <row r="30" spans="1:17" x14ac:dyDescent="0.25">
      <c r="A30">
        <v>20</v>
      </c>
      <c r="B30">
        <v>19</v>
      </c>
      <c r="C30">
        <v>20</v>
      </c>
      <c r="D30">
        <v>26</v>
      </c>
      <c r="F30" s="9">
        <f>VLOOKUP($B30,Vertices!$A$10:$F$203, 3, FALSE)</f>
        <v>40</v>
      </c>
      <c r="G30" s="10">
        <f>VLOOKUP($B30,Vertices!$A$10:$F$203, 4, FALSE)</f>
        <v>0</v>
      </c>
      <c r="H30" s="10">
        <f>VLOOKUP($B30,Vertices!$A$10:$F$203, 5, FALSE)</f>
        <v>0</v>
      </c>
      <c r="I30" s="11">
        <f>VLOOKUP($B30,Vertices!$A$10:$F$203, 6, FALSE)</f>
        <v>0</v>
      </c>
      <c r="J30" s="9">
        <f>VLOOKUP($C30,Vertices!$A$10:$F$203, 3, FALSE)</f>
        <v>40</v>
      </c>
      <c r="K30" s="10">
        <f>VLOOKUP($C30,Vertices!$A$10:$F$203, 4, FALSE)</f>
        <v>10</v>
      </c>
      <c r="L30" s="10">
        <f>VLOOKUP($C30,Vertices!$A$10:$F$203, 5, FALSE)</f>
        <v>0</v>
      </c>
      <c r="M30" s="11">
        <f>VLOOKUP($C30,Vertices!$A$10:$F$203, 6, FALSE)</f>
        <v>0</v>
      </c>
      <c r="N30" s="9">
        <f>VLOOKUP($D30,Vertices!$A$10:$F$203, 3, FALSE)</f>
        <v>70</v>
      </c>
      <c r="O30" s="10">
        <f>VLOOKUP($D30,Vertices!$A$10:$F$203, 4, FALSE)</f>
        <v>10</v>
      </c>
      <c r="P30" s="10">
        <f>VLOOKUP($D30,Vertices!$A$10:$F$203, 5, FALSE)</f>
        <v>0</v>
      </c>
      <c r="Q30" s="11">
        <f>VLOOKUP($D30,Vertices!$A$10:$F$203, 6, FALSE)</f>
        <v>0</v>
      </c>
    </row>
    <row r="31" spans="1:17" x14ac:dyDescent="0.25">
      <c r="A31">
        <v>21</v>
      </c>
      <c r="B31">
        <v>20</v>
      </c>
      <c r="C31">
        <v>27</v>
      </c>
      <c r="D31">
        <v>26</v>
      </c>
      <c r="F31" s="9">
        <f>VLOOKUP($B31,Vertices!$A$10:$F$203, 3, FALSE)</f>
        <v>40</v>
      </c>
      <c r="G31" s="10">
        <f>VLOOKUP($B31,Vertices!$A$10:$F$203, 4, FALSE)</f>
        <v>10</v>
      </c>
      <c r="H31" s="10">
        <f>VLOOKUP($B31,Vertices!$A$10:$F$203, 5, FALSE)</f>
        <v>0</v>
      </c>
      <c r="I31" s="11">
        <f>VLOOKUP($B31,Vertices!$A$10:$F$203, 6, FALSE)</f>
        <v>0</v>
      </c>
      <c r="J31" s="9">
        <f>VLOOKUP($C31,Vertices!$A$10:$F$203, 3, FALSE)</f>
        <v>70</v>
      </c>
      <c r="K31" s="10">
        <f>VLOOKUP($C31,Vertices!$A$10:$F$203, 4, FALSE)</f>
        <v>20</v>
      </c>
      <c r="L31" s="10">
        <f>VLOOKUP($C31,Vertices!$A$10:$F$203, 5, FALSE)</f>
        <v>0</v>
      </c>
      <c r="M31" s="11">
        <f>VLOOKUP($C31,Vertices!$A$10:$F$203, 6, FALSE)</f>
        <v>0</v>
      </c>
      <c r="N31" s="9">
        <f>VLOOKUP($D31,Vertices!$A$10:$F$203, 3, FALSE)</f>
        <v>70</v>
      </c>
      <c r="O31" s="10">
        <f>VLOOKUP($D31,Vertices!$A$10:$F$203, 4, FALSE)</f>
        <v>10</v>
      </c>
      <c r="P31" s="10">
        <f>VLOOKUP($D31,Vertices!$A$10:$F$203, 5, FALSE)</f>
        <v>0</v>
      </c>
      <c r="Q31" s="11">
        <f>VLOOKUP($D31,Vertices!$A$10:$F$203, 6, FALSE)</f>
        <v>0</v>
      </c>
    </row>
    <row r="32" spans="1:17" x14ac:dyDescent="0.25">
      <c r="A32">
        <v>22</v>
      </c>
      <c r="B32">
        <v>20</v>
      </c>
      <c r="C32">
        <v>21</v>
      </c>
      <c r="D32">
        <v>27</v>
      </c>
      <c r="F32" s="9">
        <f>VLOOKUP($B32,Vertices!$A$10:$F$203, 3, FALSE)</f>
        <v>40</v>
      </c>
      <c r="G32" s="10">
        <f>VLOOKUP($B32,Vertices!$A$10:$F$203, 4, FALSE)</f>
        <v>10</v>
      </c>
      <c r="H32" s="10">
        <f>VLOOKUP($B32,Vertices!$A$10:$F$203, 5, FALSE)</f>
        <v>0</v>
      </c>
      <c r="I32" s="11">
        <f>VLOOKUP($B32,Vertices!$A$10:$F$203, 6, FALSE)</f>
        <v>0</v>
      </c>
      <c r="J32" s="9">
        <f>VLOOKUP($C32,Vertices!$A$10:$F$203, 3, FALSE)</f>
        <v>40</v>
      </c>
      <c r="K32" s="10">
        <f>VLOOKUP($C32,Vertices!$A$10:$F$203, 4, FALSE)</f>
        <v>20</v>
      </c>
      <c r="L32" s="10">
        <f>VLOOKUP($C32,Vertices!$A$10:$F$203, 5, FALSE)</f>
        <v>0</v>
      </c>
      <c r="M32" s="11">
        <f>VLOOKUP($C32,Vertices!$A$10:$F$203, 6, FALSE)</f>
        <v>0</v>
      </c>
      <c r="N32" s="9">
        <f>VLOOKUP($D32,Vertices!$A$10:$F$203, 3, FALSE)</f>
        <v>70</v>
      </c>
      <c r="O32" s="10">
        <f>VLOOKUP($D32,Vertices!$A$10:$F$203, 4, FALSE)</f>
        <v>20</v>
      </c>
      <c r="P32" s="10">
        <f>VLOOKUP($D32,Vertices!$A$10:$F$203, 5, FALSE)</f>
        <v>0</v>
      </c>
      <c r="Q32" s="11">
        <f>VLOOKUP($D32,Vertices!$A$10:$F$203, 6, FALSE)</f>
        <v>0</v>
      </c>
    </row>
    <row r="33" spans="1:17" x14ac:dyDescent="0.25">
      <c r="A33">
        <v>23</v>
      </c>
      <c r="B33">
        <v>21</v>
      </c>
      <c r="C33">
        <v>28</v>
      </c>
      <c r="D33">
        <v>27</v>
      </c>
      <c r="F33" s="9">
        <f>VLOOKUP($B33,Vertices!$A$10:$F$203, 3, FALSE)</f>
        <v>40</v>
      </c>
      <c r="G33" s="10">
        <f>VLOOKUP($B33,Vertices!$A$10:$F$203, 4, FALSE)</f>
        <v>20</v>
      </c>
      <c r="H33" s="10">
        <f>VLOOKUP($B33,Vertices!$A$10:$F$203, 5, FALSE)</f>
        <v>0</v>
      </c>
      <c r="I33" s="11">
        <f>VLOOKUP($B33,Vertices!$A$10:$F$203, 6, FALSE)</f>
        <v>0</v>
      </c>
      <c r="J33" s="9">
        <f>VLOOKUP($C33,Vertices!$A$10:$F$203, 3, FALSE)</f>
        <v>70</v>
      </c>
      <c r="K33" s="10">
        <f>VLOOKUP($C33,Vertices!$A$10:$F$203, 4, FALSE)</f>
        <v>40</v>
      </c>
      <c r="L33" s="10">
        <f>VLOOKUP($C33,Vertices!$A$10:$F$203, 5, FALSE)</f>
        <v>0</v>
      </c>
      <c r="M33" s="11">
        <f>VLOOKUP($C33,Vertices!$A$10:$F$203, 6, FALSE)</f>
        <v>0</v>
      </c>
      <c r="N33" s="9">
        <f>VLOOKUP($D33,Vertices!$A$10:$F$203, 3, FALSE)</f>
        <v>70</v>
      </c>
      <c r="O33" s="10">
        <f>VLOOKUP($D33,Vertices!$A$10:$F$203, 4, FALSE)</f>
        <v>20</v>
      </c>
      <c r="P33" s="10">
        <f>VLOOKUP($D33,Vertices!$A$10:$F$203, 5, FALSE)</f>
        <v>0</v>
      </c>
      <c r="Q33" s="11">
        <f>VLOOKUP($D33,Vertices!$A$10:$F$203, 6, FALSE)</f>
        <v>0</v>
      </c>
    </row>
    <row r="34" spans="1:17" x14ac:dyDescent="0.25">
      <c r="A34">
        <v>24</v>
      </c>
      <c r="B34">
        <v>21</v>
      </c>
      <c r="C34">
        <v>22</v>
      </c>
      <c r="D34">
        <v>28</v>
      </c>
      <c r="F34" s="9">
        <f>VLOOKUP($B34,Vertices!$A$10:$F$203, 3, FALSE)</f>
        <v>40</v>
      </c>
      <c r="G34" s="10">
        <f>VLOOKUP($B34,Vertices!$A$10:$F$203, 4, FALSE)</f>
        <v>20</v>
      </c>
      <c r="H34" s="10">
        <f>VLOOKUP($B34,Vertices!$A$10:$F$203, 5, FALSE)</f>
        <v>0</v>
      </c>
      <c r="I34" s="11">
        <f>VLOOKUP($B34,Vertices!$A$10:$F$203, 6, FALSE)</f>
        <v>0</v>
      </c>
      <c r="J34" s="9">
        <f>VLOOKUP($C34,Vertices!$A$10:$F$203, 3, FALSE)</f>
        <v>40</v>
      </c>
      <c r="K34" s="10">
        <f>VLOOKUP($C34,Vertices!$A$10:$F$203, 4, FALSE)</f>
        <v>40</v>
      </c>
      <c r="L34" s="10">
        <f>VLOOKUP($C34,Vertices!$A$10:$F$203, 5, FALSE)</f>
        <v>0</v>
      </c>
      <c r="M34" s="11">
        <f>VLOOKUP($C34,Vertices!$A$10:$F$203, 6, FALSE)</f>
        <v>0</v>
      </c>
      <c r="N34" s="9">
        <f>VLOOKUP($D34,Vertices!$A$10:$F$203, 3, FALSE)</f>
        <v>70</v>
      </c>
      <c r="O34" s="10">
        <f>VLOOKUP($D34,Vertices!$A$10:$F$203, 4, FALSE)</f>
        <v>40</v>
      </c>
      <c r="P34" s="10">
        <f>VLOOKUP($D34,Vertices!$A$10:$F$203, 5, FALSE)</f>
        <v>0</v>
      </c>
      <c r="Q34" s="11">
        <f>VLOOKUP($D34,Vertices!$A$10:$F$203, 6, FALSE)</f>
        <v>0</v>
      </c>
    </row>
    <row r="35" spans="1:17" x14ac:dyDescent="0.25">
      <c r="A35">
        <v>25</v>
      </c>
      <c r="B35">
        <v>22</v>
      </c>
      <c r="C35">
        <v>29</v>
      </c>
      <c r="D35">
        <v>28</v>
      </c>
      <c r="F35" s="9">
        <f>VLOOKUP($B35,Vertices!$A$10:$F$203, 3, FALSE)</f>
        <v>40</v>
      </c>
      <c r="G35" s="10">
        <f>VLOOKUP($B35,Vertices!$A$10:$F$203, 4, FALSE)</f>
        <v>40</v>
      </c>
      <c r="H35" s="10">
        <f>VLOOKUP($B35,Vertices!$A$10:$F$203, 5, FALSE)</f>
        <v>0</v>
      </c>
      <c r="I35" s="11">
        <f>VLOOKUP($B35,Vertices!$A$10:$F$203, 6, FALSE)</f>
        <v>0</v>
      </c>
      <c r="J35" s="9">
        <f>VLOOKUP($C35,Vertices!$A$10:$F$203, 3, FALSE)</f>
        <v>70</v>
      </c>
      <c r="K35" s="10">
        <f>VLOOKUP($C35,Vertices!$A$10:$F$203, 4, FALSE)</f>
        <v>70</v>
      </c>
      <c r="L35" s="10">
        <f>VLOOKUP($C35,Vertices!$A$10:$F$203, 5, FALSE)</f>
        <v>0</v>
      </c>
      <c r="M35" s="11">
        <f>VLOOKUP($C35,Vertices!$A$10:$F$203, 6, FALSE)</f>
        <v>0</v>
      </c>
      <c r="N35" s="9">
        <f>VLOOKUP($D35,Vertices!$A$10:$F$203, 3, FALSE)</f>
        <v>70</v>
      </c>
      <c r="O35" s="10">
        <f>VLOOKUP($D35,Vertices!$A$10:$F$203, 4, FALSE)</f>
        <v>40</v>
      </c>
      <c r="P35" s="10">
        <f>VLOOKUP($D35,Vertices!$A$10:$F$203, 5, FALSE)</f>
        <v>0</v>
      </c>
      <c r="Q35" s="11">
        <f>VLOOKUP($D35,Vertices!$A$10:$F$203, 6, FALSE)</f>
        <v>0</v>
      </c>
    </row>
    <row r="36" spans="1:17" x14ac:dyDescent="0.25">
      <c r="A36">
        <v>26</v>
      </c>
      <c r="B36">
        <v>22</v>
      </c>
      <c r="C36">
        <v>23</v>
      </c>
      <c r="D36">
        <v>29</v>
      </c>
      <c r="F36" s="9">
        <f>VLOOKUP($B36,Vertices!$A$10:$F$203, 3, FALSE)</f>
        <v>40</v>
      </c>
      <c r="G36" s="10">
        <f>VLOOKUP($B36,Vertices!$A$10:$F$203, 4, FALSE)</f>
        <v>40</v>
      </c>
      <c r="H36" s="10">
        <f>VLOOKUP($B36,Vertices!$A$10:$F$203, 5, FALSE)</f>
        <v>0</v>
      </c>
      <c r="I36" s="11">
        <f>VLOOKUP($B36,Vertices!$A$10:$F$203, 6, FALSE)</f>
        <v>0</v>
      </c>
      <c r="J36" s="9">
        <f>VLOOKUP($C36,Vertices!$A$10:$F$203, 3, FALSE)</f>
        <v>40</v>
      </c>
      <c r="K36" s="10">
        <f>VLOOKUP($C36,Vertices!$A$10:$F$203, 4, FALSE)</f>
        <v>70</v>
      </c>
      <c r="L36" s="10">
        <f>VLOOKUP($C36,Vertices!$A$10:$F$203, 5, FALSE)</f>
        <v>0</v>
      </c>
      <c r="M36" s="11">
        <f>VLOOKUP($C36,Vertices!$A$10:$F$203, 6, FALSE)</f>
        <v>0</v>
      </c>
      <c r="N36" s="9">
        <f>VLOOKUP($D36,Vertices!$A$10:$F$203, 3, FALSE)</f>
        <v>70</v>
      </c>
      <c r="O36" s="10">
        <f>VLOOKUP($D36,Vertices!$A$10:$F$203, 4, FALSE)</f>
        <v>70</v>
      </c>
      <c r="P36" s="10">
        <f>VLOOKUP($D36,Vertices!$A$10:$F$203, 5, FALSE)</f>
        <v>0</v>
      </c>
      <c r="Q36" s="11">
        <f>VLOOKUP($D36,Vertices!$A$10:$F$203, 6, FALSE)</f>
        <v>0</v>
      </c>
    </row>
    <row r="37" spans="1:17" x14ac:dyDescent="0.25">
      <c r="A37">
        <v>27</v>
      </c>
      <c r="B37">
        <v>16</v>
      </c>
      <c r="C37">
        <v>23</v>
      </c>
      <c r="D37">
        <v>22</v>
      </c>
      <c r="F37" s="9">
        <f>VLOOKUP($B37,Vertices!$A$10:$F$203, 3, FALSE)</f>
        <v>20</v>
      </c>
      <c r="G37" s="10">
        <f>VLOOKUP($B37,Vertices!$A$10:$F$203, 4, FALSE)</f>
        <v>40</v>
      </c>
      <c r="H37" s="10">
        <f>VLOOKUP($B37,Vertices!$A$10:$F$203, 5, FALSE)</f>
        <v>0</v>
      </c>
      <c r="I37" s="11">
        <f>VLOOKUP($B37,Vertices!$A$10:$F$203, 6, FALSE)</f>
        <v>0</v>
      </c>
      <c r="J37" s="9">
        <f>VLOOKUP($C37,Vertices!$A$10:$F$203, 3, FALSE)</f>
        <v>40</v>
      </c>
      <c r="K37" s="10">
        <f>VLOOKUP($C37,Vertices!$A$10:$F$203, 4, FALSE)</f>
        <v>70</v>
      </c>
      <c r="L37" s="10">
        <f>VLOOKUP($C37,Vertices!$A$10:$F$203, 5, FALSE)</f>
        <v>0</v>
      </c>
      <c r="M37" s="11">
        <f>VLOOKUP($C37,Vertices!$A$10:$F$203, 6, FALSE)</f>
        <v>0</v>
      </c>
      <c r="N37" s="9">
        <f>VLOOKUP($D37,Vertices!$A$10:$F$203, 3, FALSE)</f>
        <v>40</v>
      </c>
      <c r="O37" s="10">
        <f>VLOOKUP($D37,Vertices!$A$10:$F$203, 4, FALSE)</f>
        <v>40</v>
      </c>
      <c r="P37" s="10">
        <f>VLOOKUP($D37,Vertices!$A$10:$F$203, 5, FALSE)</f>
        <v>0</v>
      </c>
      <c r="Q37" s="11">
        <f>VLOOKUP($D37,Vertices!$A$10:$F$203, 6, FALSE)</f>
        <v>0</v>
      </c>
    </row>
    <row r="38" spans="1:17" x14ac:dyDescent="0.25">
      <c r="A38">
        <v>28</v>
      </c>
      <c r="B38">
        <v>16</v>
      </c>
      <c r="C38">
        <v>17</v>
      </c>
      <c r="D38">
        <v>23</v>
      </c>
      <c r="F38" s="9">
        <f>VLOOKUP($B38,Vertices!$A$10:$F$203, 3, FALSE)</f>
        <v>20</v>
      </c>
      <c r="G38" s="10">
        <f>VLOOKUP($B38,Vertices!$A$10:$F$203, 4, FALSE)</f>
        <v>40</v>
      </c>
      <c r="H38" s="10">
        <f>VLOOKUP($B38,Vertices!$A$10:$F$203, 5, FALSE)</f>
        <v>0</v>
      </c>
      <c r="I38" s="11">
        <f>VLOOKUP($B38,Vertices!$A$10:$F$203, 6, FALSE)</f>
        <v>0</v>
      </c>
      <c r="J38" s="9">
        <f>VLOOKUP($C38,Vertices!$A$10:$F$203, 3, FALSE)</f>
        <v>20</v>
      </c>
      <c r="K38" s="10">
        <f>VLOOKUP($C38,Vertices!$A$10:$F$203, 4, FALSE)</f>
        <v>70</v>
      </c>
      <c r="L38" s="10">
        <f>VLOOKUP($C38,Vertices!$A$10:$F$203, 5, FALSE)</f>
        <v>0</v>
      </c>
      <c r="M38" s="11">
        <f>VLOOKUP($C38,Vertices!$A$10:$F$203, 6, FALSE)</f>
        <v>0</v>
      </c>
      <c r="N38" s="9">
        <f>VLOOKUP($D38,Vertices!$A$10:$F$203, 3, FALSE)</f>
        <v>40</v>
      </c>
      <c r="O38" s="10">
        <f>VLOOKUP($D38,Vertices!$A$10:$F$203, 4, FALSE)</f>
        <v>70</v>
      </c>
      <c r="P38" s="10">
        <f>VLOOKUP($D38,Vertices!$A$10:$F$203, 5, FALSE)</f>
        <v>0</v>
      </c>
      <c r="Q38" s="11">
        <f>VLOOKUP($D38,Vertices!$A$10:$F$203, 6, FALSE)</f>
        <v>0</v>
      </c>
    </row>
    <row r="39" spans="1:17" x14ac:dyDescent="0.25">
      <c r="A39">
        <v>29</v>
      </c>
      <c r="B39">
        <v>10</v>
      </c>
      <c r="C39">
        <v>17</v>
      </c>
      <c r="D39">
        <v>16</v>
      </c>
      <c r="F39" s="9">
        <f>VLOOKUP($B39,Vertices!$A$10:$F$203, 3, FALSE)</f>
        <v>10</v>
      </c>
      <c r="G39" s="10">
        <f>VLOOKUP($B39,Vertices!$A$10:$F$203, 4, FALSE)</f>
        <v>40</v>
      </c>
      <c r="H39" s="10">
        <f>VLOOKUP($B39,Vertices!$A$10:$F$203, 5, FALSE)</f>
        <v>0</v>
      </c>
      <c r="I39" s="11">
        <f>VLOOKUP($B39,Vertices!$A$10:$F$203, 6, FALSE)</f>
        <v>0</v>
      </c>
      <c r="J39" s="9">
        <f>VLOOKUP($C39,Vertices!$A$10:$F$203, 3, FALSE)</f>
        <v>20</v>
      </c>
      <c r="K39" s="10">
        <f>VLOOKUP($C39,Vertices!$A$10:$F$203, 4, FALSE)</f>
        <v>70</v>
      </c>
      <c r="L39" s="10">
        <f>VLOOKUP($C39,Vertices!$A$10:$F$203, 5, FALSE)</f>
        <v>0</v>
      </c>
      <c r="M39" s="11">
        <f>VLOOKUP($C39,Vertices!$A$10:$F$203, 6, FALSE)</f>
        <v>0</v>
      </c>
      <c r="N39" s="9">
        <f>VLOOKUP($D39,Vertices!$A$10:$F$203, 3, FALSE)</f>
        <v>20</v>
      </c>
      <c r="O39" s="10">
        <f>VLOOKUP($D39,Vertices!$A$10:$F$203, 4, FALSE)</f>
        <v>40</v>
      </c>
      <c r="P39" s="10">
        <f>VLOOKUP($D39,Vertices!$A$10:$F$203, 5, FALSE)</f>
        <v>0</v>
      </c>
      <c r="Q39" s="11">
        <f>VLOOKUP($D39,Vertices!$A$10:$F$203, 6, FALSE)</f>
        <v>0</v>
      </c>
    </row>
    <row r="40" spans="1:17" x14ac:dyDescent="0.25">
      <c r="A40">
        <v>30</v>
      </c>
      <c r="B40">
        <v>10</v>
      </c>
      <c r="C40">
        <v>11</v>
      </c>
      <c r="D40">
        <v>17</v>
      </c>
      <c r="F40" s="9">
        <f>VLOOKUP($B40,Vertices!$A$10:$F$203, 3, FALSE)</f>
        <v>10</v>
      </c>
      <c r="G40" s="10">
        <f>VLOOKUP($B40,Vertices!$A$10:$F$203, 4, FALSE)</f>
        <v>40</v>
      </c>
      <c r="H40" s="10">
        <f>VLOOKUP($B40,Vertices!$A$10:$F$203, 5, FALSE)</f>
        <v>0</v>
      </c>
      <c r="I40" s="11">
        <f>VLOOKUP($B40,Vertices!$A$10:$F$203, 6, FALSE)</f>
        <v>0</v>
      </c>
      <c r="J40" s="9">
        <f>VLOOKUP($C40,Vertices!$A$10:$F$203, 3, FALSE)</f>
        <v>10</v>
      </c>
      <c r="K40" s="10">
        <f>VLOOKUP($C40,Vertices!$A$10:$F$203, 4, FALSE)</f>
        <v>70</v>
      </c>
      <c r="L40" s="10">
        <f>VLOOKUP($C40,Vertices!$A$10:$F$203, 5, FALSE)</f>
        <v>0</v>
      </c>
      <c r="M40" s="11">
        <f>VLOOKUP($C40,Vertices!$A$10:$F$203, 6, FALSE)</f>
        <v>0</v>
      </c>
      <c r="N40" s="9">
        <f>VLOOKUP($D40,Vertices!$A$10:$F$203, 3, FALSE)</f>
        <v>20</v>
      </c>
      <c r="O40" s="10">
        <f>VLOOKUP($D40,Vertices!$A$10:$F$203, 4, FALSE)</f>
        <v>70</v>
      </c>
      <c r="P40" s="10">
        <f>VLOOKUP($D40,Vertices!$A$10:$F$203, 5, FALSE)</f>
        <v>0</v>
      </c>
      <c r="Q40" s="11">
        <f>VLOOKUP($D40,Vertices!$A$10:$F$203, 6, FALSE)</f>
        <v>0</v>
      </c>
    </row>
    <row r="41" spans="1:17" x14ac:dyDescent="0.25">
      <c r="A41">
        <v>31</v>
      </c>
      <c r="B41">
        <v>4</v>
      </c>
      <c r="C41">
        <v>11</v>
      </c>
      <c r="D41">
        <v>10</v>
      </c>
      <c r="F41" s="9">
        <f>VLOOKUP($B41,Vertices!$A$10:$F$203, 3, FALSE)</f>
        <v>0</v>
      </c>
      <c r="G41" s="10">
        <f>VLOOKUP($B41,Vertices!$A$10:$F$203, 4, FALSE)</f>
        <v>40</v>
      </c>
      <c r="H41" s="10">
        <f>VLOOKUP($B41,Vertices!$A$10:$F$203, 5, FALSE)</f>
        <v>0</v>
      </c>
      <c r="I41" s="11">
        <f>VLOOKUP($B41,Vertices!$A$10:$F$203, 6, FALSE)</f>
        <v>0</v>
      </c>
      <c r="J41" s="9">
        <f>VLOOKUP($C41,Vertices!$A$10:$F$203, 3, FALSE)</f>
        <v>10</v>
      </c>
      <c r="K41" s="10">
        <f>VLOOKUP($C41,Vertices!$A$10:$F$203, 4, FALSE)</f>
        <v>70</v>
      </c>
      <c r="L41" s="10">
        <f>VLOOKUP($C41,Vertices!$A$10:$F$203, 5, FALSE)</f>
        <v>0</v>
      </c>
      <c r="M41" s="11">
        <f>VLOOKUP($C41,Vertices!$A$10:$F$203, 6, FALSE)</f>
        <v>0</v>
      </c>
      <c r="N41" s="9">
        <f>VLOOKUP($D41,Vertices!$A$10:$F$203, 3, FALSE)</f>
        <v>10</v>
      </c>
      <c r="O41" s="10">
        <f>VLOOKUP($D41,Vertices!$A$10:$F$203, 4, FALSE)</f>
        <v>40</v>
      </c>
      <c r="P41" s="10">
        <f>VLOOKUP($D41,Vertices!$A$10:$F$203, 5, FALSE)</f>
        <v>0</v>
      </c>
      <c r="Q41" s="11">
        <f>VLOOKUP($D41,Vertices!$A$10:$F$203, 6, FALSE)</f>
        <v>0</v>
      </c>
    </row>
    <row r="42" spans="1:17" x14ac:dyDescent="0.25">
      <c r="A42">
        <v>32</v>
      </c>
      <c r="B42">
        <v>4</v>
      </c>
      <c r="C42">
        <v>5</v>
      </c>
      <c r="D42">
        <v>11</v>
      </c>
      <c r="F42" s="9">
        <f>VLOOKUP($B42,Vertices!$A$10:$F$203, 3, FALSE)</f>
        <v>0</v>
      </c>
      <c r="G42" s="10">
        <f>VLOOKUP($B42,Vertices!$A$10:$F$203, 4, FALSE)</f>
        <v>40</v>
      </c>
      <c r="H42" s="10">
        <f>VLOOKUP($B42,Vertices!$A$10:$F$203, 5, FALSE)</f>
        <v>0</v>
      </c>
      <c r="I42" s="11">
        <f>VLOOKUP($B42,Vertices!$A$10:$F$203, 6, FALSE)</f>
        <v>0</v>
      </c>
      <c r="J42" s="9">
        <f>VLOOKUP($C42,Vertices!$A$10:$F$203, 3, FALSE)</f>
        <v>0</v>
      </c>
      <c r="K42" s="10">
        <f>VLOOKUP($C42,Vertices!$A$10:$F$203, 4, FALSE)</f>
        <v>70</v>
      </c>
      <c r="L42" s="10">
        <f>VLOOKUP($C42,Vertices!$A$10:$F$203, 5, FALSE)</f>
        <v>0</v>
      </c>
      <c r="M42" s="11">
        <f>VLOOKUP($C42,Vertices!$A$10:$F$203, 6, FALSE)</f>
        <v>0</v>
      </c>
      <c r="N42" s="9">
        <f>VLOOKUP($D42,Vertices!$A$10:$F$203, 3, FALSE)</f>
        <v>10</v>
      </c>
      <c r="O42" s="10">
        <f>VLOOKUP($D42,Vertices!$A$10:$F$203, 4, FALSE)</f>
        <v>70</v>
      </c>
      <c r="P42" s="10">
        <f>VLOOKUP($D42,Vertices!$A$10:$F$203, 5, FALSE)</f>
        <v>0</v>
      </c>
      <c r="Q42" s="11">
        <f>VLOOKUP($D42,Vertices!$A$10:$F$203, 6, FALSE)</f>
        <v>0</v>
      </c>
    </row>
    <row r="43" spans="1:17" x14ac:dyDescent="0.25">
      <c r="A43">
        <v>33</v>
      </c>
      <c r="B43">
        <v>25</v>
      </c>
      <c r="C43">
        <v>32</v>
      </c>
      <c r="D43">
        <v>31</v>
      </c>
      <c r="F43" s="9">
        <f>VLOOKUP($B43,Vertices!$A$10:$F$203, 3, FALSE)</f>
        <v>70</v>
      </c>
      <c r="G43" s="10">
        <f>VLOOKUP($B43,Vertices!$A$10:$F$203, 4, FALSE)</f>
        <v>0</v>
      </c>
      <c r="H43" s="10">
        <f>VLOOKUP($B43,Vertices!$A$10:$F$203, 5, FALSE)</f>
        <v>0</v>
      </c>
      <c r="I43" s="11">
        <f>VLOOKUP($B43,Vertices!$A$10:$F$203, 6, FALSE)</f>
        <v>0</v>
      </c>
      <c r="J43" s="9">
        <f>VLOOKUP($C43,Vertices!$A$10:$F$203, 3, FALSE)</f>
        <v>100</v>
      </c>
      <c r="K43" s="10">
        <f>VLOOKUP($C43,Vertices!$A$10:$F$203, 4, FALSE)</f>
        <v>10</v>
      </c>
      <c r="L43" s="10">
        <f>VLOOKUP($C43,Vertices!$A$10:$F$203, 5, FALSE)</f>
        <v>0</v>
      </c>
      <c r="M43" s="11">
        <f>VLOOKUP($C43,Vertices!$A$10:$F$203, 6, FALSE)</f>
        <v>0</v>
      </c>
      <c r="N43" s="9">
        <f>VLOOKUP($D43,Vertices!$A$10:$F$203, 3, FALSE)</f>
        <v>100</v>
      </c>
      <c r="O43" s="10">
        <f>VLOOKUP($D43,Vertices!$A$10:$F$203, 4, FALSE)</f>
        <v>0</v>
      </c>
      <c r="P43" s="10">
        <f>VLOOKUP($D43,Vertices!$A$10:$F$203, 5, FALSE)</f>
        <v>0</v>
      </c>
      <c r="Q43" s="11">
        <f>VLOOKUP($D43,Vertices!$A$10:$F$203, 6, FALSE)</f>
        <v>0</v>
      </c>
    </row>
    <row r="44" spans="1:17" x14ac:dyDescent="0.25">
      <c r="A44">
        <v>34</v>
      </c>
      <c r="B44">
        <v>25</v>
      </c>
      <c r="C44">
        <v>26</v>
      </c>
      <c r="D44">
        <v>32</v>
      </c>
      <c r="F44" s="9">
        <f>VLOOKUP($B44,Vertices!$A$10:$F$203, 3, FALSE)</f>
        <v>70</v>
      </c>
      <c r="G44" s="10">
        <f>VLOOKUP($B44,Vertices!$A$10:$F$203, 4, FALSE)</f>
        <v>0</v>
      </c>
      <c r="H44" s="10">
        <f>VLOOKUP($B44,Vertices!$A$10:$F$203, 5, FALSE)</f>
        <v>0</v>
      </c>
      <c r="I44" s="11">
        <f>VLOOKUP($B44,Vertices!$A$10:$F$203, 6, FALSE)</f>
        <v>0</v>
      </c>
      <c r="J44" s="9">
        <f>VLOOKUP($C44,Vertices!$A$10:$F$203, 3, FALSE)</f>
        <v>70</v>
      </c>
      <c r="K44" s="10">
        <f>VLOOKUP($C44,Vertices!$A$10:$F$203, 4, FALSE)</f>
        <v>10</v>
      </c>
      <c r="L44" s="10">
        <f>VLOOKUP($C44,Vertices!$A$10:$F$203, 5, FALSE)</f>
        <v>0</v>
      </c>
      <c r="M44" s="11">
        <f>VLOOKUP($C44,Vertices!$A$10:$F$203, 6, FALSE)</f>
        <v>0</v>
      </c>
      <c r="N44" s="9">
        <f>VLOOKUP($D44,Vertices!$A$10:$F$203, 3, FALSE)</f>
        <v>100</v>
      </c>
      <c r="O44" s="10">
        <f>VLOOKUP($D44,Vertices!$A$10:$F$203, 4, FALSE)</f>
        <v>10</v>
      </c>
      <c r="P44" s="10">
        <f>VLOOKUP($D44,Vertices!$A$10:$F$203, 5, FALSE)</f>
        <v>0</v>
      </c>
      <c r="Q44" s="11">
        <f>VLOOKUP($D44,Vertices!$A$10:$F$203, 6, FALSE)</f>
        <v>0</v>
      </c>
    </row>
    <row r="45" spans="1:17" x14ac:dyDescent="0.25">
      <c r="A45">
        <v>35</v>
      </c>
      <c r="B45">
        <v>26</v>
      </c>
      <c r="C45">
        <v>33</v>
      </c>
      <c r="D45">
        <v>32</v>
      </c>
      <c r="F45" s="9">
        <f>VLOOKUP($B45,Vertices!$A$10:$F$203, 3, FALSE)</f>
        <v>70</v>
      </c>
      <c r="G45" s="10">
        <f>VLOOKUP($B45,Vertices!$A$10:$F$203, 4, FALSE)</f>
        <v>10</v>
      </c>
      <c r="H45" s="10">
        <f>VLOOKUP($B45,Vertices!$A$10:$F$203, 5, FALSE)</f>
        <v>0</v>
      </c>
      <c r="I45" s="11">
        <f>VLOOKUP($B45,Vertices!$A$10:$F$203, 6, FALSE)</f>
        <v>0</v>
      </c>
      <c r="J45" s="9">
        <f>VLOOKUP($C45,Vertices!$A$10:$F$203, 3, FALSE)</f>
        <v>100</v>
      </c>
      <c r="K45" s="10">
        <f>VLOOKUP($C45,Vertices!$A$10:$F$203, 4, FALSE)</f>
        <v>20</v>
      </c>
      <c r="L45" s="10">
        <f>VLOOKUP($C45,Vertices!$A$10:$F$203, 5, FALSE)</f>
        <v>0</v>
      </c>
      <c r="M45" s="11">
        <f>VLOOKUP($C45,Vertices!$A$10:$F$203, 6, FALSE)</f>
        <v>0</v>
      </c>
      <c r="N45" s="9">
        <f>VLOOKUP($D45,Vertices!$A$10:$F$203, 3, FALSE)</f>
        <v>100</v>
      </c>
      <c r="O45" s="10">
        <f>VLOOKUP($D45,Vertices!$A$10:$F$203, 4, FALSE)</f>
        <v>10</v>
      </c>
      <c r="P45" s="10">
        <f>VLOOKUP($D45,Vertices!$A$10:$F$203, 5, FALSE)</f>
        <v>0</v>
      </c>
      <c r="Q45" s="11">
        <f>VLOOKUP($D45,Vertices!$A$10:$F$203, 6, FALSE)</f>
        <v>0</v>
      </c>
    </row>
    <row r="46" spans="1:17" x14ac:dyDescent="0.25">
      <c r="A46">
        <v>36</v>
      </c>
      <c r="B46">
        <v>26</v>
      </c>
      <c r="C46">
        <v>27</v>
      </c>
      <c r="D46">
        <v>33</v>
      </c>
      <c r="F46" s="9">
        <f>VLOOKUP($B46,Vertices!$A$10:$F$203, 3, FALSE)</f>
        <v>70</v>
      </c>
      <c r="G46" s="10">
        <f>VLOOKUP($B46,Vertices!$A$10:$F$203, 4, FALSE)</f>
        <v>10</v>
      </c>
      <c r="H46" s="10">
        <f>VLOOKUP($B46,Vertices!$A$10:$F$203, 5, FALSE)</f>
        <v>0</v>
      </c>
      <c r="I46" s="11">
        <f>VLOOKUP($B46,Vertices!$A$10:$F$203, 6, FALSE)</f>
        <v>0</v>
      </c>
      <c r="J46" s="9">
        <f>VLOOKUP($C46,Vertices!$A$10:$F$203, 3, FALSE)</f>
        <v>70</v>
      </c>
      <c r="K46" s="10">
        <f>VLOOKUP($C46,Vertices!$A$10:$F$203, 4, FALSE)</f>
        <v>20</v>
      </c>
      <c r="L46" s="10">
        <f>VLOOKUP($C46,Vertices!$A$10:$F$203, 5, FALSE)</f>
        <v>0</v>
      </c>
      <c r="M46" s="11">
        <f>VLOOKUP($C46,Vertices!$A$10:$F$203, 6, FALSE)</f>
        <v>0</v>
      </c>
      <c r="N46" s="9">
        <f>VLOOKUP($D46,Vertices!$A$10:$F$203, 3, FALSE)</f>
        <v>100</v>
      </c>
      <c r="O46" s="10">
        <f>VLOOKUP($D46,Vertices!$A$10:$F$203, 4, FALSE)</f>
        <v>20</v>
      </c>
      <c r="P46" s="10">
        <f>VLOOKUP($D46,Vertices!$A$10:$F$203, 5, FALSE)</f>
        <v>0</v>
      </c>
      <c r="Q46" s="11">
        <f>VLOOKUP($D46,Vertices!$A$10:$F$203, 6, FALSE)</f>
        <v>0</v>
      </c>
    </row>
    <row r="47" spans="1:17" x14ac:dyDescent="0.25">
      <c r="A47">
        <v>37</v>
      </c>
      <c r="B47">
        <v>27</v>
      </c>
      <c r="C47">
        <v>34</v>
      </c>
      <c r="D47">
        <v>33</v>
      </c>
      <c r="F47" s="9">
        <f>VLOOKUP($B47,Vertices!$A$10:$F$203, 3, FALSE)</f>
        <v>70</v>
      </c>
      <c r="G47" s="10">
        <f>VLOOKUP($B47,Vertices!$A$10:$F$203, 4, FALSE)</f>
        <v>20</v>
      </c>
      <c r="H47" s="10">
        <f>VLOOKUP($B47,Vertices!$A$10:$F$203, 5, FALSE)</f>
        <v>0</v>
      </c>
      <c r="I47" s="11">
        <f>VLOOKUP($B47,Vertices!$A$10:$F$203, 6, FALSE)</f>
        <v>0</v>
      </c>
      <c r="J47" s="9">
        <f>VLOOKUP($C47,Vertices!$A$10:$F$203, 3, FALSE)</f>
        <v>100</v>
      </c>
      <c r="K47" s="10">
        <f>VLOOKUP($C47,Vertices!$A$10:$F$203, 4, FALSE)</f>
        <v>40</v>
      </c>
      <c r="L47" s="10">
        <f>VLOOKUP($C47,Vertices!$A$10:$F$203, 5, FALSE)</f>
        <v>0</v>
      </c>
      <c r="M47" s="11">
        <f>VLOOKUP($C47,Vertices!$A$10:$F$203, 6, FALSE)</f>
        <v>0</v>
      </c>
      <c r="N47" s="9">
        <f>VLOOKUP($D47,Vertices!$A$10:$F$203, 3, FALSE)</f>
        <v>100</v>
      </c>
      <c r="O47" s="10">
        <f>VLOOKUP($D47,Vertices!$A$10:$F$203, 4, FALSE)</f>
        <v>20</v>
      </c>
      <c r="P47" s="10">
        <f>VLOOKUP($D47,Vertices!$A$10:$F$203, 5, FALSE)</f>
        <v>0</v>
      </c>
      <c r="Q47" s="11">
        <f>VLOOKUP($D47,Vertices!$A$10:$F$203, 6, FALSE)</f>
        <v>0</v>
      </c>
    </row>
    <row r="48" spans="1:17" x14ac:dyDescent="0.25">
      <c r="A48">
        <v>38</v>
      </c>
      <c r="B48">
        <v>27</v>
      </c>
      <c r="C48">
        <v>28</v>
      </c>
      <c r="D48">
        <v>34</v>
      </c>
      <c r="F48" s="9">
        <f>VLOOKUP($B48,Vertices!$A$10:$F$203, 3, FALSE)</f>
        <v>70</v>
      </c>
      <c r="G48" s="10">
        <f>VLOOKUP($B48,Vertices!$A$10:$F$203, 4, FALSE)</f>
        <v>20</v>
      </c>
      <c r="H48" s="10">
        <f>VLOOKUP($B48,Vertices!$A$10:$F$203, 5, FALSE)</f>
        <v>0</v>
      </c>
      <c r="I48" s="11">
        <f>VLOOKUP($B48,Vertices!$A$10:$F$203, 6, FALSE)</f>
        <v>0</v>
      </c>
      <c r="J48" s="9">
        <f>VLOOKUP($C48,Vertices!$A$10:$F$203, 3, FALSE)</f>
        <v>70</v>
      </c>
      <c r="K48" s="10">
        <f>VLOOKUP($C48,Vertices!$A$10:$F$203, 4, FALSE)</f>
        <v>40</v>
      </c>
      <c r="L48" s="10">
        <f>VLOOKUP($C48,Vertices!$A$10:$F$203, 5, FALSE)</f>
        <v>0</v>
      </c>
      <c r="M48" s="11">
        <f>VLOOKUP($C48,Vertices!$A$10:$F$203, 6, FALSE)</f>
        <v>0</v>
      </c>
      <c r="N48" s="9">
        <f>VLOOKUP($D48,Vertices!$A$10:$F$203, 3, FALSE)</f>
        <v>100</v>
      </c>
      <c r="O48" s="10">
        <f>VLOOKUP($D48,Vertices!$A$10:$F$203, 4, FALSE)</f>
        <v>40</v>
      </c>
      <c r="P48" s="10">
        <f>VLOOKUP($D48,Vertices!$A$10:$F$203, 5, FALSE)</f>
        <v>0</v>
      </c>
      <c r="Q48" s="11">
        <f>VLOOKUP($D48,Vertices!$A$10:$F$203, 6, FALSE)</f>
        <v>0</v>
      </c>
    </row>
    <row r="49" spans="1:17" x14ac:dyDescent="0.25">
      <c r="A49">
        <v>39</v>
      </c>
      <c r="B49">
        <v>28</v>
      </c>
      <c r="C49">
        <v>35</v>
      </c>
      <c r="D49">
        <v>34</v>
      </c>
      <c r="F49" s="9">
        <f>VLOOKUP($B49,Vertices!$A$10:$F$203, 3, FALSE)</f>
        <v>70</v>
      </c>
      <c r="G49" s="10">
        <f>VLOOKUP($B49,Vertices!$A$10:$F$203, 4, FALSE)</f>
        <v>40</v>
      </c>
      <c r="H49" s="10">
        <f>VLOOKUP($B49,Vertices!$A$10:$F$203, 5, FALSE)</f>
        <v>0</v>
      </c>
      <c r="I49" s="11">
        <f>VLOOKUP($B49,Vertices!$A$10:$F$203, 6, FALSE)</f>
        <v>0</v>
      </c>
      <c r="J49" s="9">
        <f>VLOOKUP($C49,Vertices!$A$10:$F$203, 3, FALSE)</f>
        <v>100</v>
      </c>
      <c r="K49" s="10">
        <f>VLOOKUP($C49,Vertices!$A$10:$F$203, 4, FALSE)</f>
        <v>70</v>
      </c>
      <c r="L49" s="10">
        <f>VLOOKUP($C49,Vertices!$A$10:$F$203, 5, FALSE)</f>
        <v>0</v>
      </c>
      <c r="M49" s="11">
        <f>VLOOKUP($C49,Vertices!$A$10:$F$203, 6, FALSE)</f>
        <v>0</v>
      </c>
      <c r="N49" s="9">
        <f>VLOOKUP($D49,Vertices!$A$10:$F$203, 3, FALSE)</f>
        <v>100</v>
      </c>
      <c r="O49" s="10">
        <f>VLOOKUP($D49,Vertices!$A$10:$F$203, 4, FALSE)</f>
        <v>40</v>
      </c>
      <c r="P49" s="10">
        <f>VLOOKUP($D49,Vertices!$A$10:$F$203, 5, FALSE)</f>
        <v>0</v>
      </c>
      <c r="Q49" s="11">
        <f>VLOOKUP($D49,Vertices!$A$10:$F$203, 6, FALSE)</f>
        <v>0</v>
      </c>
    </row>
    <row r="50" spans="1:17" x14ac:dyDescent="0.25">
      <c r="A50">
        <v>40</v>
      </c>
      <c r="B50">
        <v>28</v>
      </c>
      <c r="C50">
        <v>29</v>
      </c>
      <c r="D50">
        <v>35</v>
      </c>
      <c r="F50" s="9">
        <f>VLOOKUP($B50,Vertices!$A$10:$F$203, 3, FALSE)</f>
        <v>70</v>
      </c>
      <c r="G50" s="10">
        <f>VLOOKUP($B50,Vertices!$A$10:$F$203, 4, FALSE)</f>
        <v>40</v>
      </c>
      <c r="H50" s="10">
        <f>VLOOKUP($B50,Vertices!$A$10:$F$203, 5, FALSE)</f>
        <v>0</v>
      </c>
      <c r="I50" s="11">
        <f>VLOOKUP($B50,Vertices!$A$10:$F$203, 6, FALSE)</f>
        <v>0</v>
      </c>
      <c r="J50" s="9">
        <f>VLOOKUP($C50,Vertices!$A$10:$F$203, 3, FALSE)</f>
        <v>70</v>
      </c>
      <c r="K50" s="10">
        <f>VLOOKUP($C50,Vertices!$A$10:$F$203, 4, FALSE)</f>
        <v>70</v>
      </c>
      <c r="L50" s="10">
        <f>VLOOKUP($C50,Vertices!$A$10:$F$203, 5, FALSE)</f>
        <v>0</v>
      </c>
      <c r="M50" s="11">
        <f>VLOOKUP($C50,Vertices!$A$10:$F$203, 6, FALSE)</f>
        <v>0</v>
      </c>
      <c r="N50" s="9">
        <f>VLOOKUP($D50,Vertices!$A$10:$F$203, 3, FALSE)</f>
        <v>100</v>
      </c>
      <c r="O50" s="10">
        <f>VLOOKUP($D50,Vertices!$A$10:$F$203, 4, FALSE)</f>
        <v>70</v>
      </c>
      <c r="P50" s="10">
        <f>VLOOKUP($D50,Vertices!$A$10:$F$203, 5, FALSE)</f>
        <v>0</v>
      </c>
      <c r="Q50" s="11">
        <f>VLOOKUP($D50,Vertices!$A$10:$F$203, 6, FALSE)</f>
        <v>0</v>
      </c>
    </row>
    <row r="51" spans="1:17" x14ac:dyDescent="0.25">
      <c r="A51">
        <v>41</v>
      </c>
      <c r="B51">
        <v>29</v>
      </c>
      <c r="C51">
        <v>36</v>
      </c>
      <c r="D51">
        <v>35</v>
      </c>
      <c r="F51" s="9">
        <f>VLOOKUP($B51,Vertices!$A$10:$F$203, 3, FALSE)</f>
        <v>70</v>
      </c>
      <c r="G51" s="10">
        <f>VLOOKUP($B51,Vertices!$A$10:$F$203, 4, FALSE)</f>
        <v>70</v>
      </c>
      <c r="H51" s="10">
        <f>VLOOKUP($B51,Vertices!$A$10:$F$203, 5, FALSE)</f>
        <v>0</v>
      </c>
      <c r="I51" s="11">
        <f>VLOOKUP($B51,Vertices!$A$10:$F$203, 6, FALSE)</f>
        <v>0</v>
      </c>
      <c r="J51" s="9">
        <f>VLOOKUP($C51,Vertices!$A$10:$F$203, 3, FALSE)</f>
        <v>100</v>
      </c>
      <c r="K51" s="10">
        <f>VLOOKUP($C51,Vertices!$A$10:$F$203, 4, FALSE)</f>
        <v>100</v>
      </c>
      <c r="L51" s="10">
        <f>VLOOKUP($C51,Vertices!$A$10:$F$203, 5, FALSE)</f>
        <v>0</v>
      </c>
      <c r="M51" s="11">
        <f>VLOOKUP($C51,Vertices!$A$10:$F$203, 6, FALSE)</f>
        <v>0</v>
      </c>
      <c r="N51" s="9">
        <f>VLOOKUP($D51,Vertices!$A$10:$F$203, 3, FALSE)</f>
        <v>100</v>
      </c>
      <c r="O51" s="10">
        <f>VLOOKUP($D51,Vertices!$A$10:$F$203, 4, FALSE)</f>
        <v>70</v>
      </c>
      <c r="P51" s="10">
        <f>VLOOKUP($D51,Vertices!$A$10:$F$203, 5, FALSE)</f>
        <v>0</v>
      </c>
      <c r="Q51" s="11">
        <f>VLOOKUP($D51,Vertices!$A$10:$F$203, 6, FALSE)</f>
        <v>0</v>
      </c>
    </row>
    <row r="52" spans="1:17" x14ac:dyDescent="0.25">
      <c r="A52">
        <v>42</v>
      </c>
      <c r="B52">
        <v>29</v>
      </c>
      <c r="C52">
        <v>30</v>
      </c>
      <c r="D52">
        <v>36</v>
      </c>
      <c r="F52" s="9">
        <f>VLOOKUP($B52,Vertices!$A$10:$F$203, 3, FALSE)</f>
        <v>70</v>
      </c>
      <c r="G52" s="10">
        <f>VLOOKUP($B52,Vertices!$A$10:$F$203, 4, FALSE)</f>
        <v>70</v>
      </c>
      <c r="H52" s="10">
        <f>VLOOKUP($B52,Vertices!$A$10:$F$203, 5, FALSE)</f>
        <v>0</v>
      </c>
      <c r="I52" s="11">
        <f>VLOOKUP($B52,Vertices!$A$10:$F$203, 6, FALSE)</f>
        <v>0</v>
      </c>
      <c r="J52" s="9">
        <f>VLOOKUP($C52,Vertices!$A$10:$F$203, 3, FALSE)</f>
        <v>70</v>
      </c>
      <c r="K52" s="10">
        <f>VLOOKUP($C52,Vertices!$A$10:$F$203, 4, FALSE)</f>
        <v>100</v>
      </c>
      <c r="L52" s="10">
        <f>VLOOKUP($C52,Vertices!$A$10:$F$203, 5, FALSE)</f>
        <v>0</v>
      </c>
      <c r="M52" s="11">
        <f>VLOOKUP($C52,Vertices!$A$10:$F$203, 6, FALSE)</f>
        <v>0</v>
      </c>
      <c r="N52" s="9">
        <f>VLOOKUP($D52,Vertices!$A$10:$F$203, 3, FALSE)</f>
        <v>100</v>
      </c>
      <c r="O52" s="10">
        <f>VLOOKUP($D52,Vertices!$A$10:$F$203, 4, FALSE)</f>
        <v>100</v>
      </c>
      <c r="P52" s="10">
        <f>VLOOKUP($D52,Vertices!$A$10:$F$203, 5, FALSE)</f>
        <v>0</v>
      </c>
      <c r="Q52" s="11">
        <f>VLOOKUP($D52,Vertices!$A$10:$F$203, 6, FALSE)</f>
        <v>0</v>
      </c>
    </row>
    <row r="53" spans="1:17" x14ac:dyDescent="0.25">
      <c r="A53">
        <v>43</v>
      </c>
      <c r="B53">
        <v>23</v>
      </c>
      <c r="C53">
        <v>30</v>
      </c>
      <c r="D53">
        <v>29</v>
      </c>
      <c r="F53" s="9">
        <f>VLOOKUP($B53,Vertices!$A$10:$F$203, 3, FALSE)</f>
        <v>40</v>
      </c>
      <c r="G53" s="10">
        <f>VLOOKUP($B53,Vertices!$A$10:$F$203, 4, FALSE)</f>
        <v>70</v>
      </c>
      <c r="H53" s="10">
        <f>VLOOKUP($B53,Vertices!$A$10:$F$203, 5, FALSE)</f>
        <v>0</v>
      </c>
      <c r="I53" s="11">
        <f>VLOOKUP($B53,Vertices!$A$10:$F$203, 6, FALSE)</f>
        <v>0</v>
      </c>
      <c r="J53" s="9">
        <f>VLOOKUP($C53,Vertices!$A$10:$F$203, 3, FALSE)</f>
        <v>70</v>
      </c>
      <c r="K53" s="10">
        <f>VLOOKUP($C53,Vertices!$A$10:$F$203, 4, FALSE)</f>
        <v>100</v>
      </c>
      <c r="L53" s="10">
        <f>VLOOKUP($C53,Vertices!$A$10:$F$203, 5, FALSE)</f>
        <v>0</v>
      </c>
      <c r="M53" s="11">
        <f>VLOOKUP($C53,Vertices!$A$10:$F$203, 6, FALSE)</f>
        <v>0</v>
      </c>
      <c r="N53" s="9">
        <f>VLOOKUP($D53,Vertices!$A$10:$F$203, 3, FALSE)</f>
        <v>70</v>
      </c>
      <c r="O53" s="10">
        <f>VLOOKUP($D53,Vertices!$A$10:$F$203, 4, FALSE)</f>
        <v>70</v>
      </c>
      <c r="P53" s="10">
        <f>VLOOKUP($D53,Vertices!$A$10:$F$203, 5, FALSE)</f>
        <v>0</v>
      </c>
      <c r="Q53" s="11">
        <f>VLOOKUP($D53,Vertices!$A$10:$F$203, 6, FALSE)</f>
        <v>0</v>
      </c>
    </row>
    <row r="54" spans="1:17" x14ac:dyDescent="0.25">
      <c r="A54">
        <v>44</v>
      </c>
      <c r="B54">
        <v>23</v>
      </c>
      <c r="C54">
        <v>24</v>
      </c>
      <c r="D54">
        <v>30</v>
      </c>
      <c r="F54" s="9">
        <f>VLOOKUP($B54,Vertices!$A$10:$F$203, 3, FALSE)</f>
        <v>40</v>
      </c>
      <c r="G54" s="10">
        <f>VLOOKUP($B54,Vertices!$A$10:$F$203, 4, FALSE)</f>
        <v>70</v>
      </c>
      <c r="H54" s="10">
        <f>VLOOKUP($B54,Vertices!$A$10:$F$203, 5, FALSE)</f>
        <v>0</v>
      </c>
      <c r="I54" s="11">
        <f>VLOOKUP($B54,Vertices!$A$10:$F$203, 6, FALSE)</f>
        <v>0</v>
      </c>
      <c r="J54" s="9">
        <f>VLOOKUP($C54,Vertices!$A$10:$F$203, 3, FALSE)</f>
        <v>40</v>
      </c>
      <c r="K54" s="10">
        <f>VLOOKUP($C54,Vertices!$A$10:$F$203, 4, FALSE)</f>
        <v>100</v>
      </c>
      <c r="L54" s="10">
        <f>VLOOKUP($C54,Vertices!$A$10:$F$203, 5, FALSE)</f>
        <v>0</v>
      </c>
      <c r="M54" s="11">
        <f>VLOOKUP($C54,Vertices!$A$10:$F$203, 6, FALSE)</f>
        <v>0</v>
      </c>
      <c r="N54" s="9">
        <f>VLOOKUP($D54,Vertices!$A$10:$F$203, 3, FALSE)</f>
        <v>70</v>
      </c>
      <c r="O54" s="10">
        <f>VLOOKUP($D54,Vertices!$A$10:$F$203, 4, FALSE)</f>
        <v>100</v>
      </c>
      <c r="P54" s="10">
        <f>VLOOKUP($D54,Vertices!$A$10:$F$203, 5, FALSE)</f>
        <v>0</v>
      </c>
      <c r="Q54" s="11">
        <f>VLOOKUP($D54,Vertices!$A$10:$F$203, 6, FALSE)</f>
        <v>0</v>
      </c>
    </row>
    <row r="55" spans="1:17" x14ac:dyDescent="0.25">
      <c r="A55">
        <v>45</v>
      </c>
      <c r="B55">
        <v>17</v>
      </c>
      <c r="C55">
        <v>24</v>
      </c>
      <c r="D55">
        <v>23</v>
      </c>
      <c r="F55" s="9">
        <f>VLOOKUP($B55,Vertices!$A$10:$F$203, 3, FALSE)</f>
        <v>20</v>
      </c>
      <c r="G55" s="10">
        <f>VLOOKUP($B55,Vertices!$A$10:$F$203, 4, FALSE)</f>
        <v>70</v>
      </c>
      <c r="H55" s="10">
        <f>VLOOKUP($B55,Vertices!$A$10:$F$203, 5, FALSE)</f>
        <v>0</v>
      </c>
      <c r="I55" s="11">
        <f>VLOOKUP($B55,Vertices!$A$10:$F$203, 6, FALSE)</f>
        <v>0</v>
      </c>
      <c r="J55" s="9">
        <f>VLOOKUP($C55,Vertices!$A$10:$F$203, 3, FALSE)</f>
        <v>40</v>
      </c>
      <c r="K55" s="10">
        <f>VLOOKUP($C55,Vertices!$A$10:$F$203, 4, FALSE)</f>
        <v>100</v>
      </c>
      <c r="L55" s="10">
        <f>VLOOKUP($C55,Vertices!$A$10:$F$203, 5, FALSE)</f>
        <v>0</v>
      </c>
      <c r="M55" s="11">
        <f>VLOOKUP($C55,Vertices!$A$10:$F$203, 6, FALSE)</f>
        <v>0</v>
      </c>
      <c r="N55" s="9">
        <f>VLOOKUP($D55,Vertices!$A$10:$F$203, 3, FALSE)</f>
        <v>40</v>
      </c>
      <c r="O55" s="10">
        <f>VLOOKUP($D55,Vertices!$A$10:$F$203, 4, FALSE)</f>
        <v>70</v>
      </c>
      <c r="P55" s="10">
        <f>VLOOKUP($D55,Vertices!$A$10:$F$203, 5, FALSE)</f>
        <v>0</v>
      </c>
      <c r="Q55" s="11">
        <f>VLOOKUP($D55,Vertices!$A$10:$F$203, 6, FALSE)</f>
        <v>0</v>
      </c>
    </row>
    <row r="56" spans="1:17" x14ac:dyDescent="0.25">
      <c r="A56">
        <v>46</v>
      </c>
      <c r="B56">
        <v>17</v>
      </c>
      <c r="C56">
        <v>18</v>
      </c>
      <c r="D56">
        <v>24</v>
      </c>
      <c r="F56" s="9">
        <f>VLOOKUP($B56,Vertices!$A$10:$F$203, 3, FALSE)</f>
        <v>20</v>
      </c>
      <c r="G56" s="10">
        <f>VLOOKUP($B56,Vertices!$A$10:$F$203, 4, FALSE)</f>
        <v>70</v>
      </c>
      <c r="H56" s="10">
        <f>VLOOKUP($B56,Vertices!$A$10:$F$203, 5, FALSE)</f>
        <v>0</v>
      </c>
      <c r="I56" s="11">
        <f>VLOOKUP($B56,Vertices!$A$10:$F$203, 6, FALSE)</f>
        <v>0</v>
      </c>
      <c r="J56" s="9">
        <f>VLOOKUP($C56,Vertices!$A$10:$F$203, 3, FALSE)</f>
        <v>20</v>
      </c>
      <c r="K56" s="10">
        <f>VLOOKUP($C56,Vertices!$A$10:$F$203, 4, FALSE)</f>
        <v>100</v>
      </c>
      <c r="L56" s="10">
        <f>VLOOKUP($C56,Vertices!$A$10:$F$203, 5, FALSE)</f>
        <v>0</v>
      </c>
      <c r="M56" s="11">
        <f>VLOOKUP($C56,Vertices!$A$10:$F$203, 6, FALSE)</f>
        <v>0</v>
      </c>
      <c r="N56" s="9">
        <f>VLOOKUP($D56,Vertices!$A$10:$F$203, 3, FALSE)</f>
        <v>40</v>
      </c>
      <c r="O56" s="10">
        <f>VLOOKUP($D56,Vertices!$A$10:$F$203, 4, FALSE)</f>
        <v>100</v>
      </c>
      <c r="P56" s="10">
        <f>VLOOKUP($D56,Vertices!$A$10:$F$203, 5, FALSE)</f>
        <v>0</v>
      </c>
      <c r="Q56" s="11">
        <f>VLOOKUP($D56,Vertices!$A$10:$F$203, 6, FALSE)</f>
        <v>0</v>
      </c>
    </row>
    <row r="57" spans="1:17" x14ac:dyDescent="0.25">
      <c r="A57">
        <v>47</v>
      </c>
      <c r="B57">
        <v>11</v>
      </c>
      <c r="C57">
        <v>18</v>
      </c>
      <c r="D57">
        <v>17</v>
      </c>
      <c r="F57" s="9">
        <f>VLOOKUP($B57,Vertices!$A$10:$F$203, 3, FALSE)</f>
        <v>10</v>
      </c>
      <c r="G57" s="10">
        <f>VLOOKUP($B57,Vertices!$A$10:$F$203, 4, FALSE)</f>
        <v>70</v>
      </c>
      <c r="H57" s="10">
        <f>VLOOKUP($B57,Vertices!$A$10:$F$203, 5, FALSE)</f>
        <v>0</v>
      </c>
      <c r="I57" s="11">
        <f>VLOOKUP($B57,Vertices!$A$10:$F$203, 6, FALSE)</f>
        <v>0</v>
      </c>
      <c r="J57" s="9">
        <f>VLOOKUP($C57,Vertices!$A$10:$F$203, 3, FALSE)</f>
        <v>20</v>
      </c>
      <c r="K57" s="10">
        <f>VLOOKUP($C57,Vertices!$A$10:$F$203, 4, FALSE)</f>
        <v>100</v>
      </c>
      <c r="L57" s="10">
        <f>VLOOKUP($C57,Vertices!$A$10:$F$203, 5, FALSE)</f>
        <v>0</v>
      </c>
      <c r="M57" s="11">
        <f>VLOOKUP($C57,Vertices!$A$10:$F$203, 6, FALSE)</f>
        <v>0</v>
      </c>
      <c r="N57" s="9">
        <f>VLOOKUP($D57,Vertices!$A$10:$F$203, 3, FALSE)</f>
        <v>20</v>
      </c>
      <c r="O57" s="10">
        <f>VLOOKUP($D57,Vertices!$A$10:$F$203, 4, FALSE)</f>
        <v>70</v>
      </c>
      <c r="P57" s="10">
        <f>VLOOKUP($D57,Vertices!$A$10:$F$203, 5, FALSE)</f>
        <v>0</v>
      </c>
      <c r="Q57" s="11">
        <f>VLOOKUP($D57,Vertices!$A$10:$F$203, 6, FALSE)</f>
        <v>0</v>
      </c>
    </row>
    <row r="58" spans="1:17" x14ac:dyDescent="0.25">
      <c r="A58">
        <v>48</v>
      </c>
      <c r="B58">
        <v>11</v>
      </c>
      <c r="C58">
        <v>12</v>
      </c>
      <c r="D58">
        <v>18</v>
      </c>
      <c r="F58" s="9">
        <f>VLOOKUP($B58,Vertices!$A$10:$F$203, 3, FALSE)</f>
        <v>10</v>
      </c>
      <c r="G58" s="10">
        <f>VLOOKUP($B58,Vertices!$A$10:$F$203, 4, FALSE)</f>
        <v>70</v>
      </c>
      <c r="H58" s="10">
        <f>VLOOKUP($B58,Vertices!$A$10:$F$203, 5, FALSE)</f>
        <v>0</v>
      </c>
      <c r="I58" s="11">
        <f>VLOOKUP($B58,Vertices!$A$10:$F$203, 6, FALSE)</f>
        <v>0</v>
      </c>
      <c r="J58" s="9">
        <f>VLOOKUP($C58,Vertices!$A$10:$F$203, 3, FALSE)</f>
        <v>10</v>
      </c>
      <c r="K58" s="10">
        <f>VLOOKUP($C58,Vertices!$A$10:$F$203, 4, FALSE)</f>
        <v>100</v>
      </c>
      <c r="L58" s="10">
        <f>VLOOKUP($C58,Vertices!$A$10:$F$203, 5, FALSE)</f>
        <v>0</v>
      </c>
      <c r="M58" s="11">
        <f>VLOOKUP($C58,Vertices!$A$10:$F$203, 6, FALSE)</f>
        <v>0</v>
      </c>
      <c r="N58" s="9">
        <f>VLOOKUP($D58,Vertices!$A$10:$F$203, 3, FALSE)</f>
        <v>20</v>
      </c>
      <c r="O58" s="10">
        <f>VLOOKUP($D58,Vertices!$A$10:$F$203, 4, FALSE)</f>
        <v>100</v>
      </c>
      <c r="P58" s="10">
        <f>VLOOKUP($D58,Vertices!$A$10:$F$203, 5, FALSE)</f>
        <v>0</v>
      </c>
      <c r="Q58" s="11">
        <f>VLOOKUP($D58,Vertices!$A$10:$F$203, 6, FALSE)</f>
        <v>0</v>
      </c>
    </row>
    <row r="59" spans="1:17" x14ac:dyDescent="0.25">
      <c r="A59">
        <v>49</v>
      </c>
      <c r="B59">
        <v>5</v>
      </c>
      <c r="C59">
        <v>12</v>
      </c>
      <c r="D59">
        <v>11</v>
      </c>
      <c r="F59" s="9">
        <f>VLOOKUP($B59,Vertices!$A$10:$F$203, 3, FALSE)</f>
        <v>0</v>
      </c>
      <c r="G59" s="10">
        <f>VLOOKUP($B59,Vertices!$A$10:$F$203, 4, FALSE)</f>
        <v>70</v>
      </c>
      <c r="H59" s="10">
        <f>VLOOKUP($B59,Vertices!$A$10:$F$203, 5, FALSE)</f>
        <v>0</v>
      </c>
      <c r="I59" s="11">
        <f>VLOOKUP($B59,Vertices!$A$10:$F$203, 6, FALSE)</f>
        <v>0</v>
      </c>
      <c r="J59" s="9">
        <f>VLOOKUP($C59,Vertices!$A$10:$F$203, 3, FALSE)</f>
        <v>10</v>
      </c>
      <c r="K59" s="10">
        <f>VLOOKUP($C59,Vertices!$A$10:$F$203, 4, FALSE)</f>
        <v>100</v>
      </c>
      <c r="L59" s="10">
        <f>VLOOKUP($C59,Vertices!$A$10:$F$203, 5, FALSE)</f>
        <v>0</v>
      </c>
      <c r="M59" s="11">
        <f>VLOOKUP($C59,Vertices!$A$10:$F$203, 6, FALSE)</f>
        <v>0</v>
      </c>
      <c r="N59" s="9">
        <f>VLOOKUP($D59,Vertices!$A$10:$F$203, 3, FALSE)</f>
        <v>10</v>
      </c>
      <c r="O59" s="10">
        <f>VLOOKUP($D59,Vertices!$A$10:$F$203, 4, FALSE)</f>
        <v>70</v>
      </c>
      <c r="P59" s="10">
        <f>VLOOKUP($D59,Vertices!$A$10:$F$203, 5, FALSE)</f>
        <v>0</v>
      </c>
      <c r="Q59" s="11">
        <f>VLOOKUP($D59,Vertices!$A$10:$F$203, 6, FALSE)</f>
        <v>0</v>
      </c>
    </row>
    <row r="60" spans="1:17" x14ac:dyDescent="0.25">
      <c r="A60">
        <v>50</v>
      </c>
      <c r="B60">
        <v>5</v>
      </c>
      <c r="C60">
        <v>6</v>
      </c>
      <c r="D60">
        <v>12</v>
      </c>
      <c r="F60" s="9">
        <f>VLOOKUP($B60,Vertices!$A$10:$F$203, 3, FALSE)</f>
        <v>0</v>
      </c>
      <c r="G60" s="10">
        <f>VLOOKUP($B60,Vertices!$A$10:$F$203, 4, FALSE)</f>
        <v>70</v>
      </c>
      <c r="H60" s="10">
        <f>VLOOKUP($B60,Vertices!$A$10:$F$203, 5, FALSE)</f>
        <v>0</v>
      </c>
      <c r="I60" s="11">
        <f>VLOOKUP($B60,Vertices!$A$10:$F$203, 6, FALSE)</f>
        <v>0</v>
      </c>
      <c r="J60" s="9">
        <f>VLOOKUP($C60,Vertices!$A$10:$F$203, 3, FALSE)</f>
        <v>0</v>
      </c>
      <c r="K60" s="10">
        <f>VLOOKUP($C60,Vertices!$A$10:$F$203, 4, FALSE)</f>
        <v>100</v>
      </c>
      <c r="L60" s="10">
        <f>VLOOKUP($C60,Vertices!$A$10:$F$203, 5, FALSE)</f>
        <v>0</v>
      </c>
      <c r="M60" s="11">
        <f>VLOOKUP($C60,Vertices!$A$10:$F$203, 6, FALSE)</f>
        <v>0</v>
      </c>
      <c r="N60" s="9">
        <f>VLOOKUP($D60,Vertices!$A$10:$F$203, 3, FALSE)</f>
        <v>10</v>
      </c>
      <c r="O60" s="10">
        <f>VLOOKUP($D60,Vertices!$A$10:$F$203, 4, FALSE)</f>
        <v>100</v>
      </c>
      <c r="P60" s="10">
        <f>VLOOKUP($D60,Vertices!$A$10:$F$203, 5, FALSE)</f>
        <v>0</v>
      </c>
      <c r="Q60" s="11">
        <f>VLOOKUP($D60,Vertices!$A$10:$F$203, 6, FALSE)</f>
        <v>0</v>
      </c>
    </row>
    <row r="61" spans="1:17" x14ac:dyDescent="0.25">
      <c r="A61">
        <v>51</v>
      </c>
      <c r="B61">
        <v>1</v>
      </c>
      <c r="C61">
        <v>38</v>
      </c>
      <c r="D61">
        <v>2</v>
      </c>
      <c r="F61" s="9">
        <f>VLOOKUP($B61,Vertices!$A$10:$F$203, 3, FALSE)</f>
        <v>0</v>
      </c>
      <c r="G61" s="10">
        <f>VLOOKUP($B61,Vertices!$A$10:$F$203, 4, FALSE)</f>
        <v>0</v>
      </c>
      <c r="H61" s="10">
        <f>VLOOKUP($B61,Vertices!$A$10:$F$203, 5, FALSE)</f>
        <v>0</v>
      </c>
      <c r="I61" s="11">
        <f>VLOOKUP($B61,Vertices!$A$10:$F$203, 6, FALSE)</f>
        <v>0</v>
      </c>
      <c r="J61" s="9">
        <f>VLOOKUP($C61,Vertices!$A$10:$F$203, 3, FALSE)</f>
        <v>0</v>
      </c>
      <c r="K61" s="10">
        <f>VLOOKUP($C61,Vertices!$A$10:$F$203, 4, FALSE)</f>
        <v>10</v>
      </c>
      <c r="L61" s="10">
        <f>VLOOKUP($C61,Vertices!$A$10:$F$203, 5, FALSE)</f>
        <v>10</v>
      </c>
      <c r="M61" s="11">
        <f>VLOOKUP($C61,Vertices!$A$10:$F$203, 6, FALSE)</f>
        <v>0</v>
      </c>
      <c r="N61" s="9">
        <f>VLOOKUP($D61,Vertices!$A$10:$F$203, 3, FALSE)</f>
        <v>0</v>
      </c>
      <c r="O61" s="10">
        <f>VLOOKUP($D61,Vertices!$A$10:$F$203, 4, FALSE)</f>
        <v>10</v>
      </c>
      <c r="P61" s="10">
        <f>VLOOKUP($D61,Vertices!$A$10:$F$203, 5, FALSE)</f>
        <v>0</v>
      </c>
      <c r="Q61" s="11">
        <f>VLOOKUP($D61,Vertices!$A$10:$F$203, 6, FALSE)</f>
        <v>0</v>
      </c>
    </row>
    <row r="62" spans="1:17" x14ac:dyDescent="0.25">
      <c r="A62">
        <v>52</v>
      </c>
      <c r="B62">
        <v>1</v>
      </c>
      <c r="C62">
        <v>37</v>
      </c>
      <c r="D62">
        <v>38</v>
      </c>
      <c r="F62" s="9">
        <f>VLOOKUP($B62,Vertices!$A$10:$F$203, 3, FALSE)</f>
        <v>0</v>
      </c>
      <c r="G62" s="10">
        <f>VLOOKUP($B62,Vertices!$A$10:$F$203, 4, FALSE)</f>
        <v>0</v>
      </c>
      <c r="H62" s="10">
        <f>VLOOKUP($B62,Vertices!$A$10:$F$203, 5, FALSE)</f>
        <v>0</v>
      </c>
      <c r="I62" s="11">
        <f>VLOOKUP($B62,Vertices!$A$10:$F$203, 6, FALSE)</f>
        <v>0</v>
      </c>
      <c r="J62" s="9">
        <f>VLOOKUP($C62,Vertices!$A$10:$F$203, 3, FALSE)</f>
        <v>0</v>
      </c>
      <c r="K62" s="10">
        <f>VLOOKUP($C62,Vertices!$A$10:$F$203, 4, FALSE)</f>
        <v>0</v>
      </c>
      <c r="L62" s="10">
        <f>VLOOKUP($C62,Vertices!$A$10:$F$203, 5, FALSE)</f>
        <v>10</v>
      </c>
      <c r="M62" s="11">
        <f>VLOOKUP($C62,Vertices!$A$10:$F$203, 6, FALSE)</f>
        <v>0</v>
      </c>
      <c r="N62" s="9">
        <f>VLOOKUP($D62,Vertices!$A$10:$F$203, 3, FALSE)</f>
        <v>0</v>
      </c>
      <c r="O62" s="10">
        <f>VLOOKUP($D62,Vertices!$A$10:$F$203, 4, FALSE)</f>
        <v>10</v>
      </c>
      <c r="P62" s="10">
        <f>VLOOKUP($D62,Vertices!$A$10:$F$203, 5, FALSE)</f>
        <v>10</v>
      </c>
      <c r="Q62" s="11">
        <f>VLOOKUP($D62,Vertices!$A$10:$F$203, 6, FALSE)</f>
        <v>0</v>
      </c>
    </row>
    <row r="63" spans="1:17" x14ac:dyDescent="0.25">
      <c r="A63">
        <v>53</v>
      </c>
      <c r="B63">
        <v>2</v>
      </c>
      <c r="C63">
        <v>39</v>
      </c>
      <c r="D63">
        <v>3</v>
      </c>
      <c r="F63" s="9">
        <f>VLOOKUP($B63,Vertices!$A$10:$F$203, 3, FALSE)</f>
        <v>0</v>
      </c>
      <c r="G63" s="10">
        <f>VLOOKUP($B63,Vertices!$A$10:$F$203, 4, FALSE)</f>
        <v>10</v>
      </c>
      <c r="H63" s="10">
        <f>VLOOKUP($B63,Vertices!$A$10:$F$203, 5, FALSE)</f>
        <v>0</v>
      </c>
      <c r="I63" s="11">
        <f>VLOOKUP($B63,Vertices!$A$10:$F$203, 6, FALSE)</f>
        <v>0</v>
      </c>
      <c r="J63" s="9">
        <f>VLOOKUP($C63,Vertices!$A$10:$F$203, 3, FALSE)</f>
        <v>0</v>
      </c>
      <c r="K63" s="10">
        <f>VLOOKUP($C63,Vertices!$A$10:$F$203, 4, FALSE)</f>
        <v>20</v>
      </c>
      <c r="L63" s="10">
        <f>VLOOKUP($C63,Vertices!$A$10:$F$203, 5, FALSE)</f>
        <v>10</v>
      </c>
      <c r="M63" s="11">
        <f>VLOOKUP($C63,Vertices!$A$10:$F$203, 6, FALSE)</f>
        <v>0</v>
      </c>
      <c r="N63" s="9">
        <f>VLOOKUP($D63,Vertices!$A$10:$F$203, 3, FALSE)</f>
        <v>0</v>
      </c>
      <c r="O63" s="10">
        <f>VLOOKUP($D63,Vertices!$A$10:$F$203, 4, FALSE)</f>
        <v>20</v>
      </c>
      <c r="P63" s="10">
        <f>VLOOKUP($D63,Vertices!$A$10:$F$203, 5, FALSE)</f>
        <v>0</v>
      </c>
      <c r="Q63" s="11">
        <f>VLOOKUP($D63,Vertices!$A$10:$F$203, 6, FALSE)</f>
        <v>0</v>
      </c>
    </row>
    <row r="64" spans="1:17" x14ac:dyDescent="0.25">
      <c r="A64">
        <v>54</v>
      </c>
      <c r="B64">
        <v>2</v>
      </c>
      <c r="C64">
        <v>38</v>
      </c>
      <c r="D64">
        <v>39</v>
      </c>
      <c r="F64" s="9">
        <f>VLOOKUP($B64,Vertices!$A$10:$F$203, 3, FALSE)</f>
        <v>0</v>
      </c>
      <c r="G64" s="10">
        <f>VLOOKUP($B64,Vertices!$A$10:$F$203, 4, FALSE)</f>
        <v>10</v>
      </c>
      <c r="H64" s="10">
        <f>VLOOKUP($B64,Vertices!$A$10:$F$203, 5, FALSE)</f>
        <v>0</v>
      </c>
      <c r="I64" s="11">
        <f>VLOOKUP($B64,Vertices!$A$10:$F$203, 6, FALSE)</f>
        <v>0</v>
      </c>
      <c r="J64" s="9">
        <f>VLOOKUP($C64,Vertices!$A$10:$F$203, 3, FALSE)</f>
        <v>0</v>
      </c>
      <c r="K64" s="10">
        <f>VLOOKUP($C64,Vertices!$A$10:$F$203, 4, FALSE)</f>
        <v>10</v>
      </c>
      <c r="L64" s="10">
        <f>VLOOKUP($C64,Vertices!$A$10:$F$203, 5, FALSE)</f>
        <v>10</v>
      </c>
      <c r="M64" s="11">
        <f>VLOOKUP($C64,Vertices!$A$10:$F$203, 6, FALSE)</f>
        <v>0</v>
      </c>
      <c r="N64" s="9">
        <f>VLOOKUP($D64,Vertices!$A$10:$F$203, 3, FALSE)</f>
        <v>0</v>
      </c>
      <c r="O64" s="10">
        <f>VLOOKUP($D64,Vertices!$A$10:$F$203, 4, FALSE)</f>
        <v>20</v>
      </c>
      <c r="P64" s="10">
        <f>VLOOKUP($D64,Vertices!$A$10:$F$203, 5, FALSE)</f>
        <v>10</v>
      </c>
      <c r="Q64" s="11">
        <f>VLOOKUP($D64,Vertices!$A$10:$F$203, 6, FALSE)</f>
        <v>0</v>
      </c>
    </row>
    <row r="65" spans="1:17" x14ac:dyDescent="0.25">
      <c r="A65">
        <v>55</v>
      </c>
      <c r="B65">
        <v>38</v>
      </c>
      <c r="C65">
        <v>50</v>
      </c>
      <c r="D65">
        <v>39</v>
      </c>
      <c r="F65" s="9">
        <f>VLOOKUP($B65,Vertices!$A$10:$F$203, 3, FALSE)</f>
        <v>0</v>
      </c>
      <c r="G65" s="10">
        <f>VLOOKUP($B65,Vertices!$A$10:$F$203, 4, FALSE)</f>
        <v>10</v>
      </c>
      <c r="H65" s="10">
        <f>VLOOKUP($B65,Vertices!$A$10:$F$203, 5, FALSE)</f>
        <v>10</v>
      </c>
      <c r="I65" s="11">
        <f>VLOOKUP($B65,Vertices!$A$10:$F$203, 6, FALSE)</f>
        <v>0</v>
      </c>
      <c r="J65" s="9">
        <f>VLOOKUP($C65,Vertices!$A$10:$F$203, 3, FALSE)</f>
        <v>0</v>
      </c>
      <c r="K65" s="10">
        <f>VLOOKUP($C65,Vertices!$A$10:$F$203, 4, FALSE)</f>
        <v>20</v>
      </c>
      <c r="L65" s="10">
        <f>VLOOKUP($C65,Vertices!$A$10:$F$203, 5, FALSE)</f>
        <v>20</v>
      </c>
      <c r="M65" s="11">
        <f>VLOOKUP($C65,Vertices!$A$10:$F$203, 6, FALSE)</f>
        <v>0</v>
      </c>
      <c r="N65" s="9">
        <f>VLOOKUP($D65,Vertices!$A$10:$F$203, 3, FALSE)</f>
        <v>0</v>
      </c>
      <c r="O65" s="10">
        <f>VLOOKUP($D65,Vertices!$A$10:$F$203, 4, FALSE)</f>
        <v>20</v>
      </c>
      <c r="P65" s="10">
        <f>VLOOKUP($D65,Vertices!$A$10:$F$203, 5, FALSE)</f>
        <v>10</v>
      </c>
      <c r="Q65" s="11">
        <f>VLOOKUP($D65,Vertices!$A$10:$F$203, 6, FALSE)</f>
        <v>0</v>
      </c>
    </row>
    <row r="66" spans="1:17" x14ac:dyDescent="0.25">
      <c r="A66">
        <v>56</v>
      </c>
      <c r="B66">
        <v>38</v>
      </c>
      <c r="C66">
        <v>49</v>
      </c>
      <c r="D66">
        <v>50</v>
      </c>
      <c r="F66" s="9">
        <f>VLOOKUP($B66,Vertices!$A$10:$F$203, 3, FALSE)</f>
        <v>0</v>
      </c>
      <c r="G66" s="10">
        <f>VLOOKUP($B66,Vertices!$A$10:$F$203, 4, FALSE)</f>
        <v>10</v>
      </c>
      <c r="H66" s="10">
        <f>VLOOKUP($B66,Vertices!$A$10:$F$203, 5, FALSE)</f>
        <v>10</v>
      </c>
      <c r="I66" s="11">
        <f>VLOOKUP($B66,Vertices!$A$10:$F$203, 6, FALSE)</f>
        <v>0</v>
      </c>
      <c r="J66" s="9">
        <f>VLOOKUP($C66,Vertices!$A$10:$F$203, 3, FALSE)</f>
        <v>0</v>
      </c>
      <c r="K66" s="10">
        <f>VLOOKUP($C66,Vertices!$A$10:$F$203, 4, FALSE)</f>
        <v>10</v>
      </c>
      <c r="L66" s="10">
        <f>VLOOKUP($C66,Vertices!$A$10:$F$203, 5, FALSE)</f>
        <v>20</v>
      </c>
      <c r="M66" s="11">
        <f>VLOOKUP($C66,Vertices!$A$10:$F$203, 6, FALSE)</f>
        <v>0</v>
      </c>
      <c r="N66" s="9">
        <f>VLOOKUP($D66,Vertices!$A$10:$F$203, 3, FALSE)</f>
        <v>0</v>
      </c>
      <c r="O66" s="10">
        <f>VLOOKUP($D66,Vertices!$A$10:$F$203, 4, FALSE)</f>
        <v>20</v>
      </c>
      <c r="P66" s="10">
        <f>VLOOKUP($D66,Vertices!$A$10:$F$203, 5, FALSE)</f>
        <v>20</v>
      </c>
      <c r="Q66" s="11">
        <f>VLOOKUP($D66,Vertices!$A$10:$F$203, 6, FALSE)</f>
        <v>0</v>
      </c>
    </row>
    <row r="67" spans="1:17" x14ac:dyDescent="0.25">
      <c r="A67">
        <v>57</v>
      </c>
      <c r="B67">
        <v>37</v>
      </c>
      <c r="C67">
        <v>49</v>
      </c>
      <c r="D67">
        <v>38</v>
      </c>
      <c r="F67" s="9">
        <f>VLOOKUP($B67,Vertices!$A$10:$F$203, 3, FALSE)</f>
        <v>0</v>
      </c>
      <c r="G67" s="10">
        <f>VLOOKUP($B67,Vertices!$A$10:$F$203, 4, FALSE)</f>
        <v>0</v>
      </c>
      <c r="H67" s="10">
        <f>VLOOKUP($B67,Vertices!$A$10:$F$203, 5, FALSE)</f>
        <v>10</v>
      </c>
      <c r="I67" s="11">
        <f>VLOOKUP($B67,Vertices!$A$10:$F$203, 6, FALSE)</f>
        <v>0</v>
      </c>
      <c r="J67" s="9">
        <f>VLOOKUP($C67,Vertices!$A$10:$F$203, 3, FALSE)</f>
        <v>0</v>
      </c>
      <c r="K67" s="10">
        <f>VLOOKUP($C67,Vertices!$A$10:$F$203, 4, FALSE)</f>
        <v>10</v>
      </c>
      <c r="L67" s="10">
        <f>VLOOKUP($C67,Vertices!$A$10:$F$203, 5, FALSE)</f>
        <v>20</v>
      </c>
      <c r="M67" s="11">
        <f>VLOOKUP($C67,Vertices!$A$10:$F$203, 6, FALSE)</f>
        <v>0</v>
      </c>
      <c r="N67" s="9">
        <f>VLOOKUP($D67,Vertices!$A$10:$F$203, 3, FALSE)</f>
        <v>0</v>
      </c>
      <c r="O67" s="10">
        <f>VLOOKUP($D67,Vertices!$A$10:$F$203, 4, FALSE)</f>
        <v>10</v>
      </c>
      <c r="P67" s="10">
        <f>VLOOKUP($D67,Vertices!$A$10:$F$203, 5, FALSE)</f>
        <v>10</v>
      </c>
      <c r="Q67" s="11">
        <f>VLOOKUP($D67,Vertices!$A$10:$F$203, 6, FALSE)</f>
        <v>0</v>
      </c>
    </row>
    <row r="68" spans="1:17" x14ac:dyDescent="0.25">
      <c r="A68">
        <v>58</v>
      </c>
      <c r="B68">
        <v>37</v>
      </c>
      <c r="C68">
        <v>48</v>
      </c>
      <c r="D68">
        <v>49</v>
      </c>
      <c r="F68" s="9">
        <f>VLOOKUP($B68,Vertices!$A$10:$F$203, 3, FALSE)</f>
        <v>0</v>
      </c>
      <c r="G68" s="10">
        <f>VLOOKUP($B68,Vertices!$A$10:$F$203, 4, FALSE)</f>
        <v>0</v>
      </c>
      <c r="H68" s="10">
        <f>VLOOKUP($B68,Vertices!$A$10:$F$203, 5, FALSE)</f>
        <v>10</v>
      </c>
      <c r="I68" s="11">
        <f>VLOOKUP($B68,Vertices!$A$10:$F$203, 6, FALSE)</f>
        <v>0</v>
      </c>
      <c r="J68" s="9">
        <f>VLOOKUP($C68,Vertices!$A$10:$F$203, 3, FALSE)</f>
        <v>0</v>
      </c>
      <c r="K68" s="10">
        <f>VLOOKUP($C68,Vertices!$A$10:$F$203, 4, FALSE)</f>
        <v>0</v>
      </c>
      <c r="L68" s="10">
        <f>VLOOKUP($C68,Vertices!$A$10:$F$203, 5, FALSE)</f>
        <v>20</v>
      </c>
      <c r="M68" s="11">
        <f>VLOOKUP($C68,Vertices!$A$10:$F$203, 6, FALSE)</f>
        <v>0</v>
      </c>
      <c r="N68" s="9">
        <f>VLOOKUP($D68,Vertices!$A$10:$F$203, 3, FALSE)</f>
        <v>0</v>
      </c>
      <c r="O68" s="10">
        <f>VLOOKUP($D68,Vertices!$A$10:$F$203, 4, FALSE)</f>
        <v>10</v>
      </c>
      <c r="P68" s="10">
        <f>VLOOKUP($D68,Vertices!$A$10:$F$203, 5, FALSE)</f>
        <v>20</v>
      </c>
      <c r="Q68" s="11">
        <f>VLOOKUP($D68,Vertices!$A$10:$F$203, 6, FALSE)</f>
        <v>0</v>
      </c>
    </row>
    <row r="69" spans="1:17" x14ac:dyDescent="0.25">
      <c r="A69">
        <v>59</v>
      </c>
      <c r="B69">
        <v>3</v>
      </c>
      <c r="C69">
        <v>40</v>
      </c>
      <c r="D69">
        <v>4</v>
      </c>
      <c r="F69" s="9">
        <f>VLOOKUP($B69,Vertices!$A$10:$F$203, 3, FALSE)</f>
        <v>0</v>
      </c>
      <c r="G69" s="10">
        <f>VLOOKUP($B69,Vertices!$A$10:$F$203, 4, FALSE)</f>
        <v>20</v>
      </c>
      <c r="H69" s="10">
        <f>VLOOKUP($B69,Vertices!$A$10:$F$203, 5, FALSE)</f>
        <v>0</v>
      </c>
      <c r="I69" s="11">
        <f>VLOOKUP($B69,Vertices!$A$10:$F$203, 6, FALSE)</f>
        <v>0</v>
      </c>
      <c r="J69" s="9">
        <f>VLOOKUP($C69,Vertices!$A$10:$F$203, 3, FALSE)</f>
        <v>0</v>
      </c>
      <c r="K69" s="10">
        <f>VLOOKUP($C69,Vertices!$A$10:$F$203, 4, FALSE)</f>
        <v>40</v>
      </c>
      <c r="L69" s="10">
        <f>VLOOKUP($C69,Vertices!$A$10:$F$203, 5, FALSE)</f>
        <v>10</v>
      </c>
      <c r="M69" s="11">
        <f>VLOOKUP($C69,Vertices!$A$10:$F$203, 6, FALSE)</f>
        <v>0</v>
      </c>
      <c r="N69" s="9">
        <f>VLOOKUP($D69,Vertices!$A$10:$F$203, 3, FALSE)</f>
        <v>0</v>
      </c>
      <c r="O69" s="10">
        <f>VLOOKUP($D69,Vertices!$A$10:$F$203, 4, FALSE)</f>
        <v>40</v>
      </c>
      <c r="P69" s="10">
        <f>VLOOKUP($D69,Vertices!$A$10:$F$203, 5, FALSE)</f>
        <v>0</v>
      </c>
      <c r="Q69" s="11">
        <f>VLOOKUP($D69,Vertices!$A$10:$F$203, 6, FALSE)</f>
        <v>0</v>
      </c>
    </row>
    <row r="70" spans="1:17" x14ac:dyDescent="0.25">
      <c r="A70">
        <v>60</v>
      </c>
      <c r="B70">
        <v>3</v>
      </c>
      <c r="C70">
        <v>39</v>
      </c>
      <c r="D70">
        <v>40</v>
      </c>
      <c r="F70" s="9">
        <f>VLOOKUP($B70,Vertices!$A$10:$F$203, 3, FALSE)</f>
        <v>0</v>
      </c>
      <c r="G70" s="10">
        <f>VLOOKUP($B70,Vertices!$A$10:$F$203, 4, FALSE)</f>
        <v>20</v>
      </c>
      <c r="H70" s="10">
        <f>VLOOKUP($B70,Vertices!$A$10:$F$203, 5, FALSE)</f>
        <v>0</v>
      </c>
      <c r="I70" s="11">
        <f>VLOOKUP($B70,Vertices!$A$10:$F$203, 6, FALSE)</f>
        <v>0</v>
      </c>
      <c r="J70" s="9">
        <f>VLOOKUP($C70,Vertices!$A$10:$F$203, 3, FALSE)</f>
        <v>0</v>
      </c>
      <c r="K70" s="10">
        <f>VLOOKUP($C70,Vertices!$A$10:$F$203, 4, FALSE)</f>
        <v>20</v>
      </c>
      <c r="L70" s="10">
        <f>VLOOKUP($C70,Vertices!$A$10:$F$203, 5, FALSE)</f>
        <v>10</v>
      </c>
      <c r="M70" s="11">
        <f>VLOOKUP($C70,Vertices!$A$10:$F$203, 6, FALSE)</f>
        <v>0</v>
      </c>
      <c r="N70" s="9">
        <f>VLOOKUP($D70,Vertices!$A$10:$F$203, 3, FALSE)</f>
        <v>0</v>
      </c>
      <c r="O70" s="10">
        <f>VLOOKUP($D70,Vertices!$A$10:$F$203, 4, FALSE)</f>
        <v>40</v>
      </c>
      <c r="P70" s="10">
        <f>VLOOKUP($D70,Vertices!$A$10:$F$203, 5, FALSE)</f>
        <v>10</v>
      </c>
      <c r="Q70" s="11">
        <f>VLOOKUP($D70,Vertices!$A$10:$F$203, 6, FALSE)</f>
        <v>0</v>
      </c>
    </row>
    <row r="71" spans="1:17" x14ac:dyDescent="0.25">
      <c r="A71">
        <v>61</v>
      </c>
      <c r="B71">
        <v>39</v>
      </c>
      <c r="C71">
        <v>51</v>
      </c>
      <c r="D71">
        <v>40</v>
      </c>
      <c r="F71" s="9">
        <f>VLOOKUP($B71,Vertices!$A$10:$F$203, 3, FALSE)</f>
        <v>0</v>
      </c>
      <c r="G71" s="10">
        <f>VLOOKUP($B71,Vertices!$A$10:$F$203, 4, FALSE)</f>
        <v>20</v>
      </c>
      <c r="H71" s="10">
        <f>VLOOKUP($B71,Vertices!$A$10:$F$203, 5, FALSE)</f>
        <v>10</v>
      </c>
      <c r="I71" s="11">
        <f>VLOOKUP($B71,Vertices!$A$10:$F$203, 6, FALSE)</f>
        <v>0</v>
      </c>
      <c r="J71" s="9">
        <f>VLOOKUP($C71,Vertices!$A$10:$F$203, 3, FALSE)</f>
        <v>0</v>
      </c>
      <c r="K71" s="10">
        <f>VLOOKUP($C71,Vertices!$A$10:$F$203, 4, FALSE)</f>
        <v>40</v>
      </c>
      <c r="L71" s="10">
        <f>VLOOKUP($C71,Vertices!$A$10:$F$203, 5, FALSE)</f>
        <v>20</v>
      </c>
      <c r="M71" s="11">
        <f>VLOOKUP($C71,Vertices!$A$10:$F$203, 6, FALSE)</f>
        <v>0</v>
      </c>
      <c r="N71" s="9">
        <f>VLOOKUP($D71,Vertices!$A$10:$F$203, 3, FALSE)</f>
        <v>0</v>
      </c>
      <c r="O71" s="10">
        <f>VLOOKUP($D71,Vertices!$A$10:$F$203, 4, FALSE)</f>
        <v>40</v>
      </c>
      <c r="P71" s="10">
        <f>VLOOKUP($D71,Vertices!$A$10:$F$203, 5, FALSE)</f>
        <v>10</v>
      </c>
      <c r="Q71" s="11">
        <f>VLOOKUP($D71,Vertices!$A$10:$F$203, 6, FALSE)</f>
        <v>0</v>
      </c>
    </row>
    <row r="72" spans="1:17" x14ac:dyDescent="0.25">
      <c r="A72">
        <v>62</v>
      </c>
      <c r="B72">
        <v>39</v>
      </c>
      <c r="C72">
        <v>50</v>
      </c>
      <c r="D72">
        <v>51</v>
      </c>
      <c r="F72" s="9">
        <f>VLOOKUP($B72,Vertices!$A$10:$F$203, 3, FALSE)</f>
        <v>0</v>
      </c>
      <c r="G72" s="10">
        <f>VLOOKUP($B72,Vertices!$A$10:$F$203, 4, FALSE)</f>
        <v>20</v>
      </c>
      <c r="H72" s="10">
        <f>VLOOKUP($B72,Vertices!$A$10:$F$203, 5, FALSE)</f>
        <v>10</v>
      </c>
      <c r="I72" s="11">
        <f>VLOOKUP($B72,Vertices!$A$10:$F$203, 6, FALSE)</f>
        <v>0</v>
      </c>
      <c r="J72" s="9">
        <f>VLOOKUP($C72,Vertices!$A$10:$F$203, 3, FALSE)</f>
        <v>0</v>
      </c>
      <c r="K72" s="10">
        <f>VLOOKUP($C72,Vertices!$A$10:$F$203, 4, FALSE)</f>
        <v>20</v>
      </c>
      <c r="L72" s="10">
        <f>VLOOKUP($C72,Vertices!$A$10:$F$203, 5, FALSE)</f>
        <v>20</v>
      </c>
      <c r="M72" s="11">
        <f>VLOOKUP($C72,Vertices!$A$10:$F$203, 6, FALSE)</f>
        <v>0</v>
      </c>
      <c r="N72" s="9">
        <f>VLOOKUP($D72,Vertices!$A$10:$F$203, 3, FALSE)</f>
        <v>0</v>
      </c>
      <c r="O72" s="10">
        <f>VLOOKUP($D72,Vertices!$A$10:$F$203, 4, FALSE)</f>
        <v>40</v>
      </c>
      <c r="P72" s="10">
        <f>VLOOKUP($D72,Vertices!$A$10:$F$203, 5, FALSE)</f>
        <v>20</v>
      </c>
      <c r="Q72" s="11">
        <f>VLOOKUP($D72,Vertices!$A$10:$F$203, 6, FALSE)</f>
        <v>0</v>
      </c>
    </row>
    <row r="73" spans="1:17" x14ac:dyDescent="0.25">
      <c r="A73">
        <v>63</v>
      </c>
      <c r="B73">
        <v>50</v>
      </c>
      <c r="C73">
        <v>62</v>
      </c>
      <c r="D73">
        <v>51</v>
      </c>
      <c r="F73" s="9">
        <f>VLOOKUP($B73,Vertices!$A$10:$F$203, 3, FALSE)</f>
        <v>0</v>
      </c>
      <c r="G73" s="10">
        <f>VLOOKUP($B73,Vertices!$A$10:$F$203, 4, FALSE)</f>
        <v>20</v>
      </c>
      <c r="H73" s="10">
        <f>VLOOKUP($B73,Vertices!$A$10:$F$203, 5, FALSE)</f>
        <v>20</v>
      </c>
      <c r="I73" s="11">
        <f>VLOOKUP($B73,Vertices!$A$10:$F$203, 6, FALSE)</f>
        <v>0</v>
      </c>
      <c r="J73" s="9">
        <f>VLOOKUP($C73,Vertices!$A$10:$F$203, 3, FALSE)</f>
        <v>0</v>
      </c>
      <c r="K73" s="10">
        <f>VLOOKUP($C73,Vertices!$A$10:$F$203, 4, FALSE)</f>
        <v>40</v>
      </c>
      <c r="L73" s="10">
        <f>VLOOKUP($C73,Vertices!$A$10:$F$203, 5, FALSE)</f>
        <v>40</v>
      </c>
      <c r="M73" s="11">
        <f>VLOOKUP($C73,Vertices!$A$10:$F$203, 6, FALSE)</f>
        <v>0</v>
      </c>
      <c r="N73" s="9">
        <f>VLOOKUP($D73,Vertices!$A$10:$F$203, 3, FALSE)</f>
        <v>0</v>
      </c>
      <c r="O73" s="10">
        <f>VLOOKUP($D73,Vertices!$A$10:$F$203, 4, FALSE)</f>
        <v>40</v>
      </c>
      <c r="P73" s="10">
        <f>VLOOKUP($D73,Vertices!$A$10:$F$203, 5, FALSE)</f>
        <v>20</v>
      </c>
      <c r="Q73" s="11">
        <f>VLOOKUP($D73,Vertices!$A$10:$F$203, 6, FALSE)</f>
        <v>0</v>
      </c>
    </row>
    <row r="74" spans="1:17" x14ac:dyDescent="0.25">
      <c r="A74">
        <v>64</v>
      </c>
      <c r="B74">
        <v>50</v>
      </c>
      <c r="C74">
        <v>61</v>
      </c>
      <c r="D74">
        <v>62</v>
      </c>
      <c r="F74" s="9">
        <f>VLOOKUP($B74,Vertices!$A$10:$F$203, 3, FALSE)</f>
        <v>0</v>
      </c>
      <c r="G74" s="10">
        <f>VLOOKUP($B74,Vertices!$A$10:$F$203, 4, FALSE)</f>
        <v>20</v>
      </c>
      <c r="H74" s="10">
        <f>VLOOKUP($B74,Vertices!$A$10:$F$203, 5, FALSE)</f>
        <v>20</v>
      </c>
      <c r="I74" s="11">
        <f>VLOOKUP($B74,Vertices!$A$10:$F$203, 6, FALSE)</f>
        <v>0</v>
      </c>
      <c r="J74" s="9">
        <f>VLOOKUP($C74,Vertices!$A$10:$F$203, 3, FALSE)</f>
        <v>0</v>
      </c>
      <c r="K74" s="10">
        <f>VLOOKUP($C74,Vertices!$A$10:$F$203, 4, FALSE)</f>
        <v>20</v>
      </c>
      <c r="L74" s="10">
        <f>VLOOKUP($C74,Vertices!$A$10:$F$203, 5, FALSE)</f>
        <v>40</v>
      </c>
      <c r="M74" s="11">
        <f>VLOOKUP($C74,Vertices!$A$10:$F$203, 6, FALSE)</f>
        <v>0</v>
      </c>
      <c r="N74" s="9">
        <f>VLOOKUP($D74,Vertices!$A$10:$F$203, 3, FALSE)</f>
        <v>0</v>
      </c>
      <c r="O74" s="10">
        <f>VLOOKUP($D74,Vertices!$A$10:$F$203, 4, FALSE)</f>
        <v>40</v>
      </c>
      <c r="P74" s="10">
        <f>VLOOKUP($D74,Vertices!$A$10:$F$203, 5, FALSE)</f>
        <v>40</v>
      </c>
      <c r="Q74" s="11">
        <f>VLOOKUP($D74,Vertices!$A$10:$F$203, 6, FALSE)</f>
        <v>0</v>
      </c>
    </row>
    <row r="75" spans="1:17" x14ac:dyDescent="0.25">
      <c r="A75">
        <v>65</v>
      </c>
      <c r="B75">
        <v>49</v>
      </c>
      <c r="C75">
        <v>61</v>
      </c>
      <c r="D75">
        <v>50</v>
      </c>
      <c r="F75" s="9">
        <f>VLOOKUP($B75,Vertices!$A$10:$F$203, 3, FALSE)</f>
        <v>0</v>
      </c>
      <c r="G75" s="10">
        <f>VLOOKUP($B75,Vertices!$A$10:$F$203, 4, FALSE)</f>
        <v>10</v>
      </c>
      <c r="H75" s="10">
        <f>VLOOKUP($B75,Vertices!$A$10:$F$203, 5, FALSE)</f>
        <v>20</v>
      </c>
      <c r="I75" s="11">
        <f>VLOOKUP($B75,Vertices!$A$10:$F$203, 6, FALSE)</f>
        <v>0</v>
      </c>
      <c r="J75" s="9">
        <f>VLOOKUP($C75,Vertices!$A$10:$F$203, 3, FALSE)</f>
        <v>0</v>
      </c>
      <c r="K75" s="10">
        <f>VLOOKUP($C75,Vertices!$A$10:$F$203, 4, FALSE)</f>
        <v>20</v>
      </c>
      <c r="L75" s="10">
        <f>VLOOKUP($C75,Vertices!$A$10:$F$203, 5, FALSE)</f>
        <v>40</v>
      </c>
      <c r="M75" s="11">
        <f>VLOOKUP($C75,Vertices!$A$10:$F$203, 6, FALSE)</f>
        <v>0</v>
      </c>
      <c r="N75" s="9">
        <f>VLOOKUP($D75,Vertices!$A$10:$F$203, 3, FALSE)</f>
        <v>0</v>
      </c>
      <c r="O75" s="10">
        <f>VLOOKUP($D75,Vertices!$A$10:$F$203, 4, FALSE)</f>
        <v>20</v>
      </c>
      <c r="P75" s="10">
        <f>VLOOKUP($D75,Vertices!$A$10:$F$203, 5, FALSE)</f>
        <v>20</v>
      </c>
      <c r="Q75" s="11">
        <f>VLOOKUP($D75,Vertices!$A$10:$F$203, 6, FALSE)</f>
        <v>0</v>
      </c>
    </row>
    <row r="76" spans="1:17" x14ac:dyDescent="0.25">
      <c r="A76">
        <v>66</v>
      </c>
      <c r="B76">
        <v>49</v>
      </c>
      <c r="C76">
        <v>60</v>
      </c>
      <c r="D76">
        <v>61</v>
      </c>
      <c r="F76" s="9">
        <f>VLOOKUP($B76,Vertices!$A$10:$F$203, 3, FALSE)</f>
        <v>0</v>
      </c>
      <c r="G76" s="10">
        <f>VLOOKUP($B76,Vertices!$A$10:$F$203, 4, FALSE)</f>
        <v>10</v>
      </c>
      <c r="H76" s="10">
        <f>VLOOKUP($B76,Vertices!$A$10:$F$203, 5, FALSE)</f>
        <v>20</v>
      </c>
      <c r="I76" s="11">
        <f>VLOOKUP($B76,Vertices!$A$10:$F$203, 6, FALSE)</f>
        <v>0</v>
      </c>
      <c r="J76" s="9">
        <f>VLOOKUP($C76,Vertices!$A$10:$F$203, 3, FALSE)</f>
        <v>0</v>
      </c>
      <c r="K76" s="10">
        <f>VLOOKUP($C76,Vertices!$A$10:$F$203, 4, FALSE)</f>
        <v>10</v>
      </c>
      <c r="L76" s="10">
        <f>VLOOKUP($C76,Vertices!$A$10:$F$203, 5, FALSE)</f>
        <v>40</v>
      </c>
      <c r="M76" s="11">
        <f>VLOOKUP($C76,Vertices!$A$10:$F$203, 6, FALSE)</f>
        <v>0</v>
      </c>
      <c r="N76" s="9">
        <f>VLOOKUP($D76,Vertices!$A$10:$F$203, 3, FALSE)</f>
        <v>0</v>
      </c>
      <c r="O76" s="10">
        <f>VLOOKUP($D76,Vertices!$A$10:$F$203, 4, FALSE)</f>
        <v>20</v>
      </c>
      <c r="P76" s="10">
        <f>VLOOKUP($D76,Vertices!$A$10:$F$203, 5, FALSE)</f>
        <v>40</v>
      </c>
      <c r="Q76" s="11">
        <f>VLOOKUP($D76,Vertices!$A$10:$F$203, 6, FALSE)</f>
        <v>0</v>
      </c>
    </row>
    <row r="77" spans="1:17" x14ac:dyDescent="0.25">
      <c r="A77">
        <v>67</v>
      </c>
      <c r="B77">
        <v>48</v>
      </c>
      <c r="C77">
        <v>60</v>
      </c>
      <c r="D77">
        <v>49</v>
      </c>
      <c r="F77" s="9">
        <f>VLOOKUP($B77,Vertices!$A$10:$F$203, 3, FALSE)</f>
        <v>0</v>
      </c>
      <c r="G77" s="10">
        <f>VLOOKUP($B77,Vertices!$A$10:$F$203, 4, FALSE)</f>
        <v>0</v>
      </c>
      <c r="H77" s="10">
        <f>VLOOKUP($B77,Vertices!$A$10:$F$203, 5, FALSE)</f>
        <v>20</v>
      </c>
      <c r="I77" s="11">
        <f>VLOOKUP($B77,Vertices!$A$10:$F$203, 6, FALSE)</f>
        <v>0</v>
      </c>
      <c r="J77" s="9">
        <f>VLOOKUP($C77,Vertices!$A$10:$F$203, 3, FALSE)</f>
        <v>0</v>
      </c>
      <c r="K77" s="10">
        <f>VLOOKUP($C77,Vertices!$A$10:$F$203, 4, FALSE)</f>
        <v>10</v>
      </c>
      <c r="L77" s="10">
        <f>VLOOKUP($C77,Vertices!$A$10:$F$203, 5, FALSE)</f>
        <v>40</v>
      </c>
      <c r="M77" s="11">
        <f>VLOOKUP($C77,Vertices!$A$10:$F$203, 6, FALSE)</f>
        <v>0</v>
      </c>
      <c r="N77" s="9">
        <f>VLOOKUP($D77,Vertices!$A$10:$F$203, 3, FALSE)</f>
        <v>0</v>
      </c>
      <c r="O77" s="10">
        <f>VLOOKUP($D77,Vertices!$A$10:$F$203, 4, FALSE)</f>
        <v>10</v>
      </c>
      <c r="P77" s="10">
        <f>VLOOKUP($D77,Vertices!$A$10:$F$203, 5, FALSE)</f>
        <v>20</v>
      </c>
      <c r="Q77" s="11">
        <f>VLOOKUP($D77,Vertices!$A$10:$F$203, 6, FALSE)</f>
        <v>0</v>
      </c>
    </row>
    <row r="78" spans="1:17" x14ac:dyDescent="0.25">
      <c r="A78">
        <v>68</v>
      </c>
      <c r="B78">
        <v>48</v>
      </c>
      <c r="C78">
        <v>59</v>
      </c>
      <c r="D78">
        <v>60</v>
      </c>
      <c r="F78" s="9">
        <f>VLOOKUP($B78,Vertices!$A$10:$F$203, 3, FALSE)</f>
        <v>0</v>
      </c>
      <c r="G78" s="10">
        <f>VLOOKUP($B78,Vertices!$A$10:$F$203, 4, FALSE)</f>
        <v>0</v>
      </c>
      <c r="H78" s="10">
        <f>VLOOKUP($B78,Vertices!$A$10:$F$203, 5, FALSE)</f>
        <v>20</v>
      </c>
      <c r="I78" s="11">
        <f>VLOOKUP($B78,Vertices!$A$10:$F$203, 6, FALSE)</f>
        <v>0</v>
      </c>
      <c r="J78" s="9">
        <f>VLOOKUP($C78,Vertices!$A$10:$F$203, 3, FALSE)</f>
        <v>0</v>
      </c>
      <c r="K78" s="10">
        <f>VLOOKUP($C78,Vertices!$A$10:$F$203, 4, FALSE)</f>
        <v>0</v>
      </c>
      <c r="L78" s="10">
        <f>VLOOKUP($C78,Vertices!$A$10:$F$203, 5, FALSE)</f>
        <v>40</v>
      </c>
      <c r="M78" s="11">
        <f>VLOOKUP($C78,Vertices!$A$10:$F$203, 6, FALSE)</f>
        <v>0</v>
      </c>
      <c r="N78" s="9">
        <f>VLOOKUP($D78,Vertices!$A$10:$F$203, 3, FALSE)</f>
        <v>0</v>
      </c>
      <c r="O78" s="10">
        <f>VLOOKUP($D78,Vertices!$A$10:$F$203, 4, FALSE)</f>
        <v>10</v>
      </c>
      <c r="P78" s="10">
        <f>VLOOKUP($D78,Vertices!$A$10:$F$203, 5, FALSE)</f>
        <v>40</v>
      </c>
      <c r="Q78" s="11">
        <f>VLOOKUP($D78,Vertices!$A$10:$F$203, 6, FALSE)</f>
        <v>0</v>
      </c>
    </row>
    <row r="79" spans="1:17" x14ac:dyDescent="0.25">
      <c r="A79">
        <v>69</v>
      </c>
      <c r="B79">
        <v>4</v>
      </c>
      <c r="C79">
        <v>41</v>
      </c>
      <c r="D79">
        <v>5</v>
      </c>
      <c r="F79" s="9">
        <f>VLOOKUP($B79,Vertices!$A$10:$F$203, 3, FALSE)</f>
        <v>0</v>
      </c>
      <c r="G79" s="10">
        <f>VLOOKUP($B79,Vertices!$A$10:$F$203, 4, FALSE)</f>
        <v>40</v>
      </c>
      <c r="H79" s="10">
        <f>VLOOKUP($B79,Vertices!$A$10:$F$203, 5, FALSE)</f>
        <v>0</v>
      </c>
      <c r="I79" s="11">
        <f>VLOOKUP($B79,Vertices!$A$10:$F$203, 6, FALSE)</f>
        <v>0</v>
      </c>
      <c r="J79" s="9">
        <f>VLOOKUP($C79,Vertices!$A$10:$F$203, 3, FALSE)</f>
        <v>0</v>
      </c>
      <c r="K79" s="10">
        <f>VLOOKUP($C79,Vertices!$A$10:$F$203, 4, FALSE)</f>
        <v>70</v>
      </c>
      <c r="L79" s="10">
        <f>VLOOKUP($C79,Vertices!$A$10:$F$203, 5, FALSE)</f>
        <v>10</v>
      </c>
      <c r="M79" s="11">
        <f>VLOOKUP($C79,Vertices!$A$10:$F$203, 6, FALSE)</f>
        <v>0</v>
      </c>
      <c r="N79" s="9">
        <f>VLOOKUP($D79,Vertices!$A$10:$F$203, 3, FALSE)</f>
        <v>0</v>
      </c>
      <c r="O79" s="10">
        <f>VLOOKUP($D79,Vertices!$A$10:$F$203, 4, FALSE)</f>
        <v>70</v>
      </c>
      <c r="P79" s="10">
        <f>VLOOKUP($D79,Vertices!$A$10:$F$203, 5, FALSE)</f>
        <v>0</v>
      </c>
      <c r="Q79" s="11">
        <f>VLOOKUP($D79,Vertices!$A$10:$F$203, 6, FALSE)</f>
        <v>0</v>
      </c>
    </row>
    <row r="80" spans="1:17" x14ac:dyDescent="0.25">
      <c r="A80">
        <v>70</v>
      </c>
      <c r="B80">
        <v>4</v>
      </c>
      <c r="C80">
        <v>40</v>
      </c>
      <c r="D80">
        <v>41</v>
      </c>
      <c r="F80" s="9">
        <f>VLOOKUP($B80,Vertices!$A$10:$F$203, 3, FALSE)</f>
        <v>0</v>
      </c>
      <c r="G80" s="10">
        <f>VLOOKUP($B80,Vertices!$A$10:$F$203, 4, FALSE)</f>
        <v>40</v>
      </c>
      <c r="H80" s="10">
        <f>VLOOKUP($B80,Vertices!$A$10:$F$203, 5, FALSE)</f>
        <v>0</v>
      </c>
      <c r="I80" s="11">
        <f>VLOOKUP($B80,Vertices!$A$10:$F$203, 6, FALSE)</f>
        <v>0</v>
      </c>
      <c r="J80" s="9">
        <f>VLOOKUP($C80,Vertices!$A$10:$F$203, 3, FALSE)</f>
        <v>0</v>
      </c>
      <c r="K80" s="10">
        <f>VLOOKUP($C80,Vertices!$A$10:$F$203, 4, FALSE)</f>
        <v>40</v>
      </c>
      <c r="L80" s="10">
        <f>VLOOKUP($C80,Vertices!$A$10:$F$203, 5, FALSE)</f>
        <v>10</v>
      </c>
      <c r="M80" s="11">
        <f>VLOOKUP($C80,Vertices!$A$10:$F$203, 6, FALSE)</f>
        <v>0</v>
      </c>
      <c r="N80" s="9">
        <f>VLOOKUP($D80,Vertices!$A$10:$F$203, 3, FALSE)</f>
        <v>0</v>
      </c>
      <c r="O80" s="10">
        <f>VLOOKUP($D80,Vertices!$A$10:$F$203, 4, FALSE)</f>
        <v>70</v>
      </c>
      <c r="P80" s="10">
        <f>VLOOKUP($D80,Vertices!$A$10:$F$203, 5, FALSE)</f>
        <v>10</v>
      </c>
      <c r="Q80" s="11">
        <f>VLOOKUP($D80,Vertices!$A$10:$F$203, 6, FALSE)</f>
        <v>0</v>
      </c>
    </row>
    <row r="81" spans="1:17" x14ac:dyDescent="0.25">
      <c r="A81">
        <v>71</v>
      </c>
      <c r="B81">
        <v>40</v>
      </c>
      <c r="C81">
        <v>52</v>
      </c>
      <c r="D81">
        <v>41</v>
      </c>
      <c r="F81" s="9">
        <f>VLOOKUP($B81,Vertices!$A$10:$F$203, 3, FALSE)</f>
        <v>0</v>
      </c>
      <c r="G81" s="10">
        <f>VLOOKUP($B81,Vertices!$A$10:$F$203, 4, FALSE)</f>
        <v>40</v>
      </c>
      <c r="H81" s="10">
        <f>VLOOKUP($B81,Vertices!$A$10:$F$203, 5, FALSE)</f>
        <v>10</v>
      </c>
      <c r="I81" s="11">
        <f>VLOOKUP($B81,Vertices!$A$10:$F$203, 6, FALSE)</f>
        <v>0</v>
      </c>
      <c r="J81" s="9">
        <f>VLOOKUP($C81,Vertices!$A$10:$F$203, 3, FALSE)</f>
        <v>0</v>
      </c>
      <c r="K81" s="10">
        <f>VLOOKUP($C81,Vertices!$A$10:$F$203, 4, FALSE)</f>
        <v>70</v>
      </c>
      <c r="L81" s="10">
        <f>VLOOKUP($C81,Vertices!$A$10:$F$203, 5, FALSE)</f>
        <v>20</v>
      </c>
      <c r="M81" s="11">
        <f>VLOOKUP($C81,Vertices!$A$10:$F$203, 6, FALSE)</f>
        <v>0</v>
      </c>
      <c r="N81" s="9">
        <f>VLOOKUP($D81,Vertices!$A$10:$F$203, 3, FALSE)</f>
        <v>0</v>
      </c>
      <c r="O81" s="10">
        <f>VLOOKUP($D81,Vertices!$A$10:$F$203, 4, FALSE)</f>
        <v>70</v>
      </c>
      <c r="P81" s="10">
        <f>VLOOKUP($D81,Vertices!$A$10:$F$203, 5, FALSE)</f>
        <v>10</v>
      </c>
      <c r="Q81" s="11">
        <f>VLOOKUP($D81,Vertices!$A$10:$F$203, 6, FALSE)</f>
        <v>0</v>
      </c>
    </row>
    <row r="82" spans="1:17" x14ac:dyDescent="0.25">
      <c r="A82">
        <v>72</v>
      </c>
      <c r="B82">
        <v>40</v>
      </c>
      <c r="C82">
        <v>51</v>
      </c>
      <c r="D82">
        <v>52</v>
      </c>
      <c r="F82" s="9">
        <f>VLOOKUP($B82,Vertices!$A$10:$F$203, 3, FALSE)</f>
        <v>0</v>
      </c>
      <c r="G82" s="10">
        <f>VLOOKUP($B82,Vertices!$A$10:$F$203, 4, FALSE)</f>
        <v>40</v>
      </c>
      <c r="H82" s="10">
        <f>VLOOKUP($B82,Vertices!$A$10:$F$203, 5, FALSE)</f>
        <v>10</v>
      </c>
      <c r="I82" s="11">
        <f>VLOOKUP($B82,Vertices!$A$10:$F$203, 6, FALSE)</f>
        <v>0</v>
      </c>
      <c r="J82" s="9">
        <f>VLOOKUP($C82,Vertices!$A$10:$F$203, 3, FALSE)</f>
        <v>0</v>
      </c>
      <c r="K82" s="10">
        <f>VLOOKUP($C82,Vertices!$A$10:$F$203, 4, FALSE)</f>
        <v>40</v>
      </c>
      <c r="L82" s="10">
        <f>VLOOKUP($C82,Vertices!$A$10:$F$203, 5, FALSE)</f>
        <v>20</v>
      </c>
      <c r="M82" s="11">
        <f>VLOOKUP($C82,Vertices!$A$10:$F$203, 6, FALSE)</f>
        <v>0</v>
      </c>
      <c r="N82" s="9">
        <f>VLOOKUP($D82,Vertices!$A$10:$F$203, 3, FALSE)</f>
        <v>0</v>
      </c>
      <c r="O82" s="10">
        <f>VLOOKUP($D82,Vertices!$A$10:$F$203, 4, FALSE)</f>
        <v>70</v>
      </c>
      <c r="P82" s="10">
        <f>VLOOKUP($D82,Vertices!$A$10:$F$203, 5, FALSE)</f>
        <v>20</v>
      </c>
      <c r="Q82" s="11">
        <f>VLOOKUP($D82,Vertices!$A$10:$F$203, 6, FALSE)</f>
        <v>0</v>
      </c>
    </row>
    <row r="83" spans="1:17" x14ac:dyDescent="0.25">
      <c r="A83">
        <v>73</v>
      </c>
      <c r="B83">
        <v>51</v>
      </c>
      <c r="C83">
        <v>63</v>
      </c>
      <c r="D83">
        <v>52</v>
      </c>
      <c r="F83" s="9">
        <f>VLOOKUP($B83,Vertices!$A$10:$F$203, 3, FALSE)</f>
        <v>0</v>
      </c>
      <c r="G83" s="10">
        <f>VLOOKUP($B83,Vertices!$A$10:$F$203, 4, FALSE)</f>
        <v>40</v>
      </c>
      <c r="H83" s="10">
        <f>VLOOKUP($B83,Vertices!$A$10:$F$203, 5, FALSE)</f>
        <v>20</v>
      </c>
      <c r="I83" s="11">
        <f>VLOOKUP($B83,Vertices!$A$10:$F$203, 6, FALSE)</f>
        <v>0</v>
      </c>
      <c r="J83" s="9">
        <f>VLOOKUP($C83,Vertices!$A$10:$F$203, 3, FALSE)</f>
        <v>0</v>
      </c>
      <c r="K83" s="10">
        <f>VLOOKUP($C83,Vertices!$A$10:$F$203, 4, FALSE)</f>
        <v>70</v>
      </c>
      <c r="L83" s="10">
        <f>VLOOKUP($C83,Vertices!$A$10:$F$203, 5, FALSE)</f>
        <v>40</v>
      </c>
      <c r="M83" s="11">
        <f>VLOOKUP($C83,Vertices!$A$10:$F$203, 6, FALSE)</f>
        <v>0</v>
      </c>
      <c r="N83" s="9">
        <f>VLOOKUP($D83,Vertices!$A$10:$F$203, 3, FALSE)</f>
        <v>0</v>
      </c>
      <c r="O83" s="10">
        <f>VLOOKUP($D83,Vertices!$A$10:$F$203, 4, FALSE)</f>
        <v>70</v>
      </c>
      <c r="P83" s="10">
        <f>VLOOKUP($D83,Vertices!$A$10:$F$203, 5, FALSE)</f>
        <v>20</v>
      </c>
      <c r="Q83" s="11">
        <f>VLOOKUP($D83,Vertices!$A$10:$F$203, 6, FALSE)</f>
        <v>0</v>
      </c>
    </row>
    <row r="84" spans="1:17" x14ac:dyDescent="0.25">
      <c r="A84">
        <v>74</v>
      </c>
      <c r="B84">
        <v>51</v>
      </c>
      <c r="C84">
        <v>62</v>
      </c>
      <c r="D84">
        <v>63</v>
      </c>
      <c r="F84" s="9">
        <f>VLOOKUP($B84,Vertices!$A$10:$F$203, 3, FALSE)</f>
        <v>0</v>
      </c>
      <c r="G84" s="10">
        <f>VLOOKUP($B84,Vertices!$A$10:$F$203, 4, FALSE)</f>
        <v>40</v>
      </c>
      <c r="H84" s="10">
        <f>VLOOKUP($B84,Vertices!$A$10:$F$203, 5, FALSE)</f>
        <v>20</v>
      </c>
      <c r="I84" s="11">
        <f>VLOOKUP($B84,Vertices!$A$10:$F$203, 6, FALSE)</f>
        <v>0</v>
      </c>
      <c r="J84" s="9">
        <f>VLOOKUP($C84,Vertices!$A$10:$F$203, 3, FALSE)</f>
        <v>0</v>
      </c>
      <c r="K84" s="10">
        <f>VLOOKUP($C84,Vertices!$A$10:$F$203, 4, FALSE)</f>
        <v>40</v>
      </c>
      <c r="L84" s="10">
        <f>VLOOKUP($C84,Vertices!$A$10:$F$203, 5, FALSE)</f>
        <v>40</v>
      </c>
      <c r="M84" s="11">
        <f>VLOOKUP($C84,Vertices!$A$10:$F$203, 6, FALSE)</f>
        <v>0</v>
      </c>
      <c r="N84" s="9">
        <f>VLOOKUP($D84,Vertices!$A$10:$F$203, 3, FALSE)</f>
        <v>0</v>
      </c>
      <c r="O84" s="10">
        <f>VLOOKUP($D84,Vertices!$A$10:$F$203, 4, FALSE)</f>
        <v>70</v>
      </c>
      <c r="P84" s="10">
        <f>VLOOKUP($D84,Vertices!$A$10:$F$203, 5, FALSE)</f>
        <v>40</v>
      </c>
      <c r="Q84" s="11">
        <f>VLOOKUP($D84,Vertices!$A$10:$F$203, 6, FALSE)</f>
        <v>0</v>
      </c>
    </row>
    <row r="85" spans="1:17" x14ac:dyDescent="0.25">
      <c r="A85">
        <v>75</v>
      </c>
      <c r="B85">
        <v>62</v>
      </c>
      <c r="C85">
        <v>74</v>
      </c>
      <c r="D85">
        <v>63</v>
      </c>
      <c r="F85" s="9">
        <f>VLOOKUP($B85,Vertices!$A$10:$F$203, 3, FALSE)</f>
        <v>0</v>
      </c>
      <c r="G85" s="10">
        <f>VLOOKUP($B85,Vertices!$A$10:$F$203, 4, FALSE)</f>
        <v>40</v>
      </c>
      <c r="H85" s="10">
        <f>VLOOKUP($B85,Vertices!$A$10:$F$203, 5, FALSE)</f>
        <v>40</v>
      </c>
      <c r="I85" s="11">
        <f>VLOOKUP($B85,Vertices!$A$10:$F$203, 6, FALSE)</f>
        <v>0</v>
      </c>
      <c r="J85" s="9">
        <f>VLOOKUP($C85,Vertices!$A$10:$F$203, 3, FALSE)</f>
        <v>0</v>
      </c>
      <c r="K85" s="10">
        <f>VLOOKUP($C85,Vertices!$A$10:$F$203, 4, FALSE)</f>
        <v>70</v>
      </c>
      <c r="L85" s="10">
        <f>VLOOKUP($C85,Vertices!$A$10:$F$203, 5, FALSE)</f>
        <v>70</v>
      </c>
      <c r="M85" s="11">
        <f>VLOOKUP($C85,Vertices!$A$10:$F$203, 6, FALSE)</f>
        <v>0</v>
      </c>
      <c r="N85" s="9">
        <f>VLOOKUP($D85,Vertices!$A$10:$F$203, 3, FALSE)</f>
        <v>0</v>
      </c>
      <c r="O85" s="10">
        <f>VLOOKUP($D85,Vertices!$A$10:$F$203, 4, FALSE)</f>
        <v>70</v>
      </c>
      <c r="P85" s="10">
        <f>VLOOKUP($D85,Vertices!$A$10:$F$203, 5, FALSE)</f>
        <v>40</v>
      </c>
      <c r="Q85" s="11">
        <f>VLOOKUP($D85,Vertices!$A$10:$F$203, 6, FALSE)</f>
        <v>0</v>
      </c>
    </row>
    <row r="86" spans="1:17" x14ac:dyDescent="0.25">
      <c r="A86">
        <v>76</v>
      </c>
      <c r="B86">
        <v>62</v>
      </c>
      <c r="C86">
        <v>73</v>
      </c>
      <c r="D86">
        <v>74</v>
      </c>
      <c r="F86" s="9">
        <f>VLOOKUP($B86,Vertices!$A$10:$F$203, 3, FALSE)</f>
        <v>0</v>
      </c>
      <c r="G86" s="10">
        <f>VLOOKUP($B86,Vertices!$A$10:$F$203, 4, FALSE)</f>
        <v>40</v>
      </c>
      <c r="H86" s="10">
        <f>VLOOKUP($B86,Vertices!$A$10:$F$203, 5, FALSE)</f>
        <v>40</v>
      </c>
      <c r="I86" s="11">
        <f>VLOOKUP($B86,Vertices!$A$10:$F$203, 6, FALSE)</f>
        <v>0</v>
      </c>
      <c r="J86" s="9">
        <f>VLOOKUP($C86,Vertices!$A$10:$F$203, 3, FALSE)</f>
        <v>0</v>
      </c>
      <c r="K86" s="10">
        <f>VLOOKUP($C86,Vertices!$A$10:$F$203, 4, FALSE)</f>
        <v>40</v>
      </c>
      <c r="L86" s="10">
        <f>VLOOKUP($C86,Vertices!$A$10:$F$203, 5, FALSE)</f>
        <v>70</v>
      </c>
      <c r="M86" s="11">
        <f>VLOOKUP($C86,Vertices!$A$10:$F$203, 6, FALSE)</f>
        <v>0</v>
      </c>
      <c r="N86" s="9">
        <f>VLOOKUP($D86,Vertices!$A$10:$F$203, 3, FALSE)</f>
        <v>0</v>
      </c>
      <c r="O86" s="10">
        <f>VLOOKUP($D86,Vertices!$A$10:$F$203, 4, FALSE)</f>
        <v>70</v>
      </c>
      <c r="P86" s="10">
        <f>VLOOKUP($D86,Vertices!$A$10:$F$203, 5, FALSE)</f>
        <v>70</v>
      </c>
      <c r="Q86" s="11">
        <f>VLOOKUP($D86,Vertices!$A$10:$F$203, 6, FALSE)</f>
        <v>0</v>
      </c>
    </row>
    <row r="87" spans="1:17" x14ac:dyDescent="0.25">
      <c r="A87">
        <v>77</v>
      </c>
      <c r="B87">
        <v>61</v>
      </c>
      <c r="C87">
        <v>73</v>
      </c>
      <c r="D87">
        <v>62</v>
      </c>
      <c r="F87" s="9">
        <f>VLOOKUP($B87,Vertices!$A$10:$F$203, 3, FALSE)</f>
        <v>0</v>
      </c>
      <c r="G87" s="10">
        <f>VLOOKUP($B87,Vertices!$A$10:$F$203, 4, FALSE)</f>
        <v>20</v>
      </c>
      <c r="H87" s="10">
        <f>VLOOKUP($B87,Vertices!$A$10:$F$203, 5, FALSE)</f>
        <v>40</v>
      </c>
      <c r="I87" s="11">
        <f>VLOOKUP($B87,Vertices!$A$10:$F$203, 6, FALSE)</f>
        <v>0</v>
      </c>
      <c r="J87" s="9">
        <f>VLOOKUP($C87,Vertices!$A$10:$F$203, 3, FALSE)</f>
        <v>0</v>
      </c>
      <c r="K87" s="10">
        <f>VLOOKUP($C87,Vertices!$A$10:$F$203, 4, FALSE)</f>
        <v>40</v>
      </c>
      <c r="L87" s="10">
        <f>VLOOKUP($C87,Vertices!$A$10:$F$203, 5, FALSE)</f>
        <v>70</v>
      </c>
      <c r="M87" s="11">
        <f>VLOOKUP($C87,Vertices!$A$10:$F$203, 6, FALSE)</f>
        <v>0</v>
      </c>
      <c r="N87" s="9">
        <f>VLOOKUP($D87,Vertices!$A$10:$F$203, 3, FALSE)</f>
        <v>0</v>
      </c>
      <c r="O87" s="10">
        <f>VLOOKUP($D87,Vertices!$A$10:$F$203, 4, FALSE)</f>
        <v>40</v>
      </c>
      <c r="P87" s="10">
        <f>VLOOKUP($D87,Vertices!$A$10:$F$203, 5, FALSE)</f>
        <v>40</v>
      </c>
      <c r="Q87" s="11">
        <f>VLOOKUP($D87,Vertices!$A$10:$F$203, 6, FALSE)</f>
        <v>0</v>
      </c>
    </row>
    <row r="88" spans="1:17" x14ac:dyDescent="0.25">
      <c r="A88">
        <v>78</v>
      </c>
      <c r="B88">
        <v>61</v>
      </c>
      <c r="C88">
        <v>72</v>
      </c>
      <c r="D88">
        <v>73</v>
      </c>
      <c r="F88" s="9">
        <f>VLOOKUP($B88,Vertices!$A$10:$F$203, 3, FALSE)</f>
        <v>0</v>
      </c>
      <c r="G88" s="10">
        <f>VLOOKUP($B88,Vertices!$A$10:$F$203, 4, FALSE)</f>
        <v>20</v>
      </c>
      <c r="H88" s="10">
        <f>VLOOKUP($B88,Vertices!$A$10:$F$203, 5, FALSE)</f>
        <v>40</v>
      </c>
      <c r="I88" s="11">
        <f>VLOOKUP($B88,Vertices!$A$10:$F$203, 6, FALSE)</f>
        <v>0</v>
      </c>
      <c r="J88" s="9">
        <f>VLOOKUP($C88,Vertices!$A$10:$F$203, 3, FALSE)</f>
        <v>0</v>
      </c>
      <c r="K88" s="10">
        <f>VLOOKUP($C88,Vertices!$A$10:$F$203, 4, FALSE)</f>
        <v>20</v>
      </c>
      <c r="L88" s="10">
        <f>VLOOKUP($C88,Vertices!$A$10:$F$203, 5, FALSE)</f>
        <v>70</v>
      </c>
      <c r="M88" s="11">
        <f>VLOOKUP($C88,Vertices!$A$10:$F$203, 6, FALSE)</f>
        <v>0</v>
      </c>
      <c r="N88" s="9">
        <f>VLOOKUP($D88,Vertices!$A$10:$F$203, 3, FALSE)</f>
        <v>0</v>
      </c>
      <c r="O88" s="10">
        <f>VLOOKUP($D88,Vertices!$A$10:$F$203, 4, FALSE)</f>
        <v>40</v>
      </c>
      <c r="P88" s="10">
        <f>VLOOKUP($D88,Vertices!$A$10:$F$203, 5, FALSE)</f>
        <v>70</v>
      </c>
      <c r="Q88" s="11">
        <f>VLOOKUP($D88,Vertices!$A$10:$F$203, 6, FALSE)</f>
        <v>0</v>
      </c>
    </row>
    <row r="89" spans="1:17" x14ac:dyDescent="0.25">
      <c r="A89">
        <v>79</v>
      </c>
      <c r="B89">
        <v>60</v>
      </c>
      <c r="C89">
        <v>72</v>
      </c>
      <c r="D89">
        <v>61</v>
      </c>
      <c r="F89" s="9">
        <f>VLOOKUP($B89,Vertices!$A$10:$F$203, 3, FALSE)</f>
        <v>0</v>
      </c>
      <c r="G89" s="10">
        <f>VLOOKUP($B89,Vertices!$A$10:$F$203, 4, FALSE)</f>
        <v>10</v>
      </c>
      <c r="H89" s="10">
        <f>VLOOKUP($B89,Vertices!$A$10:$F$203, 5, FALSE)</f>
        <v>40</v>
      </c>
      <c r="I89" s="11">
        <f>VLOOKUP($B89,Vertices!$A$10:$F$203, 6, FALSE)</f>
        <v>0</v>
      </c>
      <c r="J89" s="9">
        <f>VLOOKUP($C89,Vertices!$A$10:$F$203, 3, FALSE)</f>
        <v>0</v>
      </c>
      <c r="K89" s="10">
        <f>VLOOKUP($C89,Vertices!$A$10:$F$203, 4, FALSE)</f>
        <v>20</v>
      </c>
      <c r="L89" s="10">
        <f>VLOOKUP($C89,Vertices!$A$10:$F$203, 5, FALSE)</f>
        <v>70</v>
      </c>
      <c r="M89" s="11">
        <f>VLOOKUP($C89,Vertices!$A$10:$F$203, 6, FALSE)</f>
        <v>0</v>
      </c>
      <c r="N89" s="9">
        <f>VLOOKUP($D89,Vertices!$A$10:$F$203, 3, FALSE)</f>
        <v>0</v>
      </c>
      <c r="O89" s="10">
        <f>VLOOKUP($D89,Vertices!$A$10:$F$203, 4, FALSE)</f>
        <v>20</v>
      </c>
      <c r="P89" s="10">
        <f>VLOOKUP($D89,Vertices!$A$10:$F$203, 5, FALSE)</f>
        <v>40</v>
      </c>
      <c r="Q89" s="11">
        <f>VLOOKUP($D89,Vertices!$A$10:$F$203, 6, FALSE)</f>
        <v>0</v>
      </c>
    </row>
    <row r="90" spans="1:17" x14ac:dyDescent="0.25">
      <c r="A90">
        <v>80</v>
      </c>
      <c r="B90">
        <v>60</v>
      </c>
      <c r="C90">
        <v>71</v>
      </c>
      <c r="D90">
        <v>72</v>
      </c>
      <c r="F90" s="9">
        <f>VLOOKUP($B90,Vertices!$A$10:$F$203, 3, FALSE)</f>
        <v>0</v>
      </c>
      <c r="G90" s="10">
        <f>VLOOKUP($B90,Vertices!$A$10:$F$203, 4, FALSE)</f>
        <v>10</v>
      </c>
      <c r="H90" s="10">
        <f>VLOOKUP($B90,Vertices!$A$10:$F$203, 5, FALSE)</f>
        <v>40</v>
      </c>
      <c r="I90" s="11">
        <f>VLOOKUP($B90,Vertices!$A$10:$F$203, 6, FALSE)</f>
        <v>0</v>
      </c>
      <c r="J90" s="9">
        <f>VLOOKUP($C90,Vertices!$A$10:$F$203, 3, FALSE)</f>
        <v>0</v>
      </c>
      <c r="K90" s="10">
        <f>VLOOKUP($C90,Vertices!$A$10:$F$203, 4, FALSE)</f>
        <v>10</v>
      </c>
      <c r="L90" s="10">
        <f>VLOOKUP($C90,Vertices!$A$10:$F$203, 5, FALSE)</f>
        <v>70</v>
      </c>
      <c r="M90" s="11">
        <f>VLOOKUP($C90,Vertices!$A$10:$F$203, 6, FALSE)</f>
        <v>0</v>
      </c>
      <c r="N90" s="9">
        <f>VLOOKUP($D90,Vertices!$A$10:$F$203, 3, FALSE)</f>
        <v>0</v>
      </c>
      <c r="O90" s="10">
        <f>VLOOKUP($D90,Vertices!$A$10:$F$203, 4, FALSE)</f>
        <v>20</v>
      </c>
      <c r="P90" s="10">
        <f>VLOOKUP($D90,Vertices!$A$10:$F$203, 5, FALSE)</f>
        <v>70</v>
      </c>
      <c r="Q90" s="11">
        <f>VLOOKUP($D90,Vertices!$A$10:$F$203, 6, FALSE)</f>
        <v>0</v>
      </c>
    </row>
    <row r="91" spans="1:17" x14ac:dyDescent="0.25">
      <c r="A91">
        <v>81</v>
      </c>
      <c r="B91">
        <v>59</v>
      </c>
      <c r="C91">
        <v>71</v>
      </c>
      <c r="D91">
        <v>60</v>
      </c>
      <c r="F91" s="9">
        <f>VLOOKUP($B91,Vertices!$A$10:$F$203, 3, FALSE)</f>
        <v>0</v>
      </c>
      <c r="G91" s="10">
        <f>VLOOKUP($B91,Vertices!$A$10:$F$203, 4, FALSE)</f>
        <v>0</v>
      </c>
      <c r="H91" s="10">
        <f>VLOOKUP($B91,Vertices!$A$10:$F$203, 5, FALSE)</f>
        <v>40</v>
      </c>
      <c r="I91" s="11">
        <f>VLOOKUP($B91,Vertices!$A$10:$F$203, 6, FALSE)</f>
        <v>0</v>
      </c>
      <c r="J91" s="9">
        <f>VLOOKUP($C91,Vertices!$A$10:$F$203, 3, FALSE)</f>
        <v>0</v>
      </c>
      <c r="K91" s="10">
        <f>VLOOKUP($C91,Vertices!$A$10:$F$203, 4, FALSE)</f>
        <v>10</v>
      </c>
      <c r="L91" s="10">
        <f>VLOOKUP($C91,Vertices!$A$10:$F$203, 5, FALSE)</f>
        <v>70</v>
      </c>
      <c r="M91" s="11">
        <f>VLOOKUP($C91,Vertices!$A$10:$F$203, 6, FALSE)</f>
        <v>0</v>
      </c>
      <c r="N91" s="9">
        <f>VLOOKUP($D91,Vertices!$A$10:$F$203, 3, FALSE)</f>
        <v>0</v>
      </c>
      <c r="O91" s="10">
        <f>VLOOKUP($D91,Vertices!$A$10:$F$203, 4, FALSE)</f>
        <v>10</v>
      </c>
      <c r="P91" s="10">
        <f>VLOOKUP($D91,Vertices!$A$10:$F$203, 5, FALSE)</f>
        <v>40</v>
      </c>
      <c r="Q91" s="11">
        <f>VLOOKUP($D91,Vertices!$A$10:$F$203, 6, FALSE)</f>
        <v>0</v>
      </c>
    </row>
    <row r="92" spans="1:17" x14ac:dyDescent="0.25">
      <c r="A92">
        <v>82</v>
      </c>
      <c r="B92">
        <v>59</v>
      </c>
      <c r="C92">
        <v>70</v>
      </c>
      <c r="D92">
        <v>71</v>
      </c>
      <c r="F92" s="9">
        <f>VLOOKUP($B92,Vertices!$A$10:$F$203, 3, FALSE)</f>
        <v>0</v>
      </c>
      <c r="G92" s="10">
        <f>VLOOKUP($B92,Vertices!$A$10:$F$203, 4, FALSE)</f>
        <v>0</v>
      </c>
      <c r="H92" s="10">
        <f>VLOOKUP($B92,Vertices!$A$10:$F$203, 5, FALSE)</f>
        <v>40</v>
      </c>
      <c r="I92" s="11">
        <f>VLOOKUP($B92,Vertices!$A$10:$F$203, 6, FALSE)</f>
        <v>0</v>
      </c>
      <c r="J92" s="9">
        <f>VLOOKUP($C92,Vertices!$A$10:$F$203, 3, FALSE)</f>
        <v>0</v>
      </c>
      <c r="K92" s="10">
        <f>VLOOKUP($C92,Vertices!$A$10:$F$203, 4, FALSE)</f>
        <v>0</v>
      </c>
      <c r="L92" s="10">
        <f>VLOOKUP($C92,Vertices!$A$10:$F$203, 5, FALSE)</f>
        <v>70</v>
      </c>
      <c r="M92" s="11">
        <f>VLOOKUP($C92,Vertices!$A$10:$F$203, 6, FALSE)</f>
        <v>0</v>
      </c>
      <c r="N92" s="9">
        <f>VLOOKUP($D92,Vertices!$A$10:$F$203, 3, FALSE)</f>
        <v>0</v>
      </c>
      <c r="O92" s="10">
        <f>VLOOKUP($D92,Vertices!$A$10:$F$203, 4, FALSE)</f>
        <v>10</v>
      </c>
      <c r="P92" s="10">
        <f>VLOOKUP($D92,Vertices!$A$10:$F$203, 5, FALSE)</f>
        <v>70</v>
      </c>
      <c r="Q92" s="11">
        <f>VLOOKUP($D92,Vertices!$A$10:$F$203, 6, FALSE)</f>
        <v>0</v>
      </c>
    </row>
    <row r="93" spans="1:17" x14ac:dyDescent="0.25">
      <c r="A93">
        <v>83</v>
      </c>
      <c r="B93">
        <v>5</v>
      </c>
      <c r="C93">
        <v>42</v>
      </c>
      <c r="D93">
        <v>6</v>
      </c>
      <c r="F93" s="9">
        <f>VLOOKUP($B93,Vertices!$A$10:$F$203, 3, FALSE)</f>
        <v>0</v>
      </c>
      <c r="G93" s="10">
        <f>VLOOKUP($B93,Vertices!$A$10:$F$203, 4, FALSE)</f>
        <v>70</v>
      </c>
      <c r="H93" s="10">
        <f>VLOOKUP($B93,Vertices!$A$10:$F$203, 5, FALSE)</f>
        <v>0</v>
      </c>
      <c r="I93" s="11">
        <f>VLOOKUP($B93,Vertices!$A$10:$F$203, 6, FALSE)</f>
        <v>0</v>
      </c>
      <c r="J93" s="9">
        <f>VLOOKUP($C93,Vertices!$A$10:$F$203, 3, FALSE)</f>
        <v>0</v>
      </c>
      <c r="K93" s="10">
        <f>VLOOKUP($C93,Vertices!$A$10:$F$203, 4, FALSE)</f>
        <v>100</v>
      </c>
      <c r="L93" s="10">
        <f>VLOOKUP($C93,Vertices!$A$10:$F$203, 5, FALSE)</f>
        <v>10</v>
      </c>
      <c r="M93" s="11">
        <f>VLOOKUP($C93,Vertices!$A$10:$F$203, 6, FALSE)</f>
        <v>0</v>
      </c>
      <c r="N93" s="9">
        <f>VLOOKUP($D93,Vertices!$A$10:$F$203, 3, FALSE)</f>
        <v>0</v>
      </c>
      <c r="O93" s="10">
        <f>VLOOKUP($D93,Vertices!$A$10:$F$203, 4, FALSE)</f>
        <v>100</v>
      </c>
      <c r="P93" s="10">
        <f>VLOOKUP($D93,Vertices!$A$10:$F$203, 5, FALSE)</f>
        <v>0</v>
      </c>
      <c r="Q93" s="11">
        <f>VLOOKUP($D93,Vertices!$A$10:$F$203, 6, FALSE)</f>
        <v>0</v>
      </c>
    </row>
    <row r="94" spans="1:17" x14ac:dyDescent="0.25">
      <c r="A94">
        <v>84</v>
      </c>
      <c r="B94">
        <v>5</v>
      </c>
      <c r="C94">
        <v>41</v>
      </c>
      <c r="D94">
        <v>42</v>
      </c>
      <c r="F94" s="9">
        <f>VLOOKUP($B94,Vertices!$A$10:$F$203, 3, FALSE)</f>
        <v>0</v>
      </c>
      <c r="G94" s="10">
        <f>VLOOKUP($B94,Vertices!$A$10:$F$203, 4, FALSE)</f>
        <v>70</v>
      </c>
      <c r="H94" s="10">
        <f>VLOOKUP($B94,Vertices!$A$10:$F$203, 5, FALSE)</f>
        <v>0</v>
      </c>
      <c r="I94" s="11">
        <f>VLOOKUP($B94,Vertices!$A$10:$F$203, 6, FALSE)</f>
        <v>0</v>
      </c>
      <c r="J94" s="9">
        <f>VLOOKUP($C94,Vertices!$A$10:$F$203, 3, FALSE)</f>
        <v>0</v>
      </c>
      <c r="K94" s="10">
        <f>VLOOKUP($C94,Vertices!$A$10:$F$203, 4, FALSE)</f>
        <v>70</v>
      </c>
      <c r="L94" s="10">
        <f>VLOOKUP($C94,Vertices!$A$10:$F$203, 5, FALSE)</f>
        <v>10</v>
      </c>
      <c r="M94" s="11">
        <f>VLOOKUP($C94,Vertices!$A$10:$F$203, 6, FALSE)</f>
        <v>0</v>
      </c>
      <c r="N94" s="9">
        <f>VLOOKUP($D94,Vertices!$A$10:$F$203, 3, FALSE)</f>
        <v>0</v>
      </c>
      <c r="O94" s="10">
        <f>VLOOKUP($D94,Vertices!$A$10:$F$203, 4, FALSE)</f>
        <v>100</v>
      </c>
      <c r="P94" s="10">
        <f>VLOOKUP($D94,Vertices!$A$10:$F$203, 5, FALSE)</f>
        <v>10</v>
      </c>
      <c r="Q94" s="11">
        <f>VLOOKUP($D94,Vertices!$A$10:$F$203, 6, FALSE)</f>
        <v>0</v>
      </c>
    </row>
    <row r="95" spans="1:17" x14ac:dyDescent="0.25">
      <c r="A95">
        <v>85</v>
      </c>
      <c r="B95">
        <v>41</v>
      </c>
      <c r="C95">
        <v>53</v>
      </c>
      <c r="D95">
        <v>42</v>
      </c>
      <c r="F95" s="9">
        <f>VLOOKUP($B95,Vertices!$A$10:$F$203, 3, FALSE)</f>
        <v>0</v>
      </c>
      <c r="G95" s="10">
        <f>VLOOKUP($B95,Vertices!$A$10:$F$203, 4, FALSE)</f>
        <v>70</v>
      </c>
      <c r="H95" s="10">
        <f>VLOOKUP($B95,Vertices!$A$10:$F$203, 5, FALSE)</f>
        <v>10</v>
      </c>
      <c r="I95" s="11">
        <f>VLOOKUP($B95,Vertices!$A$10:$F$203, 6, FALSE)</f>
        <v>0</v>
      </c>
      <c r="J95" s="9">
        <f>VLOOKUP($C95,Vertices!$A$10:$F$203, 3, FALSE)</f>
        <v>0</v>
      </c>
      <c r="K95" s="10">
        <f>VLOOKUP($C95,Vertices!$A$10:$F$203, 4, FALSE)</f>
        <v>100</v>
      </c>
      <c r="L95" s="10">
        <f>VLOOKUP($C95,Vertices!$A$10:$F$203, 5, FALSE)</f>
        <v>20</v>
      </c>
      <c r="M95" s="11">
        <f>VLOOKUP($C95,Vertices!$A$10:$F$203, 6, FALSE)</f>
        <v>0</v>
      </c>
      <c r="N95" s="9">
        <f>VLOOKUP($D95,Vertices!$A$10:$F$203, 3, FALSE)</f>
        <v>0</v>
      </c>
      <c r="O95" s="10">
        <f>VLOOKUP($D95,Vertices!$A$10:$F$203, 4, FALSE)</f>
        <v>100</v>
      </c>
      <c r="P95" s="10">
        <f>VLOOKUP($D95,Vertices!$A$10:$F$203, 5, FALSE)</f>
        <v>10</v>
      </c>
      <c r="Q95" s="11">
        <f>VLOOKUP($D95,Vertices!$A$10:$F$203, 6, FALSE)</f>
        <v>0</v>
      </c>
    </row>
    <row r="96" spans="1:17" x14ac:dyDescent="0.25">
      <c r="A96">
        <v>86</v>
      </c>
      <c r="B96">
        <v>41</v>
      </c>
      <c r="C96">
        <v>52</v>
      </c>
      <c r="D96">
        <v>53</v>
      </c>
      <c r="F96" s="9">
        <f>VLOOKUP($B96,Vertices!$A$10:$F$203, 3, FALSE)</f>
        <v>0</v>
      </c>
      <c r="G96" s="10">
        <f>VLOOKUP($B96,Vertices!$A$10:$F$203, 4, FALSE)</f>
        <v>70</v>
      </c>
      <c r="H96" s="10">
        <f>VLOOKUP($B96,Vertices!$A$10:$F$203, 5, FALSE)</f>
        <v>10</v>
      </c>
      <c r="I96" s="11">
        <f>VLOOKUP($B96,Vertices!$A$10:$F$203, 6, FALSE)</f>
        <v>0</v>
      </c>
      <c r="J96" s="9">
        <f>VLOOKUP($C96,Vertices!$A$10:$F$203, 3, FALSE)</f>
        <v>0</v>
      </c>
      <c r="K96" s="10">
        <f>VLOOKUP($C96,Vertices!$A$10:$F$203, 4, FALSE)</f>
        <v>70</v>
      </c>
      <c r="L96" s="10">
        <f>VLOOKUP($C96,Vertices!$A$10:$F$203, 5, FALSE)</f>
        <v>20</v>
      </c>
      <c r="M96" s="11">
        <f>VLOOKUP($C96,Vertices!$A$10:$F$203, 6, FALSE)</f>
        <v>0</v>
      </c>
      <c r="N96" s="9">
        <f>VLOOKUP($D96,Vertices!$A$10:$F$203, 3, FALSE)</f>
        <v>0</v>
      </c>
      <c r="O96" s="10">
        <f>VLOOKUP($D96,Vertices!$A$10:$F$203, 4, FALSE)</f>
        <v>100</v>
      </c>
      <c r="P96" s="10">
        <f>VLOOKUP($D96,Vertices!$A$10:$F$203, 5, FALSE)</f>
        <v>20</v>
      </c>
      <c r="Q96" s="11">
        <f>VLOOKUP($D96,Vertices!$A$10:$F$203, 6, FALSE)</f>
        <v>0</v>
      </c>
    </row>
    <row r="97" spans="1:17" x14ac:dyDescent="0.25">
      <c r="A97">
        <v>87</v>
      </c>
      <c r="B97">
        <v>52</v>
      </c>
      <c r="C97">
        <v>64</v>
      </c>
      <c r="D97">
        <v>53</v>
      </c>
      <c r="F97" s="9">
        <f>VLOOKUP($B97,Vertices!$A$10:$F$203, 3, FALSE)</f>
        <v>0</v>
      </c>
      <c r="G97" s="10">
        <f>VLOOKUP($B97,Vertices!$A$10:$F$203, 4, FALSE)</f>
        <v>70</v>
      </c>
      <c r="H97" s="10">
        <f>VLOOKUP($B97,Vertices!$A$10:$F$203, 5, FALSE)</f>
        <v>20</v>
      </c>
      <c r="I97" s="11">
        <f>VLOOKUP($B97,Vertices!$A$10:$F$203, 6, FALSE)</f>
        <v>0</v>
      </c>
      <c r="J97" s="9">
        <f>VLOOKUP($C97,Vertices!$A$10:$F$203, 3, FALSE)</f>
        <v>0</v>
      </c>
      <c r="K97" s="10">
        <f>VLOOKUP($C97,Vertices!$A$10:$F$203, 4, FALSE)</f>
        <v>100</v>
      </c>
      <c r="L97" s="10">
        <f>VLOOKUP($C97,Vertices!$A$10:$F$203, 5, FALSE)</f>
        <v>40</v>
      </c>
      <c r="M97" s="11">
        <f>VLOOKUP($C97,Vertices!$A$10:$F$203, 6, FALSE)</f>
        <v>0</v>
      </c>
      <c r="N97" s="9">
        <f>VLOOKUP($D97,Vertices!$A$10:$F$203, 3, FALSE)</f>
        <v>0</v>
      </c>
      <c r="O97" s="10">
        <f>VLOOKUP($D97,Vertices!$A$10:$F$203, 4, FALSE)</f>
        <v>100</v>
      </c>
      <c r="P97" s="10">
        <f>VLOOKUP($D97,Vertices!$A$10:$F$203, 5, FALSE)</f>
        <v>20</v>
      </c>
      <c r="Q97" s="11">
        <f>VLOOKUP($D97,Vertices!$A$10:$F$203, 6, FALSE)</f>
        <v>0</v>
      </c>
    </row>
    <row r="98" spans="1:17" x14ac:dyDescent="0.25">
      <c r="A98">
        <v>88</v>
      </c>
      <c r="B98">
        <v>52</v>
      </c>
      <c r="C98">
        <v>63</v>
      </c>
      <c r="D98">
        <v>64</v>
      </c>
      <c r="F98" s="9">
        <f>VLOOKUP($B98,Vertices!$A$10:$F$203, 3, FALSE)</f>
        <v>0</v>
      </c>
      <c r="G98" s="10">
        <f>VLOOKUP($B98,Vertices!$A$10:$F$203, 4, FALSE)</f>
        <v>70</v>
      </c>
      <c r="H98" s="10">
        <f>VLOOKUP($B98,Vertices!$A$10:$F$203, 5, FALSE)</f>
        <v>20</v>
      </c>
      <c r="I98" s="11">
        <f>VLOOKUP($B98,Vertices!$A$10:$F$203, 6, FALSE)</f>
        <v>0</v>
      </c>
      <c r="J98" s="9">
        <f>VLOOKUP($C98,Vertices!$A$10:$F$203, 3, FALSE)</f>
        <v>0</v>
      </c>
      <c r="K98" s="10">
        <f>VLOOKUP($C98,Vertices!$A$10:$F$203, 4, FALSE)</f>
        <v>70</v>
      </c>
      <c r="L98" s="10">
        <f>VLOOKUP($C98,Vertices!$A$10:$F$203, 5, FALSE)</f>
        <v>40</v>
      </c>
      <c r="M98" s="11">
        <f>VLOOKUP($C98,Vertices!$A$10:$F$203, 6, FALSE)</f>
        <v>0</v>
      </c>
      <c r="N98" s="9">
        <f>VLOOKUP($D98,Vertices!$A$10:$F$203, 3, FALSE)</f>
        <v>0</v>
      </c>
      <c r="O98" s="10">
        <f>VLOOKUP($D98,Vertices!$A$10:$F$203, 4, FALSE)</f>
        <v>100</v>
      </c>
      <c r="P98" s="10">
        <f>VLOOKUP($D98,Vertices!$A$10:$F$203, 5, FALSE)</f>
        <v>40</v>
      </c>
      <c r="Q98" s="11">
        <f>VLOOKUP($D98,Vertices!$A$10:$F$203, 6, FALSE)</f>
        <v>0</v>
      </c>
    </row>
    <row r="99" spans="1:17" x14ac:dyDescent="0.25">
      <c r="A99">
        <v>89</v>
      </c>
      <c r="B99">
        <v>63</v>
      </c>
      <c r="C99">
        <v>75</v>
      </c>
      <c r="D99">
        <v>64</v>
      </c>
      <c r="F99" s="9">
        <f>VLOOKUP($B99,Vertices!$A$10:$F$203, 3, FALSE)</f>
        <v>0</v>
      </c>
      <c r="G99" s="10">
        <f>VLOOKUP($B99,Vertices!$A$10:$F$203, 4, FALSE)</f>
        <v>70</v>
      </c>
      <c r="H99" s="10">
        <f>VLOOKUP($B99,Vertices!$A$10:$F$203, 5, FALSE)</f>
        <v>40</v>
      </c>
      <c r="I99" s="11">
        <f>VLOOKUP($B99,Vertices!$A$10:$F$203, 6, FALSE)</f>
        <v>0</v>
      </c>
      <c r="J99" s="9">
        <f>VLOOKUP($C99,Vertices!$A$10:$F$203, 3, FALSE)</f>
        <v>0</v>
      </c>
      <c r="K99" s="10">
        <f>VLOOKUP($C99,Vertices!$A$10:$F$203, 4, FALSE)</f>
        <v>100</v>
      </c>
      <c r="L99" s="10">
        <f>VLOOKUP($C99,Vertices!$A$10:$F$203, 5, FALSE)</f>
        <v>70</v>
      </c>
      <c r="M99" s="11">
        <f>VLOOKUP($C99,Vertices!$A$10:$F$203, 6, FALSE)</f>
        <v>0</v>
      </c>
      <c r="N99" s="9">
        <f>VLOOKUP($D99,Vertices!$A$10:$F$203, 3, FALSE)</f>
        <v>0</v>
      </c>
      <c r="O99" s="10">
        <f>VLOOKUP($D99,Vertices!$A$10:$F$203, 4, FALSE)</f>
        <v>100</v>
      </c>
      <c r="P99" s="10">
        <f>VLOOKUP($D99,Vertices!$A$10:$F$203, 5, FALSE)</f>
        <v>40</v>
      </c>
      <c r="Q99" s="11">
        <f>VLOOKUP($D99,Vertices!$A$10:$F$203, 6, FALSE)</f>
        <v>0</v>
      </c>
    </row>
    <row r="100" spans="1:17" x14ac:dyDescent="0.25">
      <c r="A100">
        <v>90</v>
      </c>
      <c r="B100">
        <v>63</v>
      </c>
      <c r="C100">
        <v>74</v>
      </c>
      <c r="D100">
        <v>75</v>
      </c>
      <c r="F100" s="9">
        <f>VLOOKUP($B100,Vertices!$A$10:$F$203, 3, FALSE)</f>
        <v>0</v>
      </c>
      <c r="G100" s="10">
        <f>VLOOKUP($B100,Vertices!$A$10:$F$203, 4, FALSE)</f>
        <v>70</v>
      </c>
      <c r="H100" s="10">
        <f>VLOOKUP($B100,Vertices!$A$10:$F$203, 5, FALSE)</f>
        <v>40</v>
      </c>
      <c r="I100" s="11">
        <f>VLOOKUP($B100,Vertices!$A$10:$F$203, 6, FALSE)</f>
        <v>0</v>
      </c>
      <c r="J100" s="9">
        <f>VLOOKUP($C100,Vertices!$A$10:$F$203, 3, FALSE)</f>
        <v>0</v>
      </c>
      <c r="K100" s="10">
        <f>VLOOKUP($C100,Vertices!$A$10:$F$203, 4, FALSE)</f>
        <v>70</v>
      </c>
      <c r="L100" s="10">
        <f>VLOOKUP($C100,Vertices!$A$10:$F$203, 5, FALSE)</f>
        <v>70</v>
      </c>
      <c r="M100" s="11">
        <f>VLOOKUP($C100,Vertices!$A$10:$F$203, 6, FALSE)</f>
        <v>0</v>
      </c>
      <c r="N100" s="9">
        <f>VLOOKUP($D100,Vertices!$A$10:$F$203, 3, FALSE)</f>
        <v>0</v>
      </c>
      <c r="O100" s="10">
        <f>VLOOKUP($D100,Vertices!$A$10:$F$203, 4, FALSE)</f>
        <v>100</v>
      </c>
      <c r="P100" s="10">
        <f>VLOOKUP($D100,Vertices!$A$10:$F$203, 5, FALSE)</f>
        <v>70</v>
      </c>
      <c r="Q100" s="11">
        <f>VLOOKUP($D100,Vertices!$A$10:$F$203, 6, FALSE)</f>
        <v>0</v>
      </c>
    </row>
    <row r="101" spans="1:17" x14ac:dyDescent="0.25">
      <c r="A101">
        <v>91</v>
      </c>
      <c r="B101">
        <v>74</v>
      </c>
      <c r="C101">
        <v>86</v>
      </c>
      <c r="D101">
        <v>75</v>
      </c>
      <c r="F101" s="9">
        <f>VLOOKUP($B101,Vertices!$A$10:$F$203, 3, FALSE)</f>
        <v>0</v>
      </c>
      <c r="G101" s="10">
        <f>VLOOKUP($B101,Vertices!$A$10:$F$203, 4, FALSE)</f>
        <v>70</v>
      </c>
      <c r="H101" s="10">
        <f>VLOOKUP($B101,Vertices!$A$10:$F$203, 5, FALSE)</f>
        <v>70</v>
      </c>
      <c r="I101" s="11">
        <f>VLOOKUP($B101,Vertices!$A$10:$F$203, 6, FALSE)</f>
        <v>0</v>
      </c>
      <c r="J101" s="9">
        <f>VLOOKUP($C101,Vertices!$A$10:$F$203, 3, FALSE)</f>
        <v>0</v>
      </c>
      <c r="K101" s="10">
        <f>VLOOKUP($C101,Vertices!$A$10:$F$203, 4, FALSE)</f>
        <v>100</v>
      </c>
      <c r="L101" s="10">
        <f>VLOOKUP($C101,Vertices!$A$10:$F$203, 5, FALSE)</f>
        <v>100</v>
      </c>
      <c r="M101" s="11">
        <f>VLOOKUP($C101,Vertices!$A$10:$F$203, 6, FALSE)</f>
        <v>0</v>
      </c>
      <c r="N101" s="9">
        <f>VLOOKUP($D101,Vertices!$A$10:$F$203, 3, FALSE)</f>
        <v>0</v>
      </c>
      <c r="O101" s="10">
        <f>VLOOKUP($D101,Vertices!$A$10:$F$203, 4, FALSE)</f>
        <v>100</v>
      </c>
      <c r="P101" s="10">
        <f>VLOOKUP($D101,Vertices!$A$10:$F$203, 5, FALSE)</f>
        <v>70</v>
      </c>
      <c r="Q101" s="11">
        <f>VLOOKUP($D101,Vertices!$A$10:$F$203, 6, FALSE)</f>
        <v>0</v>
      </c>
    </row>
    <row r="102" spans="1:17" x14ac:dyDescent="0.25">
      <c r="A102">
        <v>92</v>
      </c>
      <c r="B102">
        <v>74</v>
      </c>
      <c r="C102">
        <v>85</v>
      </c>
      <c r="D102">
        <v>86</v>
      </c>
      <c r="F102" s="9">
        <f>VLOOKUP($B102,Vertices!$A$10:$F$203, 3, FALSE)</f>
        <v>0</v>
      </c>
      <c r="G102" s="10">
        <f>VLOOKUP($B102,Vertices!$A$10:$F$203, 4, FALSE)</f>
        <v>70</v>
      </c>
      <c r="H102" s="10">
        <f>VLOOKUP($B102,Vertices!$A$10:$F$203, 5, FALSE)</f>
        <v>70</v>
      </c>
      <c r="I102" s="11">
        <f>VLOOKUP($B102,Vertices!$A$10:$F$203, 6, FALSE)</f>
        <v>0</v>
      </c>
      <c r="J102" s="9">
        <f>VLOOKUP($C102,Vertices!$A$10:$F$203, 3, FALSE)</f>
        <v>0</v>
      </c>
      <c r="K102" s="10">
        <f>VLOOKUP($C102,Vertices!$A$10:$F$203, 4, FALSE)</f>
        <v>70</v>
      </c>
      <c r="L102" s="10">
        <f>VLOOKUP($C102,Vertices!$A$10:$F$203, 5, FALSE)</f>
        <v>100</v>
      </c>
      <c r="M102" s="11">
        <f>VLOOKUP($C102,Vertices!$A$10:$F$203, 6, FALSE)</f>
        <v>0</v>
      </c>
      <c r="N102" s="9">
        <f>VLOOKUP($D102,Vertices!$A$10:$F$203, 3, FALSE)</f>
        <v>0</v>
      </c>
      <c r="O102" s="10">
        <f>VLOOKUP($D102,Vertices!$A$10:$F$203, 4, FALSE)</f>
        <v>100</v>
      </c>
      <c r="P102" s="10">
        <f>VLOOKUP($D102,Vertices!$A$10:$F$203, 5, FALSE)</f>
        <v>100</v>
      </c>
      <c r="Q102" s="11">
        <f>VLOOKUP($D102,Vertices!$A$10:$F$203, 6, FALSE)</f>
        <v>0</v>
      </c>
    </row>
    <row r="103" spans="1:17" x14ac:dyDescent="0.25">
      <c r="A103">
        <v>93</v>
      </c>
      <c r="B103">
        <v>73</v>
      </c>
      <c r="C103">
        <v>85</v>
      </c>
      <c r="D103">
        <v>74</v>
      </c>
      <c r="F103" s="9">
        <f>VLOOKUP($B103,Vertices!$A$10:$F$203, 3, FALSE)</f>
        <v>0</v>
      </c>
      <c r="G103" s="10">
        <f>VLOOKUP($B103,Vertices!$A$10:$F$203, 4, FALSE)</f>
        <v>40</v>
      </c>
      <c r="H103" s="10">
        <f>VLOOKUP($B103,Vertices!$A$10:$F$203, 5, FALSE)</f>
        <v>70</v>
      </c>
      <c r="I103" s="11">
        <f>VLOOKUP($B103,Vertices!$A$10:$F$203, 6, FALSE)</f>
        <v>0</v>
      </c>
      <c r="J103" s="9">
        <f>VLOOKUP($C103,Vertices!$A$10:$F$203, 3, FALSE)</f>
        <v>0</v>
      </c>
      <c r="K103" s="10">
        <f>VLOOKUP($C103,Vertices!$A$10:$F$203, 4, FALSE)</f>
        <v>70</v>
      </c>
      <c r="L103" s="10">
        <f>VLOOKUP($C103,Vertices!$A$10:$F$203, 5, FALSE)</f>
        <v>100</v>
      </c>
      <c r="M103" s="11">
        <f>VLOOKUP($C103,Vertices!$A$10:$F$203, 6, FALSE)</f>
        <v>0</v>
      </c>
      <c r="N103" s="9">
        <f>VLOOKUP($D103,Vertices!$A$10:$F$203, 3, FALSE)</f>
        <v>0</v>
      </c>
      <c r="O103" s="10">
        <f>VLOOKUP($D103,Vertices!$A$10:$F$203, 4, FALSE)</f>
        <v>70</v>
      </c>
      <c r="P103" s="10">
        <f>VLOOKUP($D103,Vertices!$A$10:$F$203, 5, FALSE)</f>
        <v>70</v>
      </c>
      <c r="Q103" s="11">
        <f>VLOOKUP($D103,Vertices!$A$10:$F$203, 6, FALSE)</f>
        <v>0</v>
      </c>
    </row>
    <row r="104" spans="1:17" x14ac:dyDescent="0.25">
      <c r="A104">
        <v>94</v>
      </c>
      <c r="B104">
        <v>73</v>
      </c>
      <c r="C104">
        <v>84</v>
      </c>
      <c r="D104">
        <v>85</v>
      </c>
      <c r="F104" s="9">
        <f>VLOOKUP($B104,Vertices!$A$10:$F$203, 3, FALSE)</f>
        <v>0</v>
      </c>
      <c r="G104" s="10">
        <f>VLOOKUP($B104,Vertices!$A$10:$F$203, 4, FALSE)</f>
        <v>40</v>
      </c>
      <c r="H104" s="10">
        <f>VLOOKUP($B104,Vertices!$A$10:$F$203, 5, FALSE)</f>
        <v>70</v>
      </c>
      <c r="I104" s="11">
        <f>VLOOKUP($B104,Vertices!$A$10:$F$203, 6, FALSE)</f>
        <v>0</v>
      </c>
      <c r="J104" s="9">
        <f>VLOOKUP($C104,Vertices!$A$10:$F$203, 3, FALSE)</f>
        <v>0</v>
      </c>
      <c r="K104" s="10">
        <f>VLOOKUP($C104,Vertices!$A$10:$F$203, 4, FALSE)</f>
        <v>40</v>
      </c>
      <c r="L104" s="10">
        <f>VLOOKUP($C104,Vertices!$A$10:$F$203, 5, FALSE)</f>
        <v>100</v>
      </c>
      <c r="M104" s="11">
        <f>VLOOKUP($C104,Vertices!$A$10:$F$203, 6, FALSE)</f>
        <v>0</v>
      </c>
      <c r="N104" s="9">
        <f>VLOOKUP($D104,Vertices!$A$10:$F$203, 3, FALSE)</f>
        <v>0</v>
      </c>
      <c r="O104" s="10">
        <f>VLOOKUP($D104,Vertices!$A$10:$F$203, 4, FALSE)</f>
        <v>70</v>
      </c>
      <c r="P104" s="10">
        <f>VLOOKUP($D104,Vertices!$A$10:$F$203, 5, FALSE)</f>
        <v>100</v>
      </c>
      <c r="Q104" s="11">
        <f>VLOOKUP($D104,Vertices!$A$10:$F$203, 6, FALSE)</f>
        <v>0</v>
      </c>
    </row>
    <row r="105" spans="1:17" x14ac:dyDescent="0.25">
      <c r="A105">
        <v>95</v>
      </c>
      <c r="B105">
        <v>72</v>
      </c>
      <c r="C105">
        <v>84</v>
      </c>
      <c r="D105">
        <v>73</v>
      </c>
      <c r="F105" s="9">
        <f>VLOOKUP($B105,Vertices!$A$10:$F$203, 3, FALSE)</f>
        <v>0</v>
      </c>
      <c r="G105" s="10">
        <f>VLOOKUP($B105,Vertices!$A$10:$F$203, 4, FALSE)</f>
        <v>20</v>
      </c>
      <c r="H105" s="10">
        <f>VLOOKUP($B105,Vertices!$A$10:$F$203, 5, FALSE)</f>
        <v>70</v>
      </c>
      <c r="I105" s="11">
        <f>VLOOKUP($B105,Vertices!$A$10:$F$203, 6, FALSE)</f>
        <v>0</v>
      </c>
      <c r="J105" s="9">
        <f>VLOOKUP($C105,Vertices!$A$10:$F$203, 3, FALSE)</f>
        <v>0</v>
      </c>
      <c r="K105" s="10">
        <f>VLOOKUP($C105,Vertices!$A$10:$F$203, 4, FALSE)</f>
        <v>40</v>
      </c>
      <c r="L105" s="10">
        <f>VLOOKUP($C105,Vertices!$A$10:$F$203, 5, FALSE)</f>
        <v>100</v>
      </c>
      <c r="M105" s="11">
        <f>VLOOKUP($C105,Vertices!$A$10:$F$203, 6, FALSE)</f>
        <v>0</v>
      </c>
      <c r="N105" s="9">
        <f>VLOOKUP($D105,Vertices!$A$10:$F$203, 3, FALSE)</f>
        <v>0</v>
      </c>
      <c r="O105" s="10">
        <f>VLOOKUP($D105,Vertices!$A$10:$F$203, 4, FALSE)</f>
        <v>40</v>
      </c>
      <c r="P105" s="10">
        <f>VLOOKUP($D105,Vertices!$A$10:$F$203, 5, FALSE)</f>
        <v>70</v>
      </c>
      <c r="Q105" s="11">
        <f>VLOOKUP($D105,Vertices!$A$10:$F$203, 6, FALSE)</f>
        <v>0</v>
      </c>
    </row>
    <row r="106" spans="1:17" x14ac:dyDescent="0.25">
      <c r="A106">
        <v>96</v>
      </c>
      <c r="B106">
        <v>72</v>
      </c>
      <c r="C106">
        <v>83</v>
      </c>
      <c r="D106">
        <v>84</v>
      </c>
      <c r="F106" s="9">
        <f>VLOOKUP($B106,Vertices!$A$10:$F$203, 3, FALSE)</f>
        <v>0</v>
      </c>
      <c r="G106" s="10">
        <f>VLOOKUP($B106,Vertices!$A$10:$F$203, 4, FALSE)</f>
        <v>20</v>
      </c>
      <c r="H106" s="10">
        <f>VLOOKUP($B106,Vertices!$A$10:$F$203, 5, FALSE)</f>
        <v>70</v>
      </c>
      <c r="I106" s="11">
        <f>VLOOKUP($B106,Vertices!$A$10:$F$203, 6, FALSE)</f>
        <v>0</v>
      </c>
      <c r="J106" s="9">
        <f>VLOOKUP($C106,Vertices!$A$10:$F$203, 3, FALSE)</f>
        <v>0</v>
      </c>
      <c r="K106" s="10">
        <f>VLOOKUP($C106,Vertices!$A$10:$F$203, 4, FALSE)</f>
        <v>20</v>
      </c>
      <c r="L106" s="10">
        <f>VLOOKUP($C106,Vertices!$A$10:$F$203, 5, FALSE)</f>
        <v>100</v>
      </c>
      <c r="M106" s="11">
        <f>VLOOKUP($C106,Vertices!$A$10:$F$203, 6, FALSE)</f>
        <v>0</v>
      </c>
      <c r="N106" s="9">
        <f>VLOOKUP($D106,Vertices!$A$10:$F$203, 3, FALSE)</f>
        <v>0</v>
      </c>
      <c r="O106" s="10">
        <f>VLOOKUP($D106,Vertices!$A$10:$F$203, 4, FALSE)</f>
        <v>40</v>
      </c>
      <c r="P106" s="10">
        <f>VLOOKUP($D106,Vertices!$A$10:$F$203, 5, FALSE)</f>
        <v>100</v>
      </c>
      <c r="Q106" s="11">
        <f>VLOOKUP($D106,Vertices!$A$10:$F$203, 6, FALSE)</f>
        <v>0</v>
      </c>
    </row>
    <row r="107" spans="1:17" x14ac:dyDescent="0.25">
      <c r="A107">
        <v>97</v>
      </c>
      <c r="B107">
        <v>71</v>
      </c>
      <c r="C107">
        <v>83</v>
      </c>
      <c r="D107">
        <v>72</v>
      </c>
      <c r="F107" s="9">
        <f>VLOOKUP($B107,Vertices!$A$10:$F$203, 3, FALSE)</f>
        <v>0</v>
      </c>
      <c r="G107" s="10">
        <f>VLOOKUP($B107,Vertices!$A$10:$F$203, 4, FALSE)</f>
        <v>10</v>
      </c>
      <c r="H107" s="10">
        <f>VLOOKUP($B107,Vertices!$A$10:$F$203, 5, FALSE)</f>
        <v>70</v>
      </c>
      <c r="I107" s="11">
        <f>VLOOKUP($B107,Vertices!$A$10:$F$203, 6, FALSE)</f>
        <v>0</v>
      </c>
      <c r="J107" s="9">
        <f>VLOOKUP($C107,Vertices!$A$10:$F$203, 3, FALSE)</f>
        <v>0</v>
      </c>
      <c r="K107" s="10">
        <f>VLOOKUP($C107,Vertices!$A$10:$F$203, 4, FALSE)</f>
        <v>20</v>
      </c>
      <c r="L107" s="10">
        <f>VLOOKUP($C107,Vertices!$A$10:$F$203, 5, FALSE)</f>
        <v>100</v>
      </c>
      <c r="M107" s="11">
        <f>VLOOKUP($C107,Vertices!$A$10:$F$203, 6, FALSE)</f>
        <v>0</v>
      </c>
      <c r="N107" s="9">
        <f>VLOOKUP($D107,Vertices!$A$10:$F$203, 3, FALSE)</f>
        <v>0</v>
      </c>
      <c r="O107" s="10">
        <f>VLOOKUP($D107,Vertices!$A$10:$F$203, 4, FALSE)</f>
        <v>20</v>
      </c>
      <c r="P107" s="10">
        <f>VLOOKUP($D107,Vertices!$A$10:$F$203, 5, FALSE)</f>
        <v>70</v>
      </c>
      <c r="Q107" s="11">
        <f>VLOOKUP($D107,Vertices!$A$10:$F$203, 6, FALSE)</f>
        <v>0</v>
      </c>
    </row>
    <row r="108" spans="1:17" x14ac:dyDescent="0.25">
      <c r="A108">
        <v>98</v>
      </c>
      <c r="B108">
        <v>71</v>
      </c>
      <c r="C108">
        <v>82</v>
      </c>
      <c r="D108">
        <v>83</v>
      </c>
      <c r="F108" s="9">
        <f>VLOOKUP($B108,Vertices!$A$10:$F$203, 3, FALSE)</f>
        <v>0</v>
      </c>
      <c r="G108" s="10">
        <f>VLOOKUP($B108,Vertices!$A$10:$F$203, 4, FALSE)</f>
        <v>10</v>
      </c>
      <c r="H108" s="10">
        <f>VLOOKUP($B108,Vertices!$A$10:$F$203, 5, FALSE)</f>
        <v>70</v>
      </c>
      <c r="I108" s="11">
        <f>VLOOKUP($B108,Vertices!$A$10:$F$203, 6, FALSE)</f>
        <v>0</v>
      </c>
      <c r="J108" s="9">
        <f>VLOOKUP($C108,Vertices!$A$10:$F$203, 3, FALSE)</f>
        <v>0</v>
      </c>
      <c r="K108" s="10">
        <f>VLOOKUP($C108,Vertices!$A$10:$F$203, 4, FALSE)</f>
        <v>10</v>
      </c>
      <c r="L108" s="10">
        <f>VLOOKUP($C108,Vertices!$A$10:$F$203, 5, FALSE)</f>
        <v>100</v>
      </c>
      <c r="M108" s="11">
        <f>VLOOKUP($C108,Vertices!$A$10:$F$203, 6, FALSE)</f>
        <v>0</v>
      </c>
      <c r="N108" s="9">
        <f>VLOOKUP($D108,Vertices!$A$10:$F$203, 3, FALSE)</f>
        <v>0</v>
      </c>
      <c r="O108" s="10">
        <f>VLOOKUP($D108,Vertices!$A$10:$F$203, 4, FALSE)</f>
        <v>20</v>
      </c>
      <c r="P108" s="10">
        <f>VLOOKUP($D108,Vertices!$A$10:$F$203, 5, FALSE)</f>
        <v>100</v>
      </c>
      <c r="Q108" s="11">
        <f>VLOOKUP($D108,Vertices!$A$10:$F$203, 6, FALSE)</f>
        <v>0</v>
      </c>
    </row>
    <row r="109" spans="1:17" x14ac:dyDescent="0.25">
      <c r="A109">
        <v>99</v>
      </c>
      <c r="B109">
        <v>70</v>
      </c>
      <c r="C109">
        <v>82</v>
      </c>
      <c r="D109">
        <v>71</v>
      </c>
      <c r="F109" s="9">
        <f>VLOOKUP($B109,Vertices!$A$10:$F$203, 3, FALSE)</f>
        <v>0</v>
      </c>
      <c r="G109" s="10">
        <f>VLOOKUP($B109,Vertices!$A$10:$F$203, 4, FALSE)</f>
        <v>0</v>
      </c>
      <c r="H109" s="10">
        <f>VLOOKUP($B109,Vertices!$A$10:$F$203, 5, FALSE)</f>
        <v>70</v>
      </c>
      <c r="I109" s="11">
        <f>VLOOKUP($B109,Vertices!$A$10:$F$203, 6, FALSE)</f>
        <v>0</v>
      </c>
      <c r="J109" s="9">
        <f>VLOOKUP($C109,Vertices!$A$10:$F$203, 3, FALSE)</f>
        <v>0</v>
      </c>
      <c r="K109" s="10">
        <f>VLOOKUP($C109,Vertices!$A$10:$F$203, 4, FALSE)</f>
        <v>10</v>
      </c>
      <c r="L109" s="10">
        <f>VLOOKUP($C109,Vertices!$A$10:$F$203, 5, FALSE)</f>
        <v>100</v>
      </c>
      <c r="M109" s="11">
        <f>VLOOKUP($C109,Vertices!$A$10:$F$203, 6, FALSE)</f>
        <v>0</v>
      </c>
      <c r="N109" s="9">
        <f>VLOOKUP($D109,Vertices!$A$10:$F$203, 3, FALSE)</f>
        <v>0</v>
      </c>
      <c r="O109" s="10">
        <f>VLOOKUP($D109,Vertices!$A$10:$F$203, 4, FALSE)</f>
        <v>10</v>
      </c>
      <c r="P109" s="10">
        <f>VLOOKUP($D109,Vertices!$A$10:$F$203, 5, FALSE)</f>
        <v>70</v>
      </c>
      <c r="Q109" s="11">
        <f>VLOOKUP($D109,Vertices!$A$10:$F$203, 6, FALSE)</f>
        <v>0</v>
      </c>
    </row>
    <row r="110" spans="1:17" x14ac:dyDescent="0.25">
      <c r="A110">
        <v>100</v>
      </c>
      <c r="B110">
        <v>70</v>
      </c>
      <c r="C110">
        <v>81</v>
      </c>
      <c r="D110">
        <v>82</v>
      </c>
      <c r="F110" s="9">
        <f>VLOOKUP($B110,Vertices!$A$10:$F$203, 3, FALSE)</f>
        <v>0</v>
      </c>
      <c r="G110" s="10">
        <f>VLOOKUP($B110,Vertices!$A$10:$F$203, 4, FALSE)</f>
        <v>0</v>
      </c>
      <c r="H110" s="10">
        <f>VLOOKUP($B110,Vertices!$A$10:$F$203, 5, FALSE)</f>
        <v>70</v>
      </c>
      <c r="I110" s="11">
        <f>VLOOKUP($B110,Vertices!$A$10:$F$203, 6, FALSE)</f>
        <v>0</v>
      </c>
      <c r="J110" s="9">
        <f>VLOOKUP($C110,Vertices!$A$10:$F$203, 3, FALSE)</f>
        <v>0</v>
      </c>
      <c r="K110" s="10">
        <f>VLOOKUP($C110,Vertices!$A$10:$F$203, 4, FALSE)</f>
        <v>0</v>
      </c>
      <c r="L110" s="10">
        <f>VLOOKUP($C110,Vertices!$A$10:$F$203, 5, FALSE)</f>
        <v>100</v>
      </c>
      <c r="M110" s="11">
        <f>VLOOKUP($C110,Vertices!$A$10:$F$203, 6, FALSE)</f>
        <v>0</v>
      </c>
      <c r="N110" s="9">
        <f>VLOOKUP($D110,Vertices!$A$10:$F$203, 3, FALSE)</f>
        <v>0</v>
      </c>
      <c r="O110" s="10">
        <f>VLOOKUP($D110,Vertices!$A$10:$F$203, 4, FALSE)</f>
        <v>10</v>
      </c>
      <c r="P110" s="10">
        <f>VLOOKUP($D110,Vertices!$A$10:$F$203, 5, FALSE)</f>
        <v>100</v>
      </c>
      <c r="Q110" s="11">
        <f>VLOOKUP($D110,Vertices!$A$10:$F$203, 6, FALSE)</f>
        <v>0</v>
      </c>
    </row>
    <row r="111" spans="1:17" x14ac:dyDescent="0.25">
      <c r="A111">
        <v>101</v>
      </c>
      <c r="B111">
        <v>1</v>
      </c>
      <c r="C111">
        <v>7</v>
      </c>
      <c r="D111">
        <v>43</v>
      </c>
      <c r="F111" s="9">
        <f>VLOOKUP($B111,Vertices!$A$10:$F$203, 3, FALSE)</f>
        <v>0</v>
      </c>
      <c r="G111" s="10">
        <f>VLOOKUP($B111,Vertices!$A$10:$F$203, 4, FALSE)</f>
        <v>0</v>
      </c>
      <c r="H111" s="10">
        <f>VLOOKUP($B111,Vertices!$A$10:$F$203, 5, FALSE)</f>
        <v>0</v>
      </c>
      <c r="I111" s="11">
        <f>VLOOKUP($B111,Vertices!$A$10:$F$203, 6, FALSE)</f>
        <v>0</v>
      </c>
      <c r="J111" s="9">
        <f>VLOOKUP($C111,Vertices!$A$10:$F$203, 3, FALSE)</f>
        <v>10</v>
      </c>
      <c r="K111" s="10">
        <f>VLOOKUP($C111,Vertices!$A$10:$F$203, 4, FALSE)</f>
        <v>0</v>
      </c>
      <c r="L111" s="10">
        <f>VLOOKUP($C111,Vertices!$A$10:$F$203, 5, FALSE)</f>
        <v>0</v>
      </c>
      <c r="M111" s="11">
        <f>VLOOKUP($C111,Vertices!$A$10:$F$203, 6, FALSE)</f>
        <v>0</v>
      </c>
      <c r="N111" s="9">
        <f>VLOOKUP($D111,Vertices!$A$10:$F$203, 3, FALSE)</f>
        <v>10</v>
      </c>
      <c r="O111" s="10">
        <f>VLOOKUP($D111,Vertices!$A$10:$F$203, 4, FALSE)</f>
        <v>0</v>
      </c>
      <c r="P111" s="10">
        <f>VLOOKUP($D111,Vertices!$A$10:$F$203, 5, FALSE)</f>
        <v>10</v>
      </c>
      <c r="Q111" s="11">
        <f>VLOOKUP($D111,Vertices!$A$10:$F$203, 6, FALSE)</f>
        <v>0</v>
      </c>
    </row>
    <row r="112" spans="1:17" x14ac:dyDescent="0.25">
      <c r="A112">
        <v>102</v>
      </c>
      <c r="B112">
        <v>1</v>
      </c>
      <c r="C112">
        <v>43</v>
      </c>
      <c r="D112">
        <v>37</v>
      </c>
      <c r="F112" s="9">
        <f>VLOOKUP($B112,Vertices!$A$10:$F$203, 3, FALSE)</f>
        <v>0</v>
      </c>
      <c r="G112" s="10">
        <f>VLOOKUP($B112,Vertices!$A$10:$F$203, 4, FALSE)</f>
        <v>0</v>
      </c>
      <c r="H112" s="10">
        <f>VLOOKUP($B112,Vertices!$A$10:$F$203, 5, FALSE)</f>
        <v>0</v>
      </c>
      <c r="I112" s="11">
        <f>VLOOKUP($B112,Vertices!$A$10:$F$203, 6, FALSE)</f>
        <v>0</v>
      </c>
      <c r="J112" s="9">
        <f>VLOOKUP($C112,Vertices!$A$10:$F$203, 3, FALSE)</f>
        <v>10</v>
      </c>
      <c r="K112" s="10">
        <f>VLOOKUP($C112,Vertices!$A$10:$F$203, 4, FALSE)</f>
        <v>0</v>
      </c>
      <c r="L112" s="10">
        <f>VLOOKUP($C112,Vertices!$A$10:$F$203, 5, FALSE)</f>
        <v>10</v>
      </c>
      <c r="M112" s="11">
        <f>VLOOKUP($C112,Vertices!$A$10:$F$203, 6, FALSE)</f>
        <v>0</v>
      </c>
      <c r="N112" s="9">
        <f>VLOOKUP($D112,Vertices!$A$10:$F$203, 3, FALSE)</f>
        <v>0</v>
      </c>
      <c r="O112" s="10">
        <f>VLOOKUP($D112,Vertices!$A$10:$F$203, 4, FALSE)</f>
        <v>0</v>
      </c>
      <c r="P112" s="10">
        <f>VLOOKUP($D112,Vertices!$A$10:$F$203, 5, FALSE)</f>
        <v>10</v>
      </c>
      <c r="Q112" s="11">
        <f>VLOOKUP($D112,Vertices!$A$10:$F$203, 6, FALSE)</f>
        <v>0</v>
      </c>
    </row>
    <row r="113" spans="1:17" x14ac:dyDescent="0.25">
      <c r="A113">
        <v>103</v>
      </c>
      <c r="B113">
        <v>7</v>
      </c>
      <c r="C113">
        <v>13</v>
      </c>
      <c r="D113">
        <v>44</v>
      </c>
      <c r="F113" s="9">
        <f>VLOOKUP($B113,Vertices!$A$10:$F$203, 3, FALSE)</f>
        <v>10</v>
      </c>
      <c r="G113" s="10">
        <f>VLOOKUP($B113,Vertices!$A$10:$F$203, 4, FALSE)</f>
        <v>0</v>
      </c>
      <c r="H113" s="10">
        <f>VLOOKUP($B113,Vertices!$A$10:$F$203, 5, FALSE)</f>
        <v>0</v>
      </c>
      <c r="I113" s="11">
        <f>VLOOKUP($B113,Vertices!$A$10:$F$203, 6, FALSE)</f>
        <v>0</v>
      </c>
      <c r="J113" s="9">
        <f>VLOOKUP($C113,Vertices!$A$10:$F$203, 3, FALSE)</f>
        <v>20</v>
      </c>
      <c r="K113" s="10">
        <f>VLOOKUP($C113,Vertices!$A$10:$F$203, 4, FALSE)</f>
        <v>0</v>
      </c>
      <c r="L113" s="10">
        <f>VLOOKUP($C113,Vertices!$A$10:$F$203, 5, FALSE)</f>
        <v>0</v>
      </c>
      <c r="M113" s="11">
        <f>VLOOKUP($C113,Vertices!$A$10:$F$203, 6, FALSE)</f>
        <v>0</v>
      </c>
      <c r="N113" s="9">
        <f>VLOOKUP($D113,Vertices!$A$10:$F$203, 3, FALSE)</f>
        <v>20</v>
      </c>
      <c r="O113" s="10">
        <f>VLOOKUP($D113,Vertices!$A$10:$F$203, 4, FALSE)</f>
        <v>0</v>
      </c>
      <c r="P113" s="10">
        <f>VLOOKUP($D113,Vertices!$A$10:$F$203, 5, FALSE)</f>
        <v>10</v>
      </c>
      <c r="Q113" s="11">
        <f>VLOOKUP($D113,Vertices!$A$10:$F$203, 6, FALSE)</f>
        <v>0</v>
      </c>
    </row>
    <row r="114" spans="1:17" x14ac:dyDescent="0.25">
      <c r="A114">
        <v>104</v>
      </c>
      <c r="B114">
        <v>7</v>
      </c>
      <c r="C114">
        <v>44</v>
      </c>
      <c r="D114">
        <v>43</v>
      </c>
      <c r="F114" s="9">
        <f>VLOOKUP($B114,Vertices!$A$10:$F$203, 3, FALSE)</f>
        <v>10</v>
      </c>
      <c r="G114" s="10">
        <f>VLOOKUP($B114,Vertices!$A$10:$F$203, 4, FALSE)</f>
        <v>0</v>
      </c>
      <c r="H114" s="10">
        <f>VLOOKUP($B114,Vertices!$A$10:$F$203, 5, FALSE)</f>
        <v>0</v>
      </c>
      <c r="I114" s="11">
        <f>VLOOKUP($B114,Vertices!$A$10:$F$203, 6, FALSE)</f>
        <v>0</v>
      </c>
      <c r="J114" s="9">
        <f>VLOOKUP($C114,Vertices!$A$10:$F$203, 3, FALSE)</f>
        <v>20</v>
      </c>
      <c r="K114" s="10">
        <f>VLOOKUP($C114,Vertices!$A$10:$F$203, 4, FALSE)</f>
        <v>0</v>
      </c>
      <c r="L114" s="10">
        <f>VLOOKUP($C114,Vertices!$A$10:$F$203, 5, FALSE)</f>
        <v>10</v>
      </c>
      <c r="M114" s="11">
        <f>VLOOKUP($C114,Vertices!$A$10:$F$203, 6, FALSE)</f>
        <v>0</v>
      </c>
      <c r="N114" s="9">
        <f>VLOOKUP($D114,Vertices!$A$10:$F$203, 3, FALSE)</f>
        <v>10</v>
      </c>
      <c r="O114" s="10">
        <f>VLOOKUP($D114,Vertices!$A$10:$F$203, 4, FALSE)</f>
        <v>0</v>
      </c>
      <c r="P114" s="10">
        <f>VLOOKUP($D114,Vertices!$A$10:$F$203, 5, FALSE)</f>
        <v>10</v>
      </c>
      <c r="Q114" s="11">
        <f>VLOOKUP($D114,Vertices!$A$10:$F$203, 6, FALSE)</f>
        <v>0</v>
      </c>
    </row>
    <row r="115" spans="1:17" x14ac:dyDescent="0.25">
      <c r="A115">
        <v>105</v>
      </c>
      <c r="B115">
        <v>43</v>
      </c>
      <c r="C115">
        <v>44</v>
      </c>
      <c r="D115">
        <v>55</v>
      </c>
      <c r="F115" s="9">
        <f>VLOOKUP($B115,Vertices!$A$10:$F$203, 3, FALSE)</f>
        <v>10</v>
      </c>
      <c r="G115" s="10">
        <f>VLOOKUP($B115,Vertices!$A$10:$F$203, 4, FALSE)</f>
        <v>0</v>
      </c>
      <c r="H115" s="10">
        <f>VLOOKUP($B115,Vertices!$A$10:$F$203, 5, FALSE)</f>
        <v>10</v>
      </c>
      <c r="I115" s="11">
        <f>VLOOKUP($B115,Vertices!$A$10:$F$203, 6, FALSE)</f>
        <v>0</v>
      </c>
      <c r="J115" s="9">
        <f>VLOOKUP($C115,Vertices!$A$10:$F$203, 3, FALSE)</f>
        <v>20</v>
      </c>
      <c r="K115" s="10">
        <f>VLOOKUP($C115,Vertices!$A$10:$F$203, 4, FALSE)</f>
        <v>0</v>
      </c>
      <c r="L115" s="10">
        <f>VLOOKUP($C115,Vertices!$A$10:$F$203, 5, FALSE)</f>
        <v>10</v>
      </c>
      <c r="M115" s="11">
        <f>VLOOKUP($C115,Vertices!$A$10:$F$203, 6, FALSE)</f>
        <v>0</v>
      </c>
      <c r="N115" s="9">
        <f>VLOOKUP($D115,Vertices!$A$10:$F$203, 3, FALSE)</f>
        <v>20</v>
      </c>
      <c r="O115" s="10">
        <f>VLOOKUP($D115,Vertices!$A$10:$F$203, 4, FALSE)</f>
        <v>0</v>
      </c>
      <c r="P115" s="10">
        <f>VLOOKUP($D115,Vertices!$A$10:$F$203, 5, FALSE)</f>
        <v>20</v>
      </c>
      <c r="Q115" s="11">
        <f>VLOOKUP($D115,Vertices!$A$10:$F$203, 6, FALSE)</f>
        <v>0</v>
      </c>
    </row>
    <row r="116" spans="1:17" x14ac:dyDescent="0.25">
      <c r="A116">
        <v>106</v>
      </c>
      <c r="B116">
        <v>43</v>
      </c>
      <c r="C116">
        <v>55</v>
      </c>
      <c r="D116">
        <v>54</v>
      </c>
      <c r="F116" s="9">
        <f>VLOOKUP($B116,Vertices!$A$10:$F$203, 3, FALSE)</f>
        <v>10</v>
      </c>
      <c r="G116" s="10">
        <f>VLOOKUP($B116,Vertices!$A$10:$F$203, 4, FALSE)</f>
        <v>0</v>
      </c>
      <c r="H116" s="10">
        <f>VLOOKUP($B116,Vertices!$A$10:$F$203, 5, FALSE)</f>
        <v>10</v>
      </c>
      <c r="I116" s="11">
        <f>VLOOKUP($B116,Vertices!$A$10:$F$203, 6, FALSE)</f>
        <v>0</v>
      </c>
      <c r="J116" s="9">
        <f>VLOOKUP($C116,Vertices!$A$10:$F$203, 3, FALSE)</f>
        <v>20</v>
      </c>
      <c r="K116" s="10">
        <f>VLOOKUP($C116,Vertices!$A$10:$F$203, 4, FALSE)</f>
        <v>0</v>
      </c>
      <c r="L116" s="10">
        <f>VLOOKUP($C116,Vertices!$A$10:$F$203, 5, FALSE)</f>
        <v>20</v>
      </c>
      <c r="M116" s="11">
        <f>VLOOKUP($C116,Vertices!$A$10:$F$203, 6, FALSE)</f>
        <v>0</v>
      </c>
      <c r="N116" s="9">
        <f>VLOOKUP($D116,Vertices!$A$10:$F$203, 3, FALSE)</f>
        <v>10</v>
      </c>
      <c r="O116" s="10">
        <f>VLOOKUP($D116,Vertices!$A$10:$F$203, 4, FALSE)</f>
        <v>0</v>
      </c>
      <c r="P116" s="10">
        <f>VLOOKUP($D116,Vertices!$A$10:$F$203, 5, FALSE)</f>
        <v>20</v>
      </c>
      <c r="Q116" s="11">
        <f>VLOOKUP($D116,Vertices!$A$10:$F$203, 6, FALSE)</f>
        <v>0</v>
      </c>
    </row>
    <row r="117" spans="1:17" x14ac:dyDescent="0.25">
      <c r="A117">
        <v>107</v>
      </c>
      <c r="B117">
        <v>37</v>
      </c>
      <c r="C117">
        <v>43</v>
      </c>
      <c r="D117">
        <v>54</v>
      </c>
      <c r="F117" s="9">
        <f>VLOOKUP($B117,Vertices!$A$10:$F$203, 3, FALSE)</f>
        <v>0</v>
      </c>
      <c r="G117" s="10">
        <f>VLOOKUP($B117,Vertices!$A$10:$F$203, 4, FALSE)</f>
        <v>0</v>
      </c>
      <c r="H117" s="10">
        <f>VLOOKUP($B117,Vertices!$A$10:$F$203, 5, FALSE)</f>
        <v>10</v>
      </c>
      <c r="I117" s="11">
        <f>VLOOKUP($B117,Vertices!$A$10:$F$203, 6, FALSE)</f>
        <v>0</v>
      </c>
      <c r="J117" s="9">
        <f>VLOOKUP($C117,Vertices!$A$10:$F$203, 3, FALSE)</f>
        <v>10</v>
      </c>
      <c r="K117" s="10">
        <f>VLOOKUP($C117,Vertices!$A$10:$F$203, 4, FALSE)</f>
        <v>0</v>
      </c>
      <c r="L117" s="10">
        <f>VLOOKUP($C117,Vertices!$A$10:$F$203, 5, FALSE)</f>
        <v>10</v>
      </c>
      <c r="M117" s="11">
        <f>VLOOKUP($C117,Vertices!$A$10:$F$203, 6, FALSE)</f>
        <v>0</v>
      </c>
      <c r="N117" s="9">
        <f>VLOOKUP($D117,Vertices!$A$10:$F$203, 3, FALSE)</f>
        <v>10</v>
      </c>
      <c r="O117" s="10">
        <f>VLOOKUP($D117,Vertices!$A$10:$F$203, 4, FALSE)</f>
        <v>0</v>
      </c>
      <c r="P117" s="10">
        <f>VLOOKUP($D117,Vertices!$A$10:$F$203, 5, FALSE)</f>
        <v>20</v>
      </c>
      <c r="Q117" s="11">
        <f>VLOOKUP($D117,Vertices!$A$10:$F$203, 6, FALSE)</f>
        <v>0</v>
      </c>
    </row>
    <row r="118" spans="1:17" x14ac:dyDescent="0.25">
      <c r="A118">
        <v>108</v>
      </c>
      <c r="B118">
        <v>37</v>
      </c>
      <c r="C118">
        <v>54</v>
      </c>
      <c r="D118">
        <v>48</v>
      </c>
      <c r="F118" s="9">
        <f>VLOOKUP($B118,Vertices!$A$10:$F$203, 3, FALSE)</f>
        <v>0</v>
      </c>
      <c r="G118" s="10">
        <f>VLOOKUP($B118,Vertices!$A$10:$F$203, 4, FALSE)</f>
        <v>0</v>
      </c>
      <c r="H118" s="10">
        <f>VLOOKUP($B118,Vertices!$A$10:$F$203, 5, FALSE)</f>
        <v>10</v>
      </c>
      <c r="I118" s="11">
        <f>VLOOKUP($B118,Vertices!$A$10:$F$203, 6, FALSE)</f>
        <v>0</v>
      </c>
      <c r="J118" s="9">
        <f>VLOOKUP($C118,Vertices!$A$10:$F$203, 3, FALSE)</f>
        <v>10</v>
      </c>
      <c r="K118" s="10">
        <f>VLOOKUP($C118,Vertices!$A$10:$F$203, 4, FALSE)</f>
        <v>0</v>
      </c>
      <c r="L118" s="10">
        <f>VLOOKUP($C118,Vertices!$A$10:$F$203, 5, FALSE)</f>
        <v>20</v>
      </c>
      <c r="M118" s="11">
        <f>VLOOKUP($C118,Vertices!$A$10:$F$203, 6, FALSE)</f>
        <v>0</v>
      </c>
      <c r="N118" s="9">
        <f>VLOOKUP($D118,Vertices!$A$10:$F$203, 3, FALSE)</f>
        <v>0</v>
      </c>
      <c r="O118" s="10">
        <f>VLOOKUP($D118,Vertices!$A$10:$F$203, 4, FALSE)</f>
        <v>0</v>
      </c>
      <c r="P118" s="10">
        <f>VLOOKUP($D118,Vertices!$A$10:$F$203, 5, FALSE)</f>
        <v>20</v>
      </c>
      <c r="Q118" s="11">
        <f>VLOOKUP($D118,Vertices!$A$10:$F$203, 6, FALSE)</f>
        <v>0</v>
      </c>
    </row>
    <row r="119" spans="1:17" x14ac:dyDescent="0.25">
      <c r="A119">
        <v>109</v>
      </c>
      <c r="B119">
        <v>13</v>
      </c>
      <c r="C119">
        <v>19</v>
      </c>
      <c r="D119">
        <v>45</v>
      </c>
      <c r="F119" s="9">
        <f>VLOOKUP($B119,Vertices!$A$10:$F$203, 3, FALSE)</f>
        <v>20</v>
      </c>
      <c r="G119" s="10">
        <f>VLOOKUP($B119,Vertices!$A$10:$F$203, 4, FALSE)</f>
        <v>0</v>
      </c>
      <c r="H119" s="10">
        <f>VLOOKUP($B119,Vertices!$A$10:$F$203, 5, FALSE)</f>
        <v>0</v>
      </c>
      <c r="I119" s="11">
        <f>VLOOKUP($B119,Vertices!$A$10:$F$203, 6, FALSE)</f>
        <v>0</v>
      </c>
      <c r="J119" s="9">
        <f>VLOOKUP($C119,Vertices!$A$10:$F$203, 3, FALSE)</f>
        <v>40</v>
      </c>
      <c r="K119" s="10">
        <f>VLOOKUP($C119,Vertices!$A$10:$F$203, 4, FALSE)</f>
        <v>0</v>
      </c>
      <c r="L119" s="10">
        <f>VLOOKUP($C119,Vertices!$A$10:$F$203, 5, FALSE)</f>
        <v>0</v>
      </c>
      <c r="M119" s="11">
        <f>VLOOKUP($C119,Vertices!$A$10:$F$203, 6, FALSE)</f>
        <v>0</v>
      </c>
      <c r="N119" s="9">
        <f>VLOOKUP($D119,Vertices!$A$10:$F$203, 3, FALSE)</f>
        <v>40</v>
      </c>
      <c r="O119" s="10">
        <f>VLOOKUP($D119,Vertices!$A$10:$F$203, 4, FALSE)</f>
        <v>0</v>
      </c>
      <c r="P119" s="10">
        <f>VLOOKUP($D119,Vertices!$A$10:$F$203, 5, FALSE)</f>
        <v>10</v>
      </c>
      <c r="Q119" s="11">
        <f>VLOOKUP($D119,Vertices!$A$10:$F$203, 6, FALSE)</f>
        <v>0</v>
      </c>
    </row>
    <row r="120" spans="1:17" x14ac:dyDescent="0.25">
      <c r="A120">
        <v>110</v>
      </c>
      <c r="B120">
        <v>13</v>
      </c>
      <c r="C120">
        <v>45</v>
      </c>
      <c r="D120">
        <v>44</v>
      </c>
      <c r="F120" s="9">
        <f>VLOOKUP($B120,Vertices!$A$10:$F$203, 3, FALSE)</f>
        <v>20</v>
      </c>
      <c r="G120" s="10">
        <f>VLOOKUP($B120,Vertices!$A$10:$F$203, 4, FALSE)</f>
        <v>0</v>
      </c>
      <c r="H120" s="10">
        <f>VLOOKUP($B120,Vertices!$A$10:$F$203, 5, FALSE)</f>
        <v>0</v>
      </c>
      <c r="I120" s="11">
        <f>VLOOKUP($B120,Vertices!$A$10:$F$203, 6, FALSE)</f>
        <v>0</v>
      </c>
      <c r="J120" s="9">
        <f>VLOOKUP($C120,Vertices!$A$10:$F$203, 3, FALSE)</f>
        <v>40</v>
      </c>
      <c r="K120" s="10">
        <f>VLOOKUP($C120,Vertices!$A$10:$F$203, 4, FALSE)</f>
        <v>0</v>
      </c>
      <c r="L120" s="10">
        <f>VLOOKUP($C120,Vertices!$A$10:$F$203, 5, FALSE)</f>
        <v>10</v>
      </c>
      <c r="M120" s="11">
        <f>VLOOKUP($C120,Vertices!$A$10:$F$203, 6, FALSE)</f>
        <v>0</v>
      </c>
      <c r="N120" s="9">
        <f>VLOOKUP($D120,Vertices!$A$10:$F$203, 3, FALSE)</f>
        <v>20</v>
      </c>
      <c r="O120" s="10">
        <f>VLOOKUP($D120,Vertices!$A$10:$F$203, 4, FALSE)</f>
        <v>0</v>
      </c>
      <c r="P120" s="10">
        <f>VLOOKUP($D120,Vertices!$A$10:$F$203, 5, FALSE)</f>
        <v>10</v>
      </c>
      <c r="Q120" s="11">
        <f>VLOOKUP($D120,Vertices!$A$10:$F$203, 6, FALSE)</f>
        <v>0</v>
      </c>
    </row>
    <row r="121" spans="1:17" x14ac:dyDescent="0.25">
      <c r="A121">
        <v>111</v>
      </c>
      <c r="B121">
        <v>44</v>
      </c>
      <c r="C121">
        <v>45</v>
      </c>
      <c r="D121">
        <v>56</v>
      </c>
      <c r="F121" s="9">
        <f>VLOOKUP($B121,Vertices!$A$10:$F$203, 3, FALSE)</f>
        <v>20</v>
      </c>
      <c r="G121" s="10">
        <f>VLOOKUP($B121,Vertices!$A$10:$F$203, 4, FALSE)</f>
        <v>0</v>
      </c>
      <c r="H121" s="10">
        <f>VLOOKUP($B121,Vertices!$A$10:$F$203, 5, FALSE)</f>
        <v>10</v>
      </c>
      <c r="I121" s="11">
        <f>VLOOKUP($B121,Vertices!$A$10:$F$203, 6, FALSE)</f>
        <v>0</v>
      </c>
      <c r="J121" s="9">
        <f>VLOOKUP($C121,Vertices!$A$10:$F$203, 3, FALSE)</f>
        <v>40</v>
      </c>
      <c r="K121" s="10">
        <f>VLOOKUP($C121,Vertices!$A$10:$F$203, 4, FALSE)</f>
        <v>0</v>
      </c>
      <c r="L121" s="10">
        <f>VLOOKUP($C121,Vertices!$A$10:$F$203, 5, FALSE)</f>
        <v>10</v>
      </c>
      <c r="M121" s="11">
        <f>VLOOKUP($C121,Vertices!$A$10:$F$203, 6, FALSE)</f>
        <v>0</v>
      </c>
      <c r="N121" s="9">
        <f>VLOOKUP($D121,Vertices!$A$10:$F$203, 3, FALSE)</f>
        <v>40</v>
      </c>
      <c r="O121" s="10">
        <f>VLOOKUP($D121,Vertices!$A$10:$F$203, 4, FALSE)</f>
        <v>0</v>
      </c>
      <c r="P121" s="10">
        <f>VLOOKUP($D121,Vertices!$A$10:$F$203, 5, FALSE)</f>
        <v>20</v>
      </c>
      <c r="Q121" s="11">
        <f>VLOOKUP($D121,Vertices!$A$10:$F$203, 6, FALSE)</f>
        <v>0</v>
      </c>
    </row>
    <row r="122" spans="1:17" x14ac:dyDescent="0.25">
      <c r="A122">
        <v>112</v>
      </c>
      <c r="B122">
        <v>44</v>
      </c>
      <c r="C122">
        <v>56</v>
      </c>
      <c r="D122">
        <v>55</v>
      </c>
      <c r="F122" s="9">
        <f>VLOOKUP($B122,Vertices!$A$10:$F$203, 3, FALSE)</f>
        <v>20</v>
      </c>
      <c r="G122" s="10">
        <f>VLOOKUP($B122,Vertices!$A$10:$F$203, 4, FALSE)</f>
        <v>0</v>
      </c>
      <c r="H122" s="10">
        <f>VLOOKUP($B122,Vertices!$A$10:$F$203, 5, FALSE)</f>
        <v>10</v>
      </c>
      <c r="I122" s="11">
        <f>VLOOKUP($B122,Vertices!$A$10:$F$203, 6, FALSE)</f>
        <v>0</v>
      </c>
      <c r="J122" s="9">
        <f>VLOOKUP($C122,Vertices!$A$10:$F$203, 3, FALSE)</f>
        <v>40</v>
      </c>
      <c r="K122" s="10">
        <f>VLOOKUP($C122,Vertices!$A$10:$F$203, 4, FALSE)</f>
        <v>0</v>
      </c>
      <c r="L122" s="10">
        <f>VLOOKUP($C122,Vertices!$A$10:$F$203, 5, FALSE)</f>
        <v>20</v>
      </c>
      <c r="M122" s="11">
        <f>VLOOKUP($C122,Vertices!$A$10:$F$203, 6, FALSE)</f>
        <v>0</v>
      </c>
      <c r="N122" s="9">
        <f>VLOOKUP($D122,Vertices!$A$10:$F$203, 3, FALSE)</f>
        <v>20</v>
      </c>
      <c r="O122" s="10">
        <f>VLOOKUP($D122,Vertices!$A$10:$F$203, 4, FALSE)</f>
        <v>0</v>
      </c>
      <c r="P122" s="10">
        <f>VLOOKUP($D122,Vertices!$A$10:$F$203, 5, FALSE)</f>
        <v>20</v>
      </c>
      <c r="Q122" s="11">
        <f>VLOOKUP($D122,Vertices!$A$10:$F$203, 6, FALSE)</f>
        <v>0</v>
      </c>
    </row>
    <row r="123" spans="1:17" x14ac:dyDescent="0.25">
      <c r="A123">
        <v>113</v>
      </c>
      <c r="B123">
        <v>55</v>
      </c>
      <c r="C123">
        <v>56</v>
      </c>
      <c r="D123">
        <v>67</v>
      </c>
      <c r="F123" s="9">
        <f>VLOOKUP($B123,Vertices!$A$10:$F$203, 3, FALSE)</f>
        <v>20</v>
      </c>
      <c r="G123" s="10">
        <f>VLOOKUP($B123,Vertices!$A$10:$F$203, 4, FALSE)</f>
        <v>0</v>
      </c>
      <c r="H123" s="10">
        <f>VLOOKUP($B123,Vertices!$A$10:$F$203, 5, FALSE)</f>
        <v>20</v>
      </c>
      <c r="I123" s="11">
        <f>VLOOKUP($B123,Vertices!$A$10:$F$203, 6, FALSE)</f>
        <v>0</v>
      </c>
      <c r="J123" s="9">
        <f>VLOOKUP($C123,Vertices!$A$10:$F$203, 3, FALSE)</f>
        <v>40</v>
      </c>
      <c r="K123" s="10">
        <f>VLOOKUP($C123,Vertices!$A$10:$F$203, 4, FALSE)</f>
        <v>0</v>
      </c>
      <c r="L123" s="10">
        <f>VLOOKUP($C123,Vertices!$A$10:$F$203, 5, FALSE)</f>
        <v>20</v>
      </c>
      <c r="M123" s="11">
        <f>VLOOKUP($C123,Vertices!$A$10:$F$203, 6, FALSE)</f>
        <v>0</v>
      </c>
      <c r="N123" s="9">
        <f>VLOOKUP($D123,Vertices!$A$10:$F$203, 3, FALSE)</f>
        <v>40</v>
      </c>
      <c r="O123" s="10">
        <f>VLOOKUP($D123,Vertices!$A$10:$F$203, 4, FALSE)</f>
        <v>0</v>
      </c>
      <c r="P123" s="10">
        <f>VLOOKUP($D123,Vertices!$A$10:$F$203, 5, FALSE)</f>
        <v>40</v>
      </c>
      <c r="Q123" s="11">
        <f>VLOOKUP($D123,Vertices!$A$10:$F$203, 6, FALSE)</f>
        <v>0</v>
      </c>
    </row>
    <row r="124" spans="1:17" x14ac:dyDescent="0.25">
      <c r="A124">
        <v>114</v>
      </c>
      <c r="B124">
        <v>55</v>
      </c>
      <c r="C124">
        <v>67</v>
      </c>
      <c r="D124">
        <v>66</v>
      </c>
      <c r="F124" s="9">
        <f>VLOOKUP($B124,Vertices!$A$10:$F$203, 3, FALSE)</f>
        <v>20</v>
      </c>
      <c r="G124" s="10">
        <f>VLOOKUP($B124,Vertices!$A$10:$F$203, 4, FALSE)</f>
        <v>0</v>
      </c>
      <c r="H124" s="10">
        <f>VLOOKUP($B124,Vertices!$A$10:$F$203, 5, FALSE)</f>
        <v>20</v>
      </c>
      <c r="I124" s="11">
        <f>VLOOKUP($B124,Vertices!$A$10:$F$203, 6, FALSE)</f>
        <v>0</v>
      </c>
      <c r="J124" s="9">
        <f>VLOOKUP($C124,Vertices!$A$10:$F$203, 3, FALSE)</f>
        <v>40</v>
      </c>
      <c r="K124" s="10">
        <f>VLOOKUP($C124,Vertices!$A$10:$F$203, 4, FALSE)</f>
        <v>0</v>
      </c>
      <c r="L124" s="10">
        <f>VLOOKUP($C124,Vertices!$A$10:$F$203, 5, FALSE)</f>
        <v>40</v>
      </c>
      <c r="M124" s="11">
        <f>VLOOKUP($C124,Vertices!$A$10:$F$203, 6, FALSE)</f>
        <v>0</v>
      </c>
      <c r="N124" s="9">
        <f>VLOOKUP($D124,Vertices!$A$10:$F$203, 3, FALSE)</f>
        <v>20</v>
      </c>
      <c r="O124" s="10">
        <f>VLOOKUP($D124,Vertices!$A$10:$F$203, 4, FALSE)</f>
        <v>0</v>
      </c>
      <c r="P124" s="10">
        <f>VLOOKUP($D124,Vertices!$A$10:$F$203, 5, FALSE)</f>
        <v>40</v>
      </c>
      <c r="Q124" s="11">
        <f>VLOOKUP($D124,Vertices!$A$10:$F$203, 6, FALSE)</f>
        <v>0</v>
      </c>
    </row>
    <row r="125" spans="1:17" x14ac:dyDescent="0.25">
      <c r="A125">
        <v>115</v>
      </c>
      <c r="B125">
        <v>54</v>
      </c>
      <c r="C125">
        <v>55</v>
      </c>
      <c r="D125">
        <v>66</v>
      </c>
      <c r="F125" s="9">
        <f>VLOOKUP($B125,Vertices!$A$10:$F$203, 3, FALSE)</f>
        <v>10</v>
      </c>
      <c r="G125" s="10">
        <f>VLOOKUP($B125,Vertices!$A$10:$F$203, 4, FALSE)</f>
        <v>0</v>
      </c>
      <c r="H125" s="10">
        <f>VLOOKUP($B125,Vertices!$A$10:$F$203, 5, FALSE)</f>
        <v>20</v>
      </c>
      <c r="I125" s="11">
        <f>VLOOKUP($B125,Vertices!$A$10:$F$203, 6, FALSE)</f>
        <v>0</v>
      </c>
      <c r="J125" s="9">
        <f>VLOOKUP($C125,Vertices!$A$10:$F$203, 3, FALSE)</f>
        <v>20</v>
      </c>
      <c r="K125" s="10">
        <f>VLOOKUP($C125,Vertices!$A$10:$F$203, 4, FALSE)</f>
        <v>0</v>
      </c>
      <c r="L125" s="10">
        <f>VLOOKUP($C125,Vertices!$A$10:$F$203, 5, FALSE)</f>
        <v>20</v>
      </c>
      <c r="M125" s="11">
        <f>VLOOKUP($C125,Vertices!$A$10:$F$203, 6, FALSE)</f>
        <v>0</v>
      </c>
      <c r="N125" s="9">
        <f>VLOOKUP($D125,Vertices!$A$10:$F$203, 3, FALSE)</f>
        <v>20</v>
      </c>
      <c r="O125" s="10">
        <f>VLOOKUP($D125,Vertices!$A$10:$F$203, 4, FALSE)</f>
        <v>0</v>
      </c>
      <c r="P125" s="10">
        <f>VLOOKUP($D125,Vertices!$A$10:$F$203, 5, FALSE)</f>
        <v>40</v>
      </c>
      <c r="Q125" s="11">
        <f>VLOOKUP($D125,Vertices!$A$10:$F$203, 6, FALSE)</f>
        <v>0</v>
      </c>
    </row>
    <row r="126" spans="1:17" x14ac:dyDescent="0.25">
      <c r="A126">
        <v>116</v>
      </c>
      <c r="B126">
        <v>54</v>
      </c>
      <c r="C126">
        <v>66</v>
      </c>
      <c r="D126">
        <v>65</v>
      </c>
      <c r="F126" s="9">
        <f>VLOOKUP($B126,Vertices!$A$10:$F$203, 3, FALSE)</f>
        <v>10</v>
      </c>
      <c r="G126" s="10">
        <f>VLOOKUP($B126,Vertices!$A$10:$F$203, 4, FALSE)</f>
        <v>0</v>
      </c>
      <c r="H126" s="10">
        <f>VLOOKUP($B126,Vertices!$A$10:$F$203, 5, FALSE)</f>
        <v>20</v>
      </c>
      <c r="I126" s="11">
        <f>VLOOKUP($B126,Vertices!$A$10:$F$203, 6, FALSE)</f>
        <v>0</v>
      </c>
      <c r="J126" s="9">
        <f>VLOOKUP($C126,Vertices!$A$10:$F$203, 3, FALSE)</f>
        <v>20</v>
      </c>
      <c r="K126" s="10">
        <f>VLOOKUP($C126,Vertices!$A$10:$F$203, 4, FALSE)</f>
        <v>0</v>
      </c>
      <c r="L126" s="10">
        <f>VLOOKUP($C126,Vertices!$A$10:$F$203, 5, FALSE)</f>
        <v>40</v>
      </c>
      <c r="M126" s="11">
        <f>VLOOKUP($C126,Vertices!$A$10:$F$203, 6, FALSE)</f>
        <v>0</v>
      </c>
      <c r="N126" s="9">
        <f>VLOOKUP($D126,Vertices!$A$10:$F$203, 3, FALSE)</f>
        <v>10</v>
      </c>
      <c r="O126" s="10">
        <f>VLOOKUP($D126,Vertices!$A$10:$F$203, 4, FALSE)</f>
        <v>0</v>
      </c>
      <c r="P126" s="10">
        <f>VLOOKUP($D126,Vertices!$A$10:$F$203, 5, FALSE)</f>
        <v>40</v>
      </c>
      <c r="Q126" s="11">
        <f>VLOOKUP($D126,Vertices!$A$10:$F$203, 6, FALSE)</f>
        <v>0</v>
      </c>
    </row>
    <row r="127" spans="1:17" x14ac:dyDescent="0.25">
      <c r="A127">
        <v>117</v>
      </c>
      <c r="B127">
        <v>48</v>
      </c>
      <c r="C127">
        <v>54</v>
      </c>
      <c r="D127">
        <v>65</v>
      </c>
      <c r="F127" s="9">
        <f>VLOOKUP($B127,Vertices!$A$10:$F$203, 3, FALSE)</f>
        <v>0</v>
      </c>
      <c r="G127" s="10">
        <f>VLOOKUP($B127,Vertices!$A$10:$F$203, 4, FALSE)</f>
        <v>0</v>
      </c>
      <c r="H127" s="10">
        <f>VLOOKUP($B127,Vertices!$A$10:$F$203, 5, FALSE)</f>
        <v>20</v>
      </c>
      <c r="I127" s="11">
        <f>VLOOKUP($B127,Vertices!$A$10:$F$203, 6, FALSE)</f>
        <v>0</v>
      </c>
      <c r="J127" s="9">
        <f>VLOOKUP($C127,Vertices!$A$10:$F$203, 3, FALSE)</f>
        <v>10</v>
      </c>
      <c r="K127" s="10">
        <f>VLOOKUP($C127,Vertices!$A$10:$F$203, 4, FALSE)</f>
        <v>0</v>
      </c>
      <c r="L127" s="10">
        <f>VLOOKUP($C127,Vertices!$A$10:$F$203, 5, FALSE)</f>
        <v>20</v>
      </c>
      <c r="M127" s="11">
        <f>VLOOKUP($C127,Vertices!$A$10:$F$203, 6, FALSE)</f>
        <v>0</v>
      </c>
      <c r="N127" s="9">
        <f>VLOOKUP($D127,Vertices!$A$10:$F$203, 3, FALSE)</f>
        <v>10</v>
      </c>
      <c r="O127" s="10">
        <f>VLOOKUP($D127,Vertices!$A$10:$F$203, 4, FALSE)</f>
        <v>0</v>
      </c>
      <c r="P127" s="10">
        <f>VLOOKUP($D127,Vertices!$A$10:$F$203, 5, FALSE)</f>
        <v>40</v>
      </c>
      <c r="Q127" s="11">
        <f>VLOOKUP($D127,Vertices!$A$10:$F$203, 6, FALSE)</f>
        <v>0</v>
      </c>
    </row>
    <row r="128" spans="1:17" x14ac:dyDescent="0.25">
      <c r="A128">
        <v>118</v>
      </c>
      <c r="B128">
        <v>48</v>
      </c>
      <c r="C128">
        <v>65</v>
      </c>
      <c r="D128">
        <v>59</v>
      </c>
      <c r="F128" s="9">
        <f>VLOOKUP($B128,Vertices!$A$10:$F$203, 3, FALSE)</f>
        <v>0</v>
      </c>
      <c r="G128" s="10">
        <f>VLOOKUP($B128,Vertices!$A$10:$F$203, 4, FALSE)</f>
        <v>0</v>
      </c>
      <c r="H128" s="10">
        <f>VLOOKUP($B128,Vertices!$A$10:$F$203, 5, FALSE)</f>
        <v>20</v>
      </c>
      <c r="I128" s="11">
        <f>VLOOKUP($B128,Vertices!$A$10:$F$203, 6, FALSE)</f>
        <v>0</v>
      </c>
      <c r="J128" s="9">
        <f>VLOOKUP($C128,Vertices!$A$10:$F$203, 3, FALSE)</f>
        <v>10</v>
      </c>
      <c r="K128" s="10">
        <f>VLOOKUP($C128,Vertices!$A$10:$F$203, 4, FALSE)</f>
        <v>0</v>
      </c>
      <c r="L128" s="10">
        <f>VLOOKUP($C128,Vertices!$A$10:$F$203, 5, FALSE)</f>
        <v>40</v>
      </c>
      <c r="M128" s="11">
        <f>VLOOKUP($C128,Vertices!$A$10:$F$203, 6, FALSE)</f>
        <v>0</v>
      </c>
      <c r="N128" s="9">
        <f>VLOOKUP($D128,Vertices!$A$10:$F$203, 3, FALSE)</f>
        <v>0</v>
      </c>
      <c r="O128" s="10">
        <f>VLOOKUP($D128,Vertices!$A$10:$F$203, 4, FALSE)</f>
        <v>0</v>
      </c>
      <c r="P128" s="10">
        <f>VLOOKUP($D128,Vertices!$A$10:$F$203, 5, FALSE)</f>
        <v>40</v>
      </c>
      <c r="Q128" s="11">
        <f>VLOOKUP($D128,Vertices!$A$10:$F$203, 6, FALSE)</f>
        <v>0</v>
      </c>
    </row>
    <row r="129" spans="1:17" x14ac:dyDescent="0.25">
      <c r="A129">
        <v>119</v>
      </c>
      <c r="B129">
        <v>19</v>
      </c>
      <c r="C129">
        <v>25</v>
      </c>
      <c r="D129">
        <v>46</v>
      </c>
      <c r="F129" s="9">
        <f>VLOOKUP($B129,Vertices!$A$10:$F$203, 3, FALSE)</f>
        <v>40</v>
      </c>
      <c r="G129" s="10">
        <f>VLOOKUP($B129,Vertices!$A$10:$F$203, 4, FALSE)</f>
        <v>0</v>
      </c>
      <c r="H129" s="10">
        <f>VLOOKUP($B129,Vertices!$A$10:$F$203, 5, FALSE)</f>
        <v>0</v>
      </c>
      <c r="I129" s="11">
        <f>VLOOKUP($B129,Vertices!$A$10:$F$203, 6, FALSE)</f>
        <v>0</v>
      </c>
      <c r="J129" s="9">
        <f>VLOOKUP($C129,Vertices!$A$10:$F$203, 3, FALSE)</f>
        <v>70</v>
      </c>
      <c r="K129" s="10">
        <f>VLOOKUP($C129,Vertices!$A$10:$F$203, 4, FALSE)</f>
        <v>0</v>
      </c>
      <c r="L129" s="10">
        <f>VLOOKUP($C129,Vertices!$A$10:$F$203, 5, FALSE)</f>
        <v>0</v>
      </c>
      <c r="M129" s="11">
        <f>VLOOKUP($C129,Vertices!$A$10:$F$203, 6, FALSE)</f>
        <v>0</v>
      </c>
      <c r="N129" s="9">
        <f>VLOOKUP($D129,Vertices!$A$10:$F$203, 3, FALSE)</f>
        <v>70</v>
      </c>
      <c r="O129" s="10">
        <f>VLOOKUP($D129,Vertices!$A$10:$F$203, 4, FALSE)</f>
        <v>0</v>
      </c>
      <c r="P129" s="10">
        <f>VLOOKUP($D129,Vertices!$A$10:$F$203, 5, FALSE)</f>
        <v>10</v>
      </c>
      <c r="Q129" s="11">
        <f>VLOOKUP($D129,Vertices!$A$10:$F$203, 6, FALSE)</f>
        <v>0</v>
      </c>
    </row>
    <row r="130" spans="1:17" x14ac:dyDescent="0.25">
      <c r="A130">
        <v>120</v>
      </c>
      <c r="B130">
        <v>19</v>
      </c>
      <c r="C130">
        <v>46</v>
      </c>
      <c r="D130">
        <v>45</v>
      </c>
      <c r="F130" s="9">
        <f>VLOOKUP($B130,Vertices!$A$10:$F$203, 3, FALSE)</f>
        <v>40</v>
      </c>
      <c r="G130" s="10">
        <f>VLOOKUP($B130,Vertices!$A$10:$F$203, 4, FALSE)</f>
        <v>0</v>
      </c>
      <c r="H130" s="10">
        <f>VLOOKUP($B130,Vertices!$A$10:$F$203, 5, FALSE)</f>
        <v>0</v>
      </c>
      <c r="I130" s="11">
        <f>VLOOKUP($B130,Vertices!$A$10:$F$203, 6, FALSE)</f>
        <v>0</v>
      </c>
      <c r="J130" s="9">
        <f>VLOOKUP($C130,Vertices!$A$10:$F$203, 3, FALSE)</f>
        <v>70</v>
      </c>
      <c r="K130" s="10">
        <f>VLOOKUP($C130,Vertices!$A$10:$F$203, 4, FALSE)</f>
        <v>0</v>
      </c>
      <c r="L130" s="10">
        <f>VLOOKUP($C130,Vertices!$A$10:$F$203, 5, FALSE)</f>
        <v>10</v>
      </c>
      <c r="M130" s="11">
        <f>VLOOKUP($C130,Vertices!$A$10:$F$203, 6, FALSE)</f>
        <v>0</v>
      </c>
      <c r="N130" s="9">
        <f>VLOOKUP($D130,Vertices!$A$10:$F$203, 3, FALSE)</f>
        <v>40</v>
      </c>
      <c r="O130" s="10">
        <f>VLOOKUP($D130,Vertices!$A$10:$F$203, 4, FALSE)</f>
        <v>0</v>
      </c>
      <c r="P130" s="10">
        <f>VLOOKUP($D130,Vertices!$A$10:$F$203, 5, FALSE)</f>
        <v>10</v>
      </c>
      <c r="Q130" s="11">
        <f>VLOOKUP($D130,Vertices!$A$10:$F$203, 6, FALSE)</f>
        <v>0</v>
      </c>
    </row>
    <row r="131" spans="1:17" x14ac:dyDescent="0.25">
      <c r="A131">
        <v>121</v>
      </c>
      <c r="B131">
        <v>45</v>
      </c>
      <c r="C131">
        <v>46</v>
      </c>
      <c r="D131">
        <v>57</v>
      </c>
      <c r="F131" s="9">
        <f>VLOOKUP($B131,Vertices!$A$10:$F$203, 3, FALSE)</f>
        <v>40</v>
      </c>
      <c r="G131" s="10">
        <f>VLOOKUP($B131,Vertices!$A$10:$F$203, 4, FALSE)</f>
        <v>0</v>
      </c>
      <c r="H131" s="10">
        <f>VLOOKUP($B131,Vertices!$A$10:$F$203, 5, FALSE)</f>
        <v>10</v>
      </c>
      <c r="I131" s="11">
        <f>VLOOKUP($B131,Vertices!$A$10:$F$203, 6, FALSE)</f>
        <v>0</v>
      </c>
      <c r="J131" s="9">
        <f>VLOOKUP($C131,Vertices!$A$10:$F$203, 3, FALSE)</f>
        <v>70</v>
      </c>
      <c r="K131" s="10">
        <f>VLOOKUP($C131,Vertices!$A$10:$F$203, 4, FALSE)</f>
        <v>0</v>
      </c>
      <c r="L131" s="10">
        <f>VLOOKUP($C131,Vertices!$A$10:$F$203, 5, FALSE)</f>
        <v>10</v>
      </c>
      <c r="M131" s="11">
        <f>VLOOKUP($C131,Vertices!$A$10:$F$203, 6, FALSE)</f>
        <v>0</v>
      </c>
      <c r="N131" s="9">
        <f>VLOOKUP($D131,Vertices!$A$10:$F$203, 3, FALSE)</f>
        <v>70</v>
      </c>
      <c r="O131" s="10">
        <f>VLOOKUP($D131,Vertices!$A$10:$F$203, 4, FALSE)</f>
        <v>0</v>
      </c>
      <c r="P131" s="10">
        <f>VLOOKUP($D131,Vertices!$A$10:$F$203, 5, FALSE)</f>
        <v>20</v>
      </c>
      <c r="Q131" s="11">
        <f>VLOOKUP($D131,Vertices!$A$10:$F$203, 6, FALSE)</f>
        <v>0</v>
      </c>
    </row>
    <row r="132" spans="1:17" x14ac:dyDescent="0.25">
      <c r="A132">
        <v>122</v>
      </c>
      <c r="B132">
        <v>45</v>
      </c>
      <c r="C132">
        <v>57</v>
      </c>
      <c r="D132">
        <v>56</v>
      </c>
      <c r="F132" s="9">
        <f>VLOOKUP($B132,Vertices!$A$10:$F$203, 3, FALSE)</f>
        <v>40</v>
      </c>
      <c r="G132" s="10">
        <f>VLOOKUP($B132,Vertices!$A$10:$F$203, 4, FALSE)</f>
        <v>0</v>
      </c>
      <c r="H132" s="10">
        <f>VLOOKUP($B132,Vertices!$A$10:$F$203, 5, FALSE)</f>
        <v>10</v>
      </c>
      <c r="I132" s="11">
        <f>VLOOKUP($B132,Vertices!$A$10:$F$203, 6, FALSE)</f>
        <v>0</v>
      </c>
      <c r="J132" s="9">
        <f>VLOOKUP($C132,Vertices!$A$10:$F$203, 3, FALSE)</f>
        <v>70</v>
      </c>
      <c r="K132" s="10">
        <f>VLOOKUP($C132,Vertices!$A$10:$F$203, 4, FALSE)</f>
        <v>0</v>
      </c>
      <c r="L132" s="10">
        <f>VLOOKUP($C132,Vertices!$A$10:$F$203, 5, FALSE)</f>
        <v>20</v>
      </c>
      <c r="M132" s="11">
        <f>VLOOKUP($C132,Vertices!$A$10:$F$203, 6, FALSE)</f>
        <v>0</v>
      </c>
      <c r="N132" s="9">
        <f>VLOOKUP($D132,Vertices!$A$10:$F$203, 3, FALSE)</f>
        <v>40</v>
      </c>
      <c r="O132" s="10">
        <f>VLOOKUP($D132,Vertices!$A$10:$F$203, 4, FALSE)</f>
        <v>0</v>
      </c>
      <c r="P132" s="10">
        <f>VLOOKUP($D132,Vertices!$A$10:$F$203, 5, FALSE)</f>
        <v>20</v>
      </c>
      <c r="Q132" s="11">
        <f>VLOOKUP($D132,Vertices!$A$10:$F$203, 6, FALSE)</f>
        <v>0</v>
      </c>
    </row>
    <row r="133" spans="1:17" x14ac:dyDescent="0.25">
      <c r="A133">
        <v>123</v>
      </c>
      <c r="B133">
        <v>56</v>
      </c>
      <c r="C133">
        <v>57</v>
      </c>
      <c r="D133">
        <v>68</v>
      </c>
      <c r="F133" s="9">
        <f>VLOOKUP($B133,Vertices!$A$10:$F$203, 3, FALSE)</f>
        <v>40</v>
      </c>
      <c r="G133" s="10">
        <f>VLOOKUP($B133,Vertices!$A$10:$F$203, 4, FALSE)</f>
        <v>0</v>
      </c>
      <c r="H133" s="10">
        <f>VLOOKUP($B133,Vertices!$A$10:$F$203, 5, FALSE)</f>
        <v>20</v>
      </c>
      <c r="I133" s="11">
        <f>VLOOKUP($B133,Vertices!$A$10:$F$203, 6, FALSE)</f>
        <v>0</v>
      </c>
      <c r="J133" s="9">
        <f>VLOOKUP($C133,Vertices!$A$10:$F$203, 3, FALSE)</f>
        <v>70</v>
      </c>
      <c r="K133" s="10">
        <f>VLOOKUP($C133,Vertices!$A$10:$F$203, 4, FALSE)</f>
        <v>0</v>
      </c>
      <c r="L133" s="10">
        <f>VLOOKUP($C133,Vertices!$A$10:$F$203, 5, FALSE)</f>
        <v>20</v>
      </c>
      <c r="M133" s="11">
        <f>VLOOKUP($C133,Vertices!$A$10:$F$203, 6, FALSE)</f>
        <v>0</v>
      </c>
      <c r="N133" s="9">
        <f>VLOOKUP($D133,Vertices!$A$10:$F$203, 3, FALSE)</f>
        <v>70</v>
      </c>
      <c r="O133" s="10">
        <f>VLOOKUP($D133,Vertices!$A$10:$F$203, 4, FALSE)</f>
        <v>0</v>
      </c>
      <c r="P133" s="10">
        <f>VLOOKUP($D133,Vertices!$A$10:$F$203, 5, FALSE)</f>
        <v>40</v>
      </c>
      <c r="Q133" s="11">
        <f>VLOOKUP($D133,Vertices!$A$10:$F$203, 6, FALSE)</f>
        <v>0</v>
      </c>
    </row>
    <row r="134" spans="1:17" x14ac:dyDescent="0.25">
      <c r="A134">
        <v>124</v>
      </c>
      <c r="B134">
        <v>56</v>
      </c>
      <c r="C134">
        <v>68</v>
      </c>
      <c r="D134">
        <v>67</v>
      </c>
      <c r="F134" s="9">
        <f>VLOOKUP($B134,Vertices!$A$10:$F$203, 3, FALSE)</f>
        <v>40</v>
      </c>
      <c r="G134" s="10">
        <f>VLOOKUP($B134,Vertices!$A$10:$F$203, 4, FALSE)</f>
        <v>0</v>
      </c>
      <c r="H134" s="10">
        <f>VLOOKUP($B134,Vertices!$A$10:$F$203, 5, FALSE)</f>
        <v>20</v>
      </c>
      <c r="I134" s="11">
        <f>VLOOKUP($B134,Vertices!$A$10:$F$203, 6, FALSE)</f>
        <v>0</v>
      </c>
      <c r="J134" s="9">
        <f>VLOOKUP($C134,Vertices!$A$10:$F$203, 3, FALSE)</f>
        <v>70</v>
      </c>
      <c r="K134" s="10">
        <f>VLOOKUP($C134,Vertices!$A$10:$F$203, 4, FALSE)</f>
        <v>0</v>
      </c>
      <c r="L134" s="10">
        <f>VLOOKUP($C134,Vertices!$A$10:$F$203, 5, FALSE)</f>
        <v>40</v>
      </c>
      <c r="M134" s="11">
        <f>VLOOKUP($C134,Vertices!$A$10:$F$203, 6, FALSE)</f>
        <v>0</v>
      </c>
      <c r="N134" s="9">
        <f>VLOOKUP($D134,Vertices!$A$10:$F$203, 3, FALSE)</f>
        <v>40</v>
      </c>
      <c r="O134" s="10">
        <f>VLOOKUP($D134,Vertices!$A$10:$F$203, 4, FALSE)</f>
        <v>0</v>
      </c>
      <c r="P134" s="10">
        <f>VLOOKUP($D134,Vertices!$A$10:$F$203, 5, FALSE)</f>
        <v>40</v>
      </c>
      <c r="Q134" s="11">
        <f>VLOOKUP($D134,Vertices!$A$10:$F$203, 6, FALSE)</f>
        <v>0</v>
      </c>
    </row>
    <row r="135" spans="1:17" x14ac:dyDescent="0.25">
      <c r="A135">
        <v>125</v>
      </c>
      <c r="B135">
        <v>67</v>
      </c>
      <c r="C135">
        <v>68</v>
      </c>
      <c r="D135">
        <v>79</v>
      </c>
      <c r="F135" s="9">
        <f>VLOOKUP($B135,Vertices!$A$10:$F$203, 3, FALSE)</f>
        <v>40</v>
      </c>
      <c r="G135" s="10">
        <f>VLOOKUP($B135,Vertices!$A$10:$F$203, 4, FALSE)</f>
        <v>0</v>
      </c>
      <c r="H135" s="10">
        <f>VLOOKUP($B135,Vertices!$A$10:$F$203, 5, FALSE)</f>
        <v>40</v>
      </c>
      <c r="I135" s="11">
        <f>VLOOKUP($B135,Vertices!$A$10:$F$203, 6, FALSE)</f>
        <v>0</v>
      </c>
      <c r="J135" s="9">
        <f>VLOOKUP($C135,Vertices!$A$10:$F$203, 3, FALSE)</f>
        <v>70</v>
      </c>
      <c r="K135" s="10">
        <f>VLOOKUP($C135,Vertices!$A$10:$F$203, 4, FALSE)</f>
        <v>0</v>
      </c>
      <c r="L135" s="10">
        <f>VLOOKUP($C135,Vertices!$A$10:$F$203, 5, FALSE)</f>
        <v>40</v>
      </c>
      <c r="M135" s="11">
        <f>VLOOKUP($C135,Vertices!$A$10:$F$203, 6, FALSE)</f>
        <v>0</v>
      </c>
      <c r="N135" s="9">
        <f>VLOOKUP($D135,Vertices!$A$10:$F$203, 3, FALSE)</f>
        <v>70</v>
      </c>
      <c r="O135" s="10">
        <f>VLOOKUP($D135,Vertices!$A$10:$F$203, 4, FALSE)</f>
        <v>0</v>
      </c>
      <c r="P135" s="10">
        <f>VLOOKUP($D135,Vertices!$A$10:$F$203, 5, FALSE)</f>
        <v>70</v>
      </c>
      <c r="Q135" s="11">
        <f>VLOOKUP($D135,Vertices!$A$10:$F$203, 6, FALSE)</f>
        <v>0</v>
      </c>
    </row>
    <row r="136" spans="1:17" x14ac:dyDescent="0.25">
      <c r="A136">
        <v>126</v>
      </c>
      <c r="B136">
        <v>67</v>
      </c>
      <c r="C136">
        <v>79</v>
      </c>
      <c r="D136">
        <v>78</v>
      </c>
      <c r="F136" s="9">
        <f>VLOOKUP($B136,Vertices!$A$10:$F$203, 3, FALSE)</f>
        <v>40</v>
      </c>
      <c r="G136" s="10">
        <f>VLOOKUP($B136,Vertices!$A$10:$F$203, 4, FALSE)</f>
        <v>0</v>
      </c>
      <c r="H136" s="10">
        <f>VLOOKUP($B136,Vertices!$A$10:$F$203, 5, FALSE)</f>
        <v>40</v>
      </c>
      <c r="I136" s="11">
        <f>VLOOKUP($B136,Vertices!$A$10:$F$203, 6, FALSE)</f>
        <v>0</v>
      </c>
      <c r="J136" s="9">
        <f>VLOOKUP($C136,Vertices!$A$10:$F$203, 3, FALSE)</f>
        <v>70</v>
      </c>
      <c r="K136" s="10">
        <f>VLOOKUP($C136,Vertices!$A$10:$F$203, 4, FALSE)</f>
        <v>0</v>
      </c>
      <c r="L136" s="10">
        <f>VLOOKUP($C136,Vertices!$A$10:$F$203, 5, FALSE)</f>
        <v>70</v>
      </c>
      <c r="M136" s="11">
        <f>VLOOKUP($C136,Vertices!$A$10:$F$203, 6, FALSE)</f>
        <v>0</v>
      </c>
      <c r="N136" s="9">
        <f>VLOOKUP($D136,Vertices!$A$10:$F$203, 3, FALSE)</f>
        <v>40</v>
      </c>
      <c r="O136" s="10">
        <f>VLOOKUP($D136,Vertices!$A$10:$F$203, 4, FALSE)</f>
        <v>0</v>
      </c>
      <c r="P136" s="10">
        <f>VLOOKUP($D136,Vertices!$A$10:$F$203, 5, FALSE)</f>
        <v>70</v>
      </c>
      <c r="Q136" s="11">
        <f>VLOOKUP($D136,Vertices!$A$10:$F$203, 6, FALSE)</f>
        <v>0</v>
      </c>
    </row>
    <row r="137" spans="1:17" x14ac:dyDescent="0.25">
      <c r="A137">
        <v>127</v>
      </c>
      <c r="B137">
        <v>66</v>
      </c>
      <c r="C137">
        <v>67</v>
      </c>
      <c r="D137">
        <v>78</v>
      </c>
      <c r="F137" s="9">
        <f>VLOOKUP($B137,Vertices!$A$10:$F$203, 3, FALSE)</f>
        <v>20</v>
      </c>
      <c r="G137" s="10">
        <f>VLOOKUP($B137,Vertices!$A$10:$F$203, 4, FALSE)</f>
        <v>0</v>
      </c>
      <c r="H137" s="10">
        <f>VLOOKUP($B137,Vertices!$A$10:$F$203, 5, FALSE)</f>
        <v>40</v>
      </c>
      <c r="I137" s="11">
        <f>VLOOKUP($B137,Vertices!$A$10:$F$203, 6, FALSE)</f>
        <v>0</v>
      </c>
      <c r="J137" s="9">
        <f>VLOOKUP($C137,Vertices!$A$10:$F$203, 3, FALSE)</f>
        <v>40</v>
      </c>
      <c r="K137" s="10">
        <f>VLOOKUP($C137,Vertices!$A$10:$F$203, 4, FALSE)</f>
        <v>0</v>
      </c>
      <c r="L137" s="10">
        <f>VLOOKUP($C137,Vertices!$A$10:$F$203, 5, FALSE)</f>
        <v>40</v>
      </c>
      <c r="M137" s="11">
        <f>VLOOKUP($C137,Vertices!$A$10:$F$203, 6, FALSE)</f>
        <v>0</v>
      </c>
      <c r="N137" s="9">
        <f>VLOOKUP($D137,Vertices!$A$10:$F$203, 3, FALSE)</f>
        <v>40</v>
      </c>
      <c r="O137" s="10">
        <f>VLOOKUP($D137,Vertices!$A$10:$F$203, 4, FALSE)</f>
        <v>0</v>
      </c>
      <c r="P137" s="10">
        <f>VLOOKUP($D137,Vertices!$A$10:$F$203, 5, FALSE)</f>
        <v>70</v>
      </c>
      <c r="Q137" s="11">
        <f>VLOOKUP($D137,Vertices!$A$10:$F$203, 6, FALSE)</f>
        <v>0</v>
      </c>
    </row>
    <row r="138" spans="1:17" x14ac:dyDescent="0.25">
      <c r="A138">
        <v>128</v>
      </c>
      <c r="B138">
        <v>66</v>
      </c>
      <c r="C138">
        <v>78</v>
      </c>
      <c r="D138">
        <v>77</v>
      </c>
      <c r="F138" s="9">
        <f>VLOOKUP($B138,Vertices!$A$10:$F$203, 3, FALSE)</f>
        <v>20</v>
      </c>
      <c r="G138" s="10">
        <f>VLOOKUP($B138,Vertices!$A$10:$F$203, 4, FALSE)</f>
        <v>0</v>
      </c>
      <c r="H138" s="10">
        <f>VLOOKUP($B138,Vertices!$A$10:$F$203, 5, FALSE)</f>
        <v>40</v>
      </c>
      <c r="I138" s="11">
        <f>VLOOKUP($B138,Vertices!$A$10:$F$203, 6, FALSE)</f>
        <v>0</v>
      </c>
      <c r="J138" s="9">
        <f>VLOOKUP($C138,Vertices!$A$10:$F$203, 3, FALSE)</f>
        <v>40</v>
      </c>
      <c r="K138" s="10">
        <f>VLOOKUP($C138,Vertices!$A$10:$F$203, 4, FALSE)</f>
        <v>0</v>
      </c>
      <c r="L138" s="10">
        <f>VLOOKUP($C138,Vertices!$A$10:$F$203, 5, FALSE)</f>
        <v>70</v>
      </c>
      <c r="M138" s="11">
        <f>VLOOKUP($C138,Vertices!$A$10:$F$203, 6, FALSE)</f>
        <v>0</v>
      </c>
      <c r="N138" s="9">
        <f>VLOOKUP($D138,Vertices!$A$10:$F$203, 3, FALSE)</f>
        <v>20</v>
      </c>
      <c r="O138" s="10">
        <f>VLOOKUP($D138,Vertices!$A$10:$F$203, 4, FALSE)</f>
        <v>0</v>
      </c>
      <c r="P138" s="10">
        <f>VLOOKUP($D138,Vertices!$A$10:$F$203, 5, FALSE)</f>
        <v>70</v>
      </c>
      <c r="Q138" s="11">
        <f>VLOOKUP($D138,Vertices!$A$10:$F$203, 6, FALSE)</f>
        <v>0</v>
      </c>
    </row>
    <row r="139" spans="1:17" x14ac:dyDescent="0.25">
      <c r="A139">
        <v>129</v>
      </c>
      <c r="B139">
        <v>65</v>
      </c>
      <c r="C139">
        <v>66</v>
      </c>
      <c r="D139">
        <v>77</v>
      </c>
      <c r="F139" s="9">
        <f>VLOOKUP($B139,Vertices!$A$10:$F$203, 3, FALSE)</f>
        <v>10</v>
      </c>
      <c r="G139" s="10">
        <f>VLOOKUP($B139,Vertices!$A$10:$F$203, 4, FALSE)</f>
        <v>0</v>
      </c>
      <c r="H139" s="10">
        <f>VLOOKUP($B139,Vertices!$A$10:$F$203, 5, FALSE)</f>
        <v>40</v>
      </c>
      <c r="I139" s="11">
        <f>VLOOKUP($B139,Vertices!$A$10:$F$203, 6, FALSE)</f>
        <v>0</v>
      </c>
      <c r="J139" s="9">
        <f>VLOOKUP($C139,Vertices!$A$10:$F$203, 3, FALSE)</f>
        <v>20</v>
      </c>
      <c r="K139" s="10">
        <f>VLOOKUP($C139,Vertices!$A$10:$F$203, 4, FALSE)</f>
        <v>0</v>
      </c>
      <c r="L139" s="10">
        <f>VLOOKUP($C139,Vertices!$A$10:$F$203, 5, FALSE)</f>
        <v>40</v>
      </c>
      <c r="M139" s="11">
        <f>VLOOKUP($C139,Vertices!$A$10:$F$203, 6, FALSE)</f>
        <v>0</v>
      </c>
      <c r="N139" s="9">
        <f>VLOOKUP($D139,Vertices!$A$10:$F$203, 3, FALSE)</f>
        <v>20</v>
      </c>
      <c r="O139" s="10">
        <f>VLOOKUP($D139,Vertices!$A$10:$F$203, 4, FALSE)</f>
        <v>0</v>
      </c>
      <c r="P139" s="10">
        <f>VLOOKUP($D139,Vertices!$A$10:$F$203, 5, FALSE)</f>
        <v>70</v>
      </c>
      <c r="Q139" s="11">
        <f>VLOOKUP($D139,Vertices!$A$10:$F$203, 6, FALSE)</f>
        <v>0</v>
      </c>
    </row>
    <row r="140" spans="1:17" x14ac:dyDescent="0.25">
      <c r="A140">
        <v>130</v>
      </c>
      <c r="B140">
        <v>65</v>
      </c>
      <c r="C140">
        <v>77</v>
      </c>
      <c r="D140">
        <v>76</v>
      </c>
      <c r="F140" s="9">
        <f>VLOOKUP($B140,Vertices!$A$10:$F$203, 3, FALSE)</f>
        <v>10</v>
      </c>
      <c r="G140" s="10">
        <f>VLOOKUP($B140,Vertices!$A$10:$F$203, 4, FALSE)</f>
        <v>0</v>
      </c>
      <c r="H140" s="10">
        <f>VLOOKUP($B140,Vertices!$A$10:$F$203, 5, FALSE)</f>
        <v>40</v>
      </c>
      <c r="I140" s="11">
        <f>VLOOKUP($B140,Vertices!$A$10:$F$203, 6, FALSE)</f>
        <v>0</v>
      </c>
      <c r="J140" s="9">
        <f>VLOOKUP($C140,Vertices!$A$10:$F$203, 3, FALSE)</f>
        <v>20</v>
      </c>
      <c r="K140" s="10">
        <f>VLOOKUP($C140,Vertices!$A$10:$F$203, 4, FALSE)</f>
        <v>0</v>
      </c>
      <c r="L140" s="10">
        <f>VLOOKUP($C140,Vertices!$A$10:$F$203, 5, FALSE)</f>
        <v>70</v>
      </c>
      <c r="M140" s="11">
        <f>VLOOKUP($C140,Vertices!$A$10:$F$203, 6, FALSE)</f>
        <v>0</v>
      </c>
      <c r="N140" s="9">
        <f>VLOOKUP($D140,Vertices!$A$10:$F$203, 3, FALSE)</f>
        <v>10</v>
      </c>
      <c r="O140" s="10">
        <f>VLOOKUP($D140,Vertices!$A$10:$F$203, 4, FALSE)</f>
        <v>0</v>
      </c>
      <c r="P140" s="10">
        <f>VLOOKUP($D140,Vertices!$A$10:$F$203, 5, FALSE)</f>
        <v>70</v>
      </c>
      <c r="Q140" s="11">
        <f>VLOOKUP($D140,Vertices!$A$10:$F$203, 6, FALSE)</f>
        <v>0</v>
      </c>
    </row>
    <row r="141" spans="1:17" x14ac:dyDescent="0.25">
      <c r="A141">
        <v>131</v>
      </c>
      <c r="B141">
        <v>59</v>
      </c>
      <c r="C141">
        <v>65</v>
      </c>
      <c r="D141">
        <v>76</v>
      </c>
      <c r="F141" s="9">
        <f>VLOOKUP($B141,Vertices!$A$10:$F$203, 3, FALSE)</f>
        <v>0</v>
      </c>
      <c r="G141" s="10">
        <f>VLOOKUP($B141,Vertices!$A$10:$F$203, 4, FALSE)</f>
        <v>0</v>
      </c>
      <c r="H141" s="10">
        <f>VLOOKUP($B141,Vertices!$A$10:$F$203, 5, FALSE)</f>
        <v>40</v>
      </c>
      <c r="I141" s="11">
        <f>VLOOKUP($B141,Vertices!$A$10:$F$203, 6, FALSE)</f>
        <v>0</v>
      </c>
      <c r="J141" s="9">
        <f>VLOOKUP($C141,Vertices!$A$10:$F$203, 3, FALSE)</f>
        <v>10</v>
      </c>
      <c r="K141" s="10">
        <f>VLOOKUP($C141,Vertices!$A$10:$F$203, 4, FALSE)</f>
        <v>0</v>
      </c>
      <c r="L141" s="10">
        <f>VLOOKUP($C141,Vertices!$A$10:$F$203, 5, FALSE)</f>
        <v>40</v>
      </c>
      <c r="M141" s="11">
        <f>VLOOKUP($C141,Vertices!$A$10:$F$203, 6, FALSE)</f>
        <v>0</v>
      </c>
      <c r="N141" s="9">
        <f>VLOOKUP($D141,Vertices!$A$10:$F$203, 3, FALSE)</f>
        <v>10</v>
      </c>
      <c r="O141" s="10">
        <f>VLOOKUP($D141,Vertices!$A$10:$F$203, 4, FALSE)</f>
        <v>0</v>
      </c>
      <c r="P141" s="10">
        <f>VLOOKUP($D141,Vertices!$A$10:$F$203, 5, FALSE)</f>
        <v>70</v>
      </c>
      <c r="Q141" s="11">
        <f>VLOOKUP($D141,Vertices!$A$10:$F$203, 6, FALSE)</f>
        <v>0</v>
      </c>
    </row>
    <row r="142" spans="1:17" x14ac:dyDescent="0.25">
      <c r="A142">
        <v>132</v>
      </c>
      <c r="B142">
        <v>59</v>
      </c>
      <c r="C142">
        <v>76</v>
      </c>
      <c r="D142">
        <v>70</v>
      </c>
      <c r="F142" s="9">
        <f>VLOOKUP($B142,Vertices!$A$10:$F$203, 3, FALSE)</f>
        <v>0</v>
      </c>
      <c r="G142" s="10">
        <f>VLOOKUP($B142,Vertices!$A$10:$F$203, 4, FALSE)</f>
        <v>0</v>
      </c>
      <c r="H142" s="10">
        <f>VLOOKUP($B142,Vertices!$A$10:$F$203, 5, FALSE)</f>
        <v>40</v>
      </c>
      <c r="I142" s="11">
        <f>VLOOKUP($B142,Vertices!$A$10:$F$203, 6, FALSE)</f>
        <v>0</v>
      </c>
      <c r="J142" s="9">
        <f>VLOOKUP($C142,Vertices!$A$10:$F$203, 3, FALSE)</f>
        <v>10</v>
      </c>
      <c r="K142" s="10">
        <f>VLOOKUP($C142,Vertices!$A$10:$F$203, 4, FALSE)</f>
        <v>0</v>
      </c>
      <c r="L142" s="10">
        <f>VLOOKUP($C142,Vertices!$A$10:$F$203, 5, FALSE)</f>
        <v>70</v>
      </c>
      <c r="M142" s="11">
        <f>VLOOKUP($C142,Vertices!$A$10:$F$203, 6, FALSE)</f>
        <v>0</v>
      </c>
      <c r="N142" s="9">
        <f>VLOOKUP($D142,Vertices!$A$10:$F$203, 3, FALSE)</f>
        <v>0</v>
      </c>
      <c r="O142" s="10">
        <f>VLOOKUP($D142,Vertices!$A$10:$F$203, 4, FALSE)</f>
        <v>0</v>
      </c>
      <c r="P142" s="10">
        <f>VLOOKUP($D142,Vertices!$A$10:$F$203, 5, FALSE)</f>
        <v>70</v>
      </c>
      <c r="Q142" s="11">
        <f>VLOOKUP($D142,Vertices!$A$10:$F$203, 6, FALSE)</f>
        <v>0</v>
      </c>
    </row>
    <row r="143" spans="1:17" x14ac:dyDescent="0.25">
      <c r="A143">
        <v>133</v>
      </c>
      <c r="B143">
        <v>25</v>
      </c>
      <c r="C143">
        <v>31</v>
      </c>
      <c r="D143">
        <v>47</v>
      </c>
      <c r="F143" s="9">
        <f>VLOOKUP($B143,Vertices!$A$10:$F$203, 3, FALSE)</f>
        <v>70</v>
      </c>
      <c r="G143" s="10">
        <f>VLOOKUP($B143,Vertices!$A$10:$F$203, 4, FALSE)</f>
        <v>0</v>
      </c>
      <c r="H143" s="10">
        <f>VLOOKUP($B143,Vertices!$A$10:$F$203, 5, FALSE)</f>
        <v>0</v>
      </c>
      <c r="I143" s="11">
        <f>VLOOKUP($B143,Vertices!$A$10:$F$203, 6, FALSE)</f>
        <v>0</v>
      </c>
      <c r="J143" s="9">
        <f>VLOOKUP($C143,Vertices!$A$10:$F$203, 3, FALSE)</f>
        <v>100</v>
      </c>
      <c r="K143" s="10">
        <f>VLOOKUP($C143,Vertices!$A$10:$F$203, 4, FALSE)</f>
        <v>0</v>
      </c>
      <c r="L143" s="10">
        <f>VLOOKUP($C143,Vertices!$A$10:$F$203, 5, FALSE)</f>
        <v>0</v>
      </c>
      <c r="M143" s="11">
        <f>VLOOKUP($C143,Vertices!$A$10:$F$203, 6, FALSE)</f>
        <v>0</v>
      </c>
      <c r="N143" s="9">
        <f>VLOOKUP($D143,Vertices!$A$10:$F$203, 3, FALSE)</f>
        <v>100</v>
      </c>
      <c r="O143" s="10">
        <f>VLOOKUP($D143,Vertices!$A$10:$F$203, 4, FALSE)</f>
        <v>0</v>
      </c>
      <c r="P143" s="10">
        <f>VLOOKUP($D143,Vertices!$A$10:$F$203, 5, FALSE)</f>
        <v>10</v>
      </c>
      <c r="Q143" s="11">
        <f>VLOOKUP($D143,Vertices!$A$10:$F$203, 6, FALSE)</f>
        <v>0</v>
      </c>
    </row>
    <row r="144" spans="1:17" x14ac:dyDescent="0.25">
      <c r="A144">
        <v>134</v>
      </c>
      <c r="B144">
        <v>25</v>
      </c>
      <c r="C144">
        <v>47</v>
      </c>
      <c r="D144">
        <v>46</v>
      </c>
      <c r="F144" s="9">
        <f>VLOOKUP($B144,Vertices!$A$10:$F$203, 3, FALSE)</f>
        <v>70</v>
      </c>
      <c r="G144" s="10">
        <f>VLOOKUP($B144,Vertices!$A$10:$F$203, 4, FALSE)</f>
        <v>0</v>
      </c>
      <c r="H144" s="10">
        <f>VLOOKUP($B144,Vertices!$A$10:$F$203, 5, FALSE)</f>
        <v>0</v>
      </c>
      <c r="I144" s="11">
        <f>VLOOKUP($B144,Vertices!$A$10:$F$203, 6, FALSE)</f>
        <v>0</v>
      </c>
      <c r="J144" s="9">
        <f>VLOOKUP($C144,Vertices!$A$10:$F$203, 3, FALSE)</f>
        <v>100</v>
      </c>
      <c r="K144" s="10">
        <f>VLOOKUP($C144,Vertices!$A$10:$F$203, 4, FALSE)</f>
        <v>0</v>
      </c>
      <c r="L144" s="10">
        <f>VLOOKUP($C144,Vertices!$A$10:$F$203, 5, FALSE)</f>
        <v>10</v>
      </c>
      <c r="M144" s="11">
        <f>VLOOKUP($C144,Vertices!$A$10:$F$203, 6, FALSE)</f>
        <v>0</v>
      </c>
      <c r="N144" s="9">
        <f>VLOOKUP($D144,Vertices!$A$10:$F$203, 3, FALSE)</f>
        <v>70</v>
      </c>
      <c r="O144" s="10">
        <f>VLOOKUP($D144,Vertices!$A$10:$F$203, 4, FALSE)</f>
        <v>0</v>
      </c>
      <c r="P144" s="10">
        <f>VLOOKUP($D144,Vertices!$A$10:$F$203, 5, FALSE)</f>
        <v>10</v>
      </c>
      <c r="Q144" s="11">
        <f>VLOOKUP($D144,Vertices!$A$10:$F$203, 6, FALSE)</f>
        <v>0</v>
      </c>
    </row>
    <row r="145" spans="1:17" x14ac:dyDescent="0.25">
      <c r="A145">
        <v>135</v>
      </c>
      <c r="B145">
        <v>46</v>
      </c>
      <c r="C145">
        <v>47</v>
      </c>
      <c r="D145">
        <v>58</v>
      </c>
      <c r="F145" s="9">
        <f>VLOOKUP($B145,Vertices!$A$10:$F$203, 3, FALSE)</f>
        <v>70</v>
      </c>
      <c r="G145" s="10">
        <f>VLOOKUP($B145,Vertices!$A$10:$F$203, 4, FALSE)</f>
        <v>0</v>
      </c>
      <c r="H145" s="10">
        <f>VLOOKUP($B145,Vertices!$A$10:$F$203, 5, FALSE)</f>
        <v>10</v>
      </c>
      <c r="I145" s="11">
        <f>VLOOKUP($B145,Vertices!$A$10:$F$203, 6, FALSE)</f>
        <v>0</v>
      </c>
      <c r="J145" s="9">
        <f>VLOOKUP($C145,Vertices!$A$10:$F$203, 3, FALSE)</f>
        <v>100</v>
      </c>
      <c r="K145" s="10">
        <f>VLOOKUP($C145,Vertices!$A$10:$F$203, 4, FALSE)</f>
        <v>0</v>
      </c>
      <c r="L145" s="10">
        <f>VLOOKUP($C145,Vertices!$A$10:$F$203, 5, FALSE)</f>
        <v>10</v>
      </c>
      <c r="M145" s="11">
        <f>VLOOKUP($C145,Vertices!$A$10:$F$203, 6, FALSE)</f>
        <v>0</v>
      </c>
      <c r="N145" s="9">
        <f>VLOOKUP($D145,Vertices!$A$10:$F$203, 3, FALSE)</f>
        <v>100</v>
      </c>
      <c r="O145" s="10">
        <f>VLOOKUP($D145,Vertices!$A$10:$F$203, 4, FALSE)</f>
        <v>0</v>
      </c>
      <c r="P145" s="10">
        <f>VLOOKUP($D145,Vertices!$A$10:$F$203, 5, FALSE)</f>
        <v>20</v>
      </c>
      <c r="Q145" s="11">
        <f>VLOOKUP($D145,Vertices!$A$10:$F$203, 6, FALSE)</f>
        <v>0</v>
      </c>
    </row>
    <row r="146" spans="1:17" x14ac:dyDescent="0.25">
      <c r="A146">
        <v>136</v>
      </c>
      <c r="B146">
        <v>46</v>
      </c>
      <c r="C146">
        <v>58</v>
      </c>
      <c r="D146">
        <v>57</v>
      </c>
      <c r="F146" s="9">
        <f>VLOOKUP($B146,Vertices!$A$10:$F$203, 3, FALSE)</f>
        <v>70</v>
      </c>
      <c r="G146" s="10">
        <f>VLOOKUP($B146,Vertices!$A$10:$F$203, 4, FALSE)</f>
        <v>0</v>
      </c>
      <c r="H146" s="10">
        <f>VLOOKUP($B146,Vertices!$A$10:$F$203, 5, FALSE)</f>
        <v>10</v>
      </c>
      <c r="I146" s="11">
        <f>VLOOKUP($B146,Vertices!$A$10:$F$203, 6, FALSE)</f>
        <v>0</v>
      </c>
      <c r="J146" s="9">
        <f>VLOOKUP($C146,Vertices!$A$10:$F$203, 3, FALSE)</f>
        <v>100</v>
      </c>
      <c r="K146" s="10">
        <f>VLOOKUP($C146,Vertices!$A$10:$F$203, 4, FALSE)</f>
        <v>0</v>
      </c>
      <c r="L146" s="10">
        <f>VLOOKUP($C146,Vertices!$A$10:$F$203, 5, FALSE)</f>
        <v>20</v>
      </c>
      <c r="M146" s="11">
        <f>VLOOKUP($C146,Vertices!$A$10:$F$203, 6, FALSE)</f>
        <v>0</v>
      </c>
      <c r="N146" s="9">
        <f>VLOOKUP($D146,Vertices!$A$10:$F$203, 3, FALSE)</f>
        <v>70</v>
      </c>
      <c r="O146" s="10">
        <f>VLOOKUP($D146,Vertices!$A$10:$F$203, 4, FALSE)</f>
        <v>0</v>
      </c>
      <c r="P146" s="10">
        <f>VLOOKUP($D146,Vertices!$A$10:$F$203, 5, FALSE)</f>
        <v>20</v>
      </c>
      <c r="Q146" s="11">
        <f>VLOOKUP($D146,Vertices!$A$10:$F$203, 6, FALSE)</f>
        <v>0</v>
      </c>
    </row>
    <row r="147" spans="1:17" x14ac:dyDescent="0.25">
      <c r="A147">
        <v>137</v>
      </c>
      <c r="B147">
        <v>57</v>
      </c>
      <c r="C147">
        <v>58</v>
      </c>
      <c r="D147">
        <v>69</v>
      </c>
      <c r="F147" s="9">
        <f>VLOOKUP($B147,Vertices!$A$10:$F$203, 3, FALSE)</f>
        <v>70</v>
      </c>
      <c r="G147" s="10">
        <f>VLOOKUP($B147,Vertices!$A$10:$F$203, 4, FALSE)</f>
        <v>0</v>
      </c>
      <c r="H147" s="10">
        <f>VLOOKUP($B147,Vertices!$A$10:$F$203, 5, FALSE)</f>
        <v>20</v>
      </c>
      <c r="I147" s="11">
        <f>VLOOKUP($B147,Vertices!$A$10:$F$203, 6, FALSE)</f>
        <v>0</v>
      </c>
      <c r="J147" s="9">
        <f>VLOOKUP($C147,Vertices!$A$10:$F$203, 3, FALSE)</f>
        <v>100</v>
      </c>
      <c r="K147" s="10">
        <f>VLOOKUP($C147,Vertices!$A$10:$F$203, 4, FALSE)</f>
        <v>0</v>
      </c>
      <c r="L147" s="10">
        <f>VLOOKUP($C147,Vertices!$A$10:$F$203, 5, FALSE)</f>
        <v>20</v>
      </c>
      <c r="M147" s="11">
        <f>VLOOKUP($C147,Vertices!$A$10:$F$203, 6, FALSE)</f>
        <v>0</v>
      </c>
      <c r="N147" s="9">
        <f>VLOOKUP($D147,Vertices!$A$10:$F$203, 3, FALSE)</f>
        <v>100</v>
      </c>
      <c r="O147" s="10">
        <f>VLOOKUP($D147,Vertices!$A$10:$F$203, 4, FALSE)</f>
        <v>0</v>
      </c>
      <c r="P147" s="10">
        <f>VLOOKUP($D147,Vertices!$A$10:$F$203, 5, FALSE)</f>
        <v>40</v>
      </c>
      <c r="Q147" s="11">
        <f>VLOOKUP($D147,Vertices!$A$10:$F$203, 6, FALSE)</f>
        <v>0</v>
      </c>
    </row>
    <row r="148" spans="1:17" x14ac:dyDescent="0.25">
      <c r="A148">
        <v>138</v>
      </c>
      <c r="B148">
        <v>57</v>
      </c>
      <c r="C148">
        <v>69</v>
      </c>
      <c r="D148">
        <v>68</v>
      </c>
      <c r="F148" s="9">
        <f>VLOOKUP($B148,Vertices!$A$10:$F$203, 3, FALSE)</f>
        <v>70</v>
      </c>
      <c r="G148" s="10">
        <f>VLOOKUP($B148,Vertices!$A$10:$F$203, 4, FALSE)</f>
        <v>0</v>
      </c>
      <c r="H148" s="10">
        <f>VLOOKUP($B148,Vertices!$A$10:$F$203, 5, FALSE)</f>
        <v>20</v>
      </c>
      <c r="I148" s="11">
        <f>VLOOKUP($B148,Vertices!$A$10:$F$203, 6, FALSE)</f>
        <v>0</v>
      </c>
      <c r="J148" s="9">
        <f>VLOOKUP($C148,Vertices!$A$10:$F$203, 3, FALSE)</f>
        <v>100</v>
      </c>
      <c r="K148" s="10">
        <f>VLOOKUP($C148,Vertices!$A$10:$F$203, 4, FALSE)</f>
        <v>0</v>
      </c>
      <c r="L148" s="10">
        <f>VLOOKUP($C148,Vertices!$A$10:$F$203, 5, FALSE)</f>
        <v>40</v>
      </c>
      <c r="M148" s="11">
        <f>VLOOKUP($C148,Vertices!$A$10:$F$203, 6, FALSE)</f>
        <v>0</v>
      </c>
      <c r="N148" s="9">
        <f>VLOOKUP($D148,Vertices!$A$10:$F$203, 3, FALSE)</f>
        <v>70</v>
      </c>
      <c r="O148" s="10">
        <f>VLOOKUP($D148,Vertices!$A$10:$F$203, 4, FALSE)</f>
        <v>0</v>
      </c>
      <c r="P148" s="10">
        <f>VLOOKUP($D148,Vertices!$A$10:$F$203, 5, FALSE)</f>
        <v>40</v>
      </c>
      <c r="Q148" s="11">
        <f>VLOOKUP($D148,Vertices!$A$10:$F$203, 6, FALSE)</f>
        <v>0</v>
      </c>
    </row>
    <row r="149" spans="1:17" x14ac:dyDescent="0.25">
      <c r="A149">
        <v>139</v>
      </c>
      <c r="B149">
        <v>68</v>
      </c>
      <c r="C149">
        <v>69</v>
      </c>
      <c r="D149">
        <v>80</v>
      </c>
      <c r="F149" s="9">
        <f>VLOOKUP($B149,Vertices!$A$10:$F$203, 3, FALSE)</f>
        <v>70</v>
      </c>
      <c r="G149" s="10">
        <f>VLOOKUP($B149,Vertices!$A$10:$F$203, 4, FALSE)</f>
        <v>0</v>
      </c>
      <c r="H149" s="10">
        <f>VLOOKUP($B149,Vertices!$A$10:$F$203, 5, FALSE)</f>
        <v>40</v>
      </c>
      <c r="I149" s="11">
        <f>VLOOKUP($B149,Vertices!$A$10:$F$203, 6, FALSE)</f>
        <v>0</v>
      </c>
      <c r="J149" s="9">
        <f>VLOOKUP($C149,Vertices!$A$10:$F$203, 3, FALSE)</f>
        <v>100</v>
      </c>
      <c r="K149" s="10">
        <f>VLOOKUP($C149,Vertices!$A$10:$F$203, 4, FALSE)</f>
        <v>0</v>
      </c>
      <c r="L149" s="10">
        <f>VLOOKUP($C149,Vertices!$A$10:$F$203, 5, FALSE)</f>
        <v>40</v>
      </c>
      <c r="M149" s="11">
        <f>VLOOKUP($C149,Vertices!$A$10:$F$203, 6, FALSE)</f>
        <v>0</v>
      </c>
      <c r="N149" s="9">
        <f>VLOOKUP($D149,Vertices!$A$10:$F$203, 3, FALSE)</f>
        <v>100</v>
      </c>
      <c r="O149" s="10">
        <f>VLOOKUP($D149,Vertices!$A$10:$F$203, 4, FALSE)</f>
        <v>0</v>
      </c>
      <c r="P149" s="10">
        <f>VLOOKUP($D149,Vertices!$A$10:$F$203, 5, FALSE)</f>
        <v>70</v>
      </c>
      <c r="Q149" s="11">
        <f>VLOOKUP($D149,Vertices!$A$10:$F$203, 6, FALSE)</f>
        <v>0</v>
      </c>
    </row>
    <row r="150" spans="1:17" x14ac:dyDescent="0.25">
      <c r="A150">
        <v>140</v>
      </c>
      <c r="B150">
        <v>68</v>
      </c>
      <c r="C150">
        <v>80</v>
      </c>
      <c r="D150">
        <v>79</v>
      </c>
      <c r="F150" s="9">
        <f>VLOOKUP($B150,Vertices!$A$10:$F$203, 3, FALSE)</f>
        <v>70</v>
      </c>
      <c r="G150" s="10">
        <f>VLOOKUP($B150,Vertices!$A$10:$F$203, 4, FALSE)</f>
        <v>0</v>
      </c>
      <c r="H150" s="10">
        <f>VLOOKUP($B150,Vertices!$A$10:$F$203, 5, FALSE)</f>
        <v>40</v>
      </c>
      <c r="I150" s="11">
        <f>VLOOKUP($B150,Vertices!$A$10:$F$203, 6, FALSE)</f>
        <v>0</v>
      </c>
      <c r="J150" s="9">
        <f>VLOOKUP($C150,Vertices!$A$10:$F$203, 3, FALSE)</f>
        <v>100</v>
      </c>
      <c r="K150" s="10">
        <f>VLOOKUP($C150,Vertices!$A$10:$F$203, 4, FALSE)</f>
        <v>0</v>
      </c>
      <c r="L150" s="10">
        <f>VLOOKUP($C150,Vertices!$A$10:$F$203, 5, FALSE)</f>
        <v>70</v>
      </c>
      <c r="M150" s="11">
        <f>VLOOKUP($C150,Vertices!$A$10:$F$203, 6, FALSE)</f>
        <v>0</v>
      </c>
      <c r="N150" s="9">
        <f>VLOOKUP($D150,Vertices!$A$10:$F$203, 3, FALSE)</f>
        <v>70</v>
      </c>
      <c r="O150" s="10">
        <f>VLOOKUP($D150,Vertices!$A$10:$F$203, 4, FALSE)</f>
        <v>0</v>
      </c>
      <c r="P150" s="10">
        <f>VLOOKUP($D150,Vertices!$A$10:$F$203, 5, FALSE)</f>
        <v>70</v>
      </c>
      <c r="Q150" s="11">
        <f>VLOOKUP($D150,Vertices!$A$10:$F$203, 6, FALSE)</f>
        <v>0</v>
      </c>
    </row>
    <row r="151" spans="1:17" x14ac:dyDescent="0.25">
      <c r="A151">
        <v>141</v>
      </c>
      <c r="B151">
        <v>79</v>
      </c>
      <c r="C151">
        <v>80</v>
      </c>
      <c r="D151">
        <v>91</v>
      </c>
      <c r="F151" s="9">
        <f>VLOOKUP($B151,Vertices!$A$10:$F$203, 3, FALSE)</f>
        <v>70</v>
      </c>
      <c r="G151" s="10">
        <f>VLOOKUP($B151,Vertices!$A$10:$F$203, 4, FALSE)</f>
        <v>0</v>
      </c>
      <c r="H151" s="10">
        <f>VLOOKUP($B151,Vertices!$A$10:$F$203, 5, FALSE)</f>
        <v>70</v>
      </c>
      <c r="I151" s="11">
        <f>VLOOKUP($B151,Vertices!$A$10:$F$203, 6, FALSE)</f>
        <v>0</v>
      </c>
      <c r="J151" s="9">
        <f>VLOOKUP($C151,Vertices!$A$10:$F$203, 3, FALSE)</f>
        <v>100</v>
      </c>
      <c r="K151" s="10">
        <f>VLOOKUP($C151,Vertices!$A$10:$F$203, 4, FALSE)</f>
        <v>0</v>
      </c>
      <c r="L151" s="10">
        <f>VLOOKUP($C151,Vertices!$A$10:$F$203, 5, FALSE)</f>
        <v>70</v>
      </c>
      <c r="M151" s="11">
        <f>VLOOKUP($C151,Vertices!$A$10:$F$203, 6, FALSE)</f>
        <v>0</v>
      </c>
      <c r="N151" s="9">
        <f>VLOOKUP($D151,Vertices!$A$10:$F$203, 3, FALSE)</f>
        <v>100</v>
      </c>
      <c r="O151" s="10">
        <f>VLOOKUP($D151,Vertices!$A$10:$F$203, 4, FALSE)</f>
        <v>0</v>
      </c>
      <c r="P151" s="10">
        <f>VLOOKUP($D151,Vertices!$A$10:$F$203, 5, FALSE)</f>
        <v>100</v>
      </c>
      <c r="Q151" s="11">
        <f>VLOOKUP($D151,Vertices!$A$10:$F$203, 6, FALSE)</f>
        <v>0</v>
      </c>
    </row>
    <row r="152" spans="1:17" x14ac:dyDescent="0.25">
      <c r="A152">
        <v>142</v>
      </c>
      <c r="B152">
        <v>79</v>
      </c>
      <c r="C152">
        <v>91</v>
      </c>
      <c r="D152">
        <v>90</v>
      </c>
      <c r="F152" s="9">
        <f>VLOOKUP($B152,Vertices!$A$10:$F$203, 3, FALSE)</f>
        <v>70</v>
      </c>
      <c r="G152" s="10">
        <f>VLOOKUP($B152,Vertices!$A$10:$F$203, 4, FALSE)</f>
        <v>0</v>
      </c>
      <c r="H152" s="10">
        <f>VLOOKUP($B152,Vertices!$A$10:$F$203, 5, FALSE)</f>
        <v>70</v>
      </c>
      <c r="I152" s="11">
        <f>VLOOKUP($B152,Vertices!$A$10:$F$203, 6, FALSE)</f>
        <v>0</v>
      </c>
      <c r="J152" s="9">
        <f>VLOOKUP($C152,Vertices!$A$10:$F$203, 3, FALSE)</f>
        <v>100</v>
      </c>
      <c r="K152" s="10">
        <f>VLOOKUP($C152,Vertices!$A$10:$F$203, 4, FALSE)</f>
        <v>0</v>
      </c>
      <c r="L152" s="10">
        <f>VLOOKUP($C152,Vertices!$A$10:$F$203, 5, FALSE)</f>
        <v>100</v>
      </c>
      <c r="M152" s="11">
        <f>VLOOKUP($C152,Vertices!$A$10:$F$203, 6, FALSE)</f>
        <v>0</v>
      </c>
      <c r="N152" s="9">
        <f>VLOOKUP($D152,Vertices!$A$10:$F$203, 3, FALSE)</f>
        <v>70</v>
      </c>
      <c r="O152" s="10">
        <f>VLOOKUP($D152,Vertices!$A$10:$F$203, 4, FALSE)</f>
        <v>0</v>
      </c>
      <c r="P152" s="10">
        <f>VLOOKUP($D152,Vertices!$A$10:$F$203, 5, FALSE)</f>
        <v>100</v>
      </c>
      <c r="Q152" s="11">
        <f>VLOOKUP($D152,Vertices!$A$10:$F$203, 6, FALSE)</f>
        <v>0</v>
      </c>
    </row>
    <row r="153" spans="1:17" x14ac:dyDescent="0.25">
      <c r="A153">
        <v>143</v>
      </c>
      <c r="B153">
        <v>78</v>
      </c>
      <c r="C153">
        <v>79</v>
      </c>
      <c r="D153">
        <v>90</v>
      </c>
      <c r="F153" s="9">
        <f>VLOOKUP($B153,Vertices!$A$10:$F$203, 3, FALSE)</f>
        <v>40</v>
      </c>
      <c r="G153" s="10">
        <f>VLOOKUP($B153,Vertices!$A$10:$F$203, 4, FALSE)</f>
        <v>0</v>
      </c>
      <c r="H153" s="10">
        <f>VLOOKUP($B153,Vertices!$A$10:$F$203, 5, FALSE)</f>
        <v>70</v>
      </c>
      <c r="I153" s="11">
        <f>VLOOKUP($B153,Vertices!$A$10:$F$203, 6, FALSE)</f>
        <v>0</v>
      </c>
      <c r="J153" s="9">
        <f>VLOOKUP($C153,Vertices!$A$10:$F$203, 3, FALSE)</f>
        <v>70</v>
      </c>
      <c r="K153" s="10">
        <f>VLOOKUP($C153,Vertices!$A$10:$F$203, 4, FALSE)</f>
        <v>0</v>
      </c>
      <c r="L153" s="10">
        <f>VLOOKUP($C153,Vertices!$A$10:$F$203, 5, FALSE)</f>
        <v>70</v>
      </c>
      <c r="M153" s="11">
        <f>VLOOKUP($C153,Vertices!$A$10:$F$203, 6, FALSE)</f>
        <v>0</v>
      </c>
      <c r="N153" s="9">
        <f>VLOOKUP($D153,Vertices!$A$10:$F$203, 3, FALSE)</f>
        <v>70</v>
      </c>
      <c r="O153" s="10">
        <f>VLOOKUP($D153,Vertices!$A$10:$F$203, 4, FALSE)</f>
        <v>0</v>
      </c>
      <c r="P153" s="10">
        <f>VLOOKUP($D153,Vertices!$A$10:$F$203, 5, FALSE)</f>
        <v>100</v>
      </c>
      <c r="Q153" s="11">
        <f>VLOOKUP($D153,Vertices!$A$10:$F$203, 6, FALSE)</f>
        <v>0</v>
      </c>
    </row>
    <row r="154" spans="1:17" x14ac:dyDescent="0.25">
      <c r="A154">
        <v>144</v>
      </c>
      <c r="B154">
        <v>78</v>
      </c>
      <c r="C154">
        <v>90</v>
      </c>
      <c r="D154">
        <v>89</v>
      </c>
      <c r="F154" s="9">
        <f>VLOOKUP($B154,Vertices!$A$10:$F$203, 3, FALSE)</f>
        <v>40</v>
      </c>
      <c r="G154" s="10">
        <f>VLOOKUP($B154,Vertices!$A$10:$F$203, 4, FALSE)</f>
        <v>0</v>
      </c>
      <c r="H154" s="10">
        <f>VLOOKUP($B154,Vertices!$A$10:$F$203, 5, FALSE)</f>
        <v>70</v>
      </c>
      <c r="I154" s="11">
        <f>VLOOKUP($B154,Vertices!$A$10:$F$203, 6, FALSE)</f>
        <v>0</v>
      </c>
      <c r="J154" s="9">
        <f>VLOOKUP($C154,Vertices!$A$10:$F$203, 3, FALSE)</f>
        <v>70</v>
      </c>
      <c r="K154" s="10">
        <f>VLOOKUP($C154,Vertices!$A$10:$F$203, 4, FALSE)</f>
        <v>0</v>
      </c>
      <c r="L154" s="10">
        <f>VLOOKUP($C154,Vertices!$A$10:$F$203, 5, FALSE)</f>
        <v>100</v>
      </c>
      <c r="M154" s="11">
        <f>VLOOKUP($C154,Vertices!$A$10:$F$203, 6, FALSE)</f>
        <v>0</v>
      </c>
      <c r="N154" s="9">
        <f>VLOOKUP($D154,Vertices!$A$10:$F$203, 3, FALSE)</f>
        <v>40</v>
      </c>
      <c r="O154" s="10">
        <f>VLOOKUP($D154,Vertices!$A$10:$F$203, 4, FALSE)</f>
        <v>0</v>
      </c>
      <c r="P154" s="10">
        <f>VLOOKUP($D154,Vertices!$A$10:$F$203, 5, FALSE)</f>
        <v>100</v>
      </c>
      <c r="Q154" s="11">
        <f>VLOOKUP($D154,Vertices!$A$10:$F$203, 6, FALSE)</f>
        <v>0</v>
      </c>
    </row>
    <row r="155" spans="1:17" x14ac:dyDescent="0.25">
      <c r="A155">
        <v>145</v>
      </c>
      <c r="B155">
        <v>77</v>
      </c>
      <c r="C155">
        <v>78</v>
      </c>
      <c r="D155">
        <v>89</v>
      </c>
      <c r="F155" s="9">
        <f>VLOOKUP($B155,Vertices!$A$10:$F$203, 3, FALSE)</f>
        <v>20</v>
      </c>
      <c r="G155" s="10">
        <f>VLOOKUP($B155,Vertices!$A$10:$F$203, 4, FALSE)</f>
        <v>0</v>
      </c>
      <c r="H155" s="10">
        <f>VLOOKUP($B155,Vertices!$A$10:$F$203, 5, FALSE)</f>
        <v>70</v>
      </c>
      <c r="I155" s="11">
        <f>VLOOKUP($B155,Vertices!$A$10:$F$203, 6, FALSE)</f>
        <v>0</v>
      </c>
      <c r="J155" s="9">
        <f>VLOOKUP($C155,Vertices!$A$10:$F$203, 3, FALSE)</f>
        <v>40</v>
      </c>
      <c r="K155" s="10">
        <f>VLOOKUP($C155,Vertices!$A$10:$F$203, 4, FALSE)</f>
        <v>0</v>
      </c>
      <c r="L155" s="10">
        <f>VLOOKUP($C155,Vertices!$A$10:$F$203, 5, FALSE)</f>
        <v>70</v>
      </c>
      <c r="M155" s="11">
        <f>VLOOKUP($C155,Vertices!$A$10:$F$203, 6, FALSE)</f>
        <v>0</v>
      </c>
      <c r="N155" s="9">
        <f>VLOOKUP($D155,Vertices!$A$10:$F$203, 3, FALSE)</f>
        <v>40</v>
      </c>
      <c r="O155" s="10">
        <f>VLOOKUP($D155,Vertices!$A$10:$F$203, 4, FALSE)</f>
        <v>0</v>
      </c>
      <c r="P155" s="10">
        <f>VLOOKUP($D155,Vertices!$A$10:$F$203, 5, FALSE)</f>
        <v>100</v>
      </c>
      <c r="Q155" s="11">
        <f>VLOOKUP($D155,Vertices!$A$10:$F$203, 6, FALSE)</f>
        <v>0</v>
      </c>
    </row>
    <row r="156" spans="1:17" x14ac:dyDescent="0.25">
      <c r="A156">
        <v>146</v>
      </c>
      <c r="B156">
        <v>77</v>
      </c>
      <c r="C156">
        <v>89</v>
      </c>
      <c r="D156">
        <v>88</v>
      </c>
      <c r="F156" s="9">
        <f>VLOOKUP($B156,Vertices!$A$10:$F$203, 3, FALSE)</f>
        <v>20</v>
      </c>
      <c r="G156" s="10">
        <f>VLOOKUP($B156,Vertices!$A$10:$F$203, 4, FALSE)</f>
        <v>0</v>
      </c>
      <c r="H156" s="10">
        <f>VLOOKUP($B156,Vertices!$A$10:$F$203, 5, FALSE)</f>
        <v>70</v>
      </c>
      <c r="I156" s="11">
        <f>VLOOKUP($B156,Vertices!$A$10:$F$203, 6, FALSE)</f>
        <v>0</v>
      </c>
      <c r="J156" s="9">
        <f>VLOOKUP($C156,Vertices!$A$10:$F$203, 3, FALSE)</f>
        <v>40</v>
      </c>
      <c r="K156" s="10">
        <f>VLOOKUP($C156,Vertices!$A$10:$F$203, 4, FALSE)</f>
        <v>0</v>
      </c>
      <c r="L156" s="10">
        <f>VLOOKUP($C156,Vertices!$A$10:$F$203, 5, FALSE)</f>
        <v>100</v>
      </c>
      <c r="M156" s="11">
        <f>VLOOKUP($C156,Vertices!$A$10:$F$203, 6, FALSE)</f>
        <v>0</v>
      </c>
      <c r="N156" s="9">
        <f>VLOOKUP($D156,Vertices!$A$10:$F$203, 3, FALSE)</f>
        <v>20</v>
      </c>
      <c r="O156" s="10">
        <f>VLOOKUP($D156,Vertices!$A$10:$F$203, 4, FALSE)</f>
        <v>0</v>
      </c>
      <c r="P156" s="10">
        <f>VLOOKUP($D156,Vertices!$A$10:$F$203, 5, FALSE)</f>
        <v>100</v>
      </c>
      <c r="Q156" s="11">
        <f>VLOOKUP($D156,Vertices!$A$10:$F$203, 6, FALSE)</f>
        <v>0</v>
      </c>
    </row>
    <row r="157" spans="1:17" x14ac:dyDescent="0.25">
      <c r="A157">
        <v>147</v>
      </c>
      <c r="B157">
        <v>76</v>
      </c>
      <c r="C157">
        <v>77</v>
      </c>
      <c r="D157">
        <v>88</v>
      </c>
      <c r="F157" s="9">
        <f>VLOOKUP($B157,Vertices!$A$10:$F$203, 3, FALSE)</f>
        <v>10</v>
      </c>
      <c r="G157" s="10">
        <f>VLOOKUP($B157,Vertices!$A$10:$F$203, 4, FALSE)</f>
        <v>0</v>
      </c>
      <c r="H157" s="10">
        <f>VLOOKUP($B157,Vertices!$A$10:$F$203, 5, FALSE)</f>
        <v>70</v>
      </c>
      <c r="I157" s="11">
        <f>VLOOKUP($B157,Vertices!$A$10:$F$203, 6, FALSE)</f>
        <v>0</v>
      </c>
      <c r="J157" s="9">
        <f>VLOOKUP($C157,Vertices!$A$10:$F$203, 3, FALSE)</f>
        <v>20</v>
      </c>
      <c r="K157" s="10">
        <f>VLOOKUP($C157,Vertices!$A$10:$F$203, 4, FALSE)</f>
        <v>0</v>
      </c>
      <c r="L157" s="10">
        <f>VLOOKUP($C157,Vertices!$A$10:$F$203, 5, FALSE)</f>
        <v>70</v>
      </c>
      <c r="M157" s="11">
        <f>VLOOKUP($C157,Vertices!$A$10:$F$203, 6, FALSE)</f>
        <v>0</v>
      </c>
      <c r="N157" s="9">
        <f>VLOOKUP($D157,Vertices!$A$10:$F$203, 3, FALSE)</f>
        <v>20</v>
      </c>
      <c r="O157" s="10">
        <f>VLOOKUP($D157,Vertices!$A$10:$F$203, 4, FALSE)</f>
        <v>0</v>
      </c>
      <c r="P157" s="10">
        <f>VLOOKUP($D157,Vertices!$A$10:$F$203, 5, FALSE)</f>
        <v>100</v>
      </c>
      <c r="Q157" s="11">
        <f>VLOOKUP($D157,Vertices!$A$10:$F$203, 6, FALSE)</f>
        <v>0</v>
      </c>
    </row>
    <row r="158" spans="1:17" x14ac:dyDescent="0.25">
      <c r="A158">
        <v>148</v>
      </c>
      <c r="B158">
        <v>76</v>
      </c>
      <c r="C158">
        <v>88</v>
      </c>
      <c r="D158">
        <v>87</v>
      </c>
      <c r="F158" s="9">
        <f>VLOOKUP($B158,Vertices!$A$10:$F$203, 3, FALSE)</f>
        <v>10</v>
      </c>
      <c r="G158" s="10">
        <f>VLOOKUP($B158,Vertices!$A$10:$F$203, 4, FALSE)</f>
        <v>0</v>
      </c>
      <c r="H158" s="10">
        <f>VLOOKUP($B158,Vertices!$A$10:$F$203, 5, FALSE)</f>
        <v>70</v>
      </c>
      <c r="I158" s="11">
        <f>VLOOKUP($B158,Vertices!$A$10:$F$203, 6, FALSE)</f>
        <v>0</v>
      </c>
      <c r="J158" s="9">
        <f>VLOOKUP($C158,Vertices!$A$10:$F$203, 3, FALSE)</f>
        <v>20</v>
      </c>
      <c r="K158" s="10">
        <f>VLOOKUP($C158,Vertices!$A$10:$F$203, 4, FALSE)</f>
        <v>0</v>
      </c>
      <c r="L158" s="10">
        <f>VLOOKUP($C158,Vertices!$A$10:$F$203, 5, FALSE)</f>
        <v>100</v>
      </c>
      <c r="M158" s="11">
        <f>VLOOKUP($C158,Vertices!$A$10:$F$203, 6, FALSE)</f>
        <v>0</v>
      </c>
      <c r="N158" s="9">
        <f>VLOOKUP($D158,Vertices!$A$10:$F$203, 3, FALSE)</f>
        <v>10</v>
      </c>
      <c r="O158" s="10">
        <f>VLOOKUP($D158,Vertices!$A$10:$F$203, 4, FALSE)</f>
        <v>0</v>
      </c>
      <c r="P158" s="10">
        <f>VLOOKUP($D158,Vertices!$A$10:$F$203, 5, FALSE)</f>
        <v>100</v>
      </c>
      <c r="Q158" s="11">
        <f>VLOOKUP($D158,Vertices!$A$10:$F$203, 6, FALSE)</f>
        <v>0</v>
      </c>
    </row>
    <row r="159" spans="1:17" x14ac:dyDescent="0.25">
      <c r="A159">
        <v>149</v>
      </c>
      <c r="B159">
        <v>70</v>
      </c>
      <c r="C159">
        <v>76</v>
      </c>
      <c r="D159">
        <v>87</v>
      </c>
      <c r="F159" s="9">
        <f>VLOOKUP($B159,Vertices!$A$10:$F$203, 3, FALSE)</f>
        <v>0</v>
      </c>
      <c r="G159" s="10">
        <f>VLOOKUP($B159,Vertices!$A$10:$F$203, 4, FALSE)</f>
        <v>0</v>
      </c>
      <c r="H159" s="10">
        <f>VLOOKUP($B159,Vertices!$A$10:$F$203, 5, FALSE)</f>
        <v>70</v>
      </c>
      <c r="I159" s="11">
        <f>VLOOKUP($B159,Vertices!$A$10:$F$203, 6, FALSE)</f>
        <v>0</v>
      </c>
      <c r="J159" s="9">
        <f>VLOOKUP($C159,Vertices!$A$10:$F$203, 3, FALSE)</f>
        <v>10</v>
      </c>
      <c r="K159" s="10">
        <f>VLOOKUP($C159,Vertices!$A$10:$F$203, 4, FALSE)</f>
        <v>0</v>
      </c>
      <c r="L159" s="10">
        <f>VLOOKUP($C159,Vertices!$A$10:$F$203, 5, FALSE)</f>
        <v>70</v>
      </c>
      <c r="M159" s="11">
        <f>VLOOKUP($C159,Vertices!$A$10:$F$203, 6, FALSE)</f>
        <v>0</v>
      </c>
      <c r="N159" s="9">
        <f>VLOOKUP($D159,Vertices!$A$10:$F$203, 3, FALSE)</f>
        <v>10</v>
      </c>
      <c r="O159" s="10">
        <f>VLOOKUP($D159,Vertices!$A$10:$F$203, 4, FALSE)</f>
        <v>0</v>
      </c>
      <c r="P159" s="10">
        <f>VLOOKUP($D159,Vertices!$A$10:$F$203, 5, FALSE)</f>
        <v>100</v>
      </c>
      <c r="Q159" s="11">
        <f>VLOOKUP($D159,Vertices!$A$10:$F$203, 6, FALSE)</f>
        <v>0</v>
      </c>
    </row>
    <row r="160" spans="1:17" x14ac:dyDescent="0.25">
      <c r="A160">
        <v>150</v>
      </c>
      <c r="B160">
        <v>70</v>
      </c>
      <c r="C160">
        <v>87</v>
      </c>
      <c r="D160">
        <v>81</v>
      </c>
      <c r="F160" s="9">
        <f>VLOOKUP($B160,Vertices!$A$10:$F$203, 3, FALSE)</f>
        <v>0</v>
      </c>
      <c r="G160" s="10">
        <f>VLOOKUP($B160,Vertices!$A$10:$F$203, 4, FALSE)</f>
        <v>0</v>
      </c>
      <c r="H160" s="10">
        <f>VLOOKUP($B160,Vertices!$A$10:$F$203, 5, FALSE)</f>
        <v>70</v>
      </c>
      <c r="I160" s="11">
        <f>VLOOKUP($B160,Vertices!$A$10:$F$203, 6, FALSE)</f>
        <v>0</v>
      </c>
      <c r="J160" s="9">
        <f>VLOOKUP($C160,Vertices!$A$10:$F$203, 3, FALSE)</f>
        <v>10</v>
      </c>
      <c r="K160" s="10">
        <f>VLOOKUP($C160,Vertices!$A$10:$F$203, 4, FALSE)</f>
        <v>0</v>
      </c>
      <c r="L160" s="10">
        <f>VLOOKUP($C160,Vertices!$A$10:$F$203, 5, FALSE)</f>
        <v>100</v>
      </c>
      <c r="M160" s="11">
        <f>VLOOKUP($C160,Vertices!$A$10:$F$203, 6, FALSE)</f>
        <v>0</v>
      </c>
      <c r="N160" s="9">
        <f>VLOOKUP($D160,Vertices!$A$10:$F$203, 3, FALSE)</f>
        <v>0</v>
      </c>
      <c r="O160" s="10">
        <f>VLOOKUP($D160,Vertices!$A$10:$F$203, 4, FALSE)</f>
        <v>0</v>
      </c>
      <c r="P160" s="10">
        <f>VLOOKUP($D160,Vertices!$A$10:$F$203, 5, FALSE)</f>
        <v>100</v>
      </c>
      <c r="Q160" s="11">
        <f>VLOOKUP($D160,Vertices!$A$10:$F$203, 6, FALSE)</f>
        <v>0</v>
      </c>
    </row>
    <row r="161" spans="1:17" x14ac:dyDescent="0.25">
      <c r="A161">
        <v>151</v>
      </c>
      <c r="B161">
        <v>31</v>
      </c>
      <c r="C161">
        <v>98</v>
      </c>
      <c r="D161">
        <v>97</v>
      </c>
      <c r="F161" s="9">
        <f>VLOOKUP($B161,Vertices!$A$10:$F$203, 3, FALSE)</f>
        <v>100</v>
      </c>
      <c r="G161" s="10">
        <f>VLOOKUP($B161,Vertices!$A$10:$F$203, 4, FALSE)</f>
        <v>0</v>
      </c>
      <c r="H161" s="10">
        <f>VLOOKUP($B161,Vertices!$A$10:$F$203, 5, FALSE)</f>
        <v>0</v>
      </c>
      <c r="I161" s="11">
        <f>VLOOKUP($B161,Vertices!$A$10:$F$203, 6, FALSE)</f>
        <v>0</v>
      </c>
      <c r="J161" s="9">
        <f>VLOOKUP($C161,Vertices!$A$10:$F$203, 3, FALSE)</f>
        <v>100</v>
      </c>
      <c r="K161" s="10">
        <f>VLOOKUP($C161,Vertices!$A$10:$F$203, 4, FALSE)</f>
        <v>10</v>
      </c>
      <c r="L161" s="10">
        <f>VLOOKUP($C161,Vertices!$A$10:$F$203, 5, FALSE)</f>
        <v>0</v>
      </c>
      <c r="M161" s="11">
        <f>VLOOKUP($C161,Vertices!$A$10:$F$203, 6, FALSE)</f>
        <v>20</v>
      </c>
      <c r="N161" s="9">
        <f>VLOOKUP($D161,Vertices!$A$10:$F$203, 3, FALSE)</f>
        <v>100</v>
      </c>
      <c r="O161" s="10">
        <f>VLOOKUP($D161,Vertices!$A$10:$F$203, 4, FALSE)</f>
        <v>0</v>
      </c>
      <c r="P161" s="10">
        <f>VLOOKUP($D161,Vertices!$A$10:$F$203, 5, FALSE)</f>
        <v>0</v>
      </c>
      <c r="Q161" s="11">
        <f>VLOOKUP($D161,Vertices!$A$10:$F$203, 6, FALSE)</f>
        <v>20</v>
      </c>
    </row>
    <row r="162" spans="1:17" x14ac:dyDescent="0.25">
      <c r="A162">
        <v>152</v>
      </c>
      <c r="B162">
        <v>31</v>
      </c>
      <c r="C162">
        <v>32</v>
      </c>
      <c r="D162">
        <v>98</v>
      </c>
      <c r="F162" s="9">
        <f>VLOOKUP($B162,Vertices!$A$10:$F$203, 3, FALSE)</f>
        <v>100</v>
      </c>
      <c r="G162" s="10">
        <f>VLOOKUP($B162,Vertices!$A$10:$F$203, 4, FALSE)</f>
        <v>0</v>
      </c>
      <c r="H162" s="10">
        <f>VLOOKUP($B162,Vertices!$A$10:$F$203, 5, FALSE)</f>
        <v>0</v>
      </c>
      <c r="I162" s="11">
        <f>VLOOKUP($B162,Vertices!$A$10:$F$203, 6, FALSE)</f>
        <v>0</v>
      </c>
      <c r="J162" s="9">
        <f>VLOOKUP($C162,Vertices!$A$10:$F$203, 3, FALSE)</f>
        <v>100</v>
      </c>
      <c r="K162" s="10">
        <f>VLOOKUP($C162,Vertices!$A$10:$F$203, 4, FALSE)</f>
        <v>10</v>
      </c>
      <c r="L162" s="10">
        <f>VLOOKUP($C162,Vertices!$A$10:$F$203, 5, FALSE)</f>
        <v>0</v>
      </c>
      <c r="M162" s="11">
        <f>VLOOKUP($C162,Vertices!$A$10:$F$203, 6, FALSE)</f>
        <v>0</v>
      </c>
      <c r="N162" s="9">
        <f>VLOOKUP($D162,Vertices!$A$10:$F$203, 3, FALSE)</f>
        <v>100</v>
      </c>
      <c r="O162" s="10">
        <f>VLOOKUP($D162,Vertices!$A$10:$F$203, 4, FALSE)</f>
        <v>10</v>
      </c>
      <c r="P162" s="10">
        <f>VLOOKUP($D162,Vertices!$A$10:$F$203, 5, FALSE)</f>
        <v>0</v>
      </c>
      <c r="Q162" s="11">
        <f>VLOOKUP($D162,Vertices!$A$10:$F$203, 6, FALSE)</f>
        <v>20</v>
      </c>
    </row>
    <row r="163" spans="1:17" x14ac:dyDescent="0.25">
      <c r="A163">
        <v>153</v>
      </c>
      <c r="B163">
        <v>32</v>
      </c>
      <c r="C163">
        <v>99</v>
      </c>
      <c r="D163">
        <v>98</v>
      </c>
      <c r="F163" s="9">
        <f>VLOOKUP($B163,Vertices!$A$10:$F$203, 3, FALSE)</f>
        <v>100</v>
      </c>
      <c r="G163" s="10">
        <f>VLOOKUP($B163,Vertices!$A$10:$F$203, 4, FALSE)</f>
        <v>10</v>
      </c>
      <c r="H163" s="10">
        <f>VLOOKUP($B163,Vertices!$A$10:$F$203, 5, FALSE)</f>
        <v>0</v>
      </c>
      <c r="I163" s="11">
        <f>VLOOKUP($B163,Vertices!$A$10:$F$203, 6, FALSE)</f>
        <v>0</v>
      </c>
      <c r="J163" s="9">
        <f>VLOOKUP($C163,Vertices!$A$10:$F$203, 3, FALSE)</f>
        <v>100</v>
      </c>
      <c r="K163" s="10">
        <f>VLOOKUP($C163,Vertices!$A$10:$F$203, 4, FALSE)</f>
        <v>20</v>
      </c>
      <c r="L163" s="10">
        <f>VLOOKUP($C163,Vertices!$A$10:$F$203, 5, FALSE)</f>
        <v>0</v>
      </c>
      <c r="M163" s="11">
        <f>VLOOKUP($C163,Vertices!$A$10:$F$203, 6, FALSE)</f>
        <v>20</v>
      </c>
      <c r="N163" s="9">
        <f>VLOOKUP($D163,Vertices!$A$10:$F$203, 3, FALSE)</f>
        <v>100</v>
      </c>
      <c r="O163" s="10">
        <f>VLOOKUP($D163,Vertices!$A$10:$F$203, 4, FALSE)</f>
        <v>10</v>
      </c>
      <c r="P163" s="10">
        <f>VLOOKUP($D163,Vertices!$A$10:$F$203, 5, FALSE)</f>
        <v>0</v>
      </c>
      <c r="Q163" s="11">
        <f>VLOOKUP($D163,Vertices!$A$10:$F$203, 6, FALSE)</f>
        <v>20</v>
      </c>
    </row>
    <row r="164" spans="1:17" x14ac:dyDescent="0.25">
      <c r="A164">
        <v>154</v>
      </c>
      <c r="B164">
        <v>32</v>
      </c>
      <c r="C164">
        <v>33</v>
      </c>
      <c r="D164">
        <v>99</v>
      </c>
      <c r="F164" s="9">
        <f>VLOOKUP($B164,Vertices!$A$10:$F$203, 3, FALSE)</f>
        <v>100</v>
      </c>
      <c r="G164" s="10">
        <f>VLOOKUP($B164,Vertices!$A$10:$F$203, 4, FALSE)</f>
        <v>10</v>
      </c>
      <c r="H164" s="10">
        <f>VLOOKUP($B164,Vertices!$A$10:$F$203, 5, FALSE)</f>
        <v>0</v>
      </c>
      <c r="I164" s="11">
        <f>VLOOKUP($B164,Vertices!$A$10:$F$203, 6, FALSE)</f>
        <v>0</v>
      </c>
      <c r="J164" s="9">
        <f>VLOOKUP($C164,Vertices!$A$10:$F$203, 3, FALSE)</f>
        <v>100</v>
      </c>
      <c r="K164" s="10">
        <f>VLOOKUP($C164,Vertices!$A$10:$F$203, 4, FALSE)</f>
        <v>20</v>
      </c>
      <c r="L164" s="10">
        <f>VLOOKUP($C164,Vertices!$A$10:$F$203, 5, FALSE)</f>
        <v>0</v>
      </c>
      <c r="M164" s="11">
        <f>VLOOKUP($C164,Vertices!$A$10:$F$203, 6, FALSE)</f>
        <v>0</v>
      </c>
      <c r="N164" s="9">
        <f>VLOOKUP($D164,Vertices!$A$10:$F$203, 3, FALSE)</f>
        <v>100</v>
      </c>
      <c r="O164" s="10">
        <f>VLOOKUP($D164,Vertices!$A$10:$F$203, 4, FALSE)</f>
        <v>20</v>
      </c>
      <c r="P164" s="10">
        <f>VLOOKUP($D164,Vertices!$A$10:$F$203, 5, FALSE)</f>
        <v>0</v>
      </c>
      <c r="Q164" s="11">
        <f>VLOOKUP($D164,Vertices!$A$10:$F$203, 6, FALSE)</f>
        <v>20</v>
      </c>
    </row>
    <row r="165" spans="1:17" x14ac:dyDescent="0.25">
      <c r="A165">
        <v>155</v>
      </c>
      <c r="B165">
        <v>33</v>
      </c>
      <c r="C165">
        <v>100</v>
      </c>
      <c r="D165">
        <v>99</v>
      </c>
      <c r="F165" s="9">
        <f>VLOOKUP($B165,Vertices!$A$10:$F$203, 3, FALSE)</f>
        <v>100</v>
      </c>
      <c r="G165" s="10">
        <f>VLOOKUP($B165,Vertices!$A$10:$F$203, 4, FALSE)</f>
        <v>20</v>
      </c>
      <c r="H165" s="10">
        <f>VLOOKUP($B165,Vertices!$A$10:$F$203, 5, FALSE)</f>
        <v>0</v>
      </c>
      <c r="I165" s="11">
        <f>VLOOKUP($B165,Vertices!$A$10:$F$203, 6, FALSE)</f>
        <v>0</v>
      </c>
      <c r="J165" s="9">
        <f>VLOOKUP($C165,Vertices!$A$10:$F$203, 3, FALSE)</f>
        <v>100</v>
      </c>
      <c r="K165" s="10">
        <f>VLOOKUP($C165,Vertices!$A$10:$F$203, 4, FALSE)</f>
        <v>40</v>
      </c>
      <c r="L165" s="10">
        <f>VLOOKUP($C165,Vertices!$A$10:$F$203, 5, FALSE)</f>
        <v>0</v>
      </c>
      <c r="M165" s="11">
        <f>VLOOKUP($C165,Vertices!$A$10:$F$203, 6, FALSE)</f>
        <v>20</v>
      </c>
      <c r="N165" s="9">
        <f>VLOOKUP($D165,Vertices!$A$10:$F$203, 3, FALSE)</f>
        <v>100</v>
      </c>
      <c r="O165" s="10">
        <f>VLOOKUP($D165,Vertices!$A$10:$F$203, 4, FALSE)</f>
        <v>20</v>
      </c>
      <c r="P165" s="10">
        <f>VLOOKUP($D165,Vertices!$A$10:$F$203, 5, FALSE)</f>
        <v>0</v>
      </c>
      <c r="Q165" s="11">
        <f>VLOOKUP($D165,Vertices!$A$10:$F$203, 6, FALSE)</f>
        <v>20</v>
      </c>
    </row>
    <row r="166" spans="1:17" x14ac:dyDescent="0.25">
      <c r="A166">
        <v>156</v>
      </c>
      <c r="B166">
        <v>33</v>
      </c>
      <c r="C166">
        <v>34</v>
      </c>
      <c r="D166">
        <v>100</v>
      </c>
      <c r="F166" s="9">
        <f>VLOOKUP($B166,Vertices!$A$10:$F$203, 3, FALSE)</f>
        <v>100</v>
      </c>
      <c r="G166" s="10">
        <f>VLOOKUP($B166,Vertices!$A$10:$F$203, 4, FALSE)</f>
        <v>20</v>
      </c>
      <c r="H166" s="10">
        <f>VLOOKUP($B166,Vertices!$A$10:$F$203, 5, FALSE)</f>
        <v>0</v>
      </c>
      <c r="I166" s="11">
        <f>VLOOKUP($B166,Vertices!$A$10:$F$203, 6, FALSE)</f>
        <v>0</v>
      </c>
      <c r="J166" s="9">
        <f>VLOOKUP($C166,Vertices!$A$10:$F$203, 3, FALSE)</f>
        <v>100</v>
      </c>
      <c r="K166" s="10">
        <f>VLOOKUP($C166,Vertices!$A$10:$F$203, 4, FALSE)</f>
        <v>40</v>
      </c>
      <c r="L166" s="10">
        <f>VLOOKUP($C166,Vertices!$A$10:$F$203, 5, FALSE)</f>
        <v>0</v>
      </c>
      <c r="M166" s="11">
        <f>VLOOKUP($C166,Vertices!$A$10:$F$203, 6, FALSE)</f>
        <v>0</v>
      </c>
      <c r="N166" s="9">
        <f>VLOOKUP($D166,Vertices!$A$10:$F$203, 3, FALSE)</f>
        <v>100</v>
      </c>
      <c r="O166" s="10">
        <f>VLOOKUP($D166,Vertices!$A$10:$F$203, 4, FALSE)</f>
        <v>40</v>
      </c>
      <c r="P166" s="10">
        <f>VLOOKUP($D166,Vertices!$A$10:$F$203, 5, FALSE)</f>
        <v>0</v>
      </c>
      <c r="Q166" s="11">
        <f>VLOOKUP($D166,Vertices!$A$10:$F$203, 6, FALSE)</f>
        <v>20</v>
      </c>
    </row>
    <row r="167" spans="1:17" x14ac:dyDescent="0.25">
      <c r="A167">
        <v>157</v>
      </c>
      <c r="B167">
        <v>34</v>
      </c>
      <c r="C167">
        <v>101</v>
      </c>
      <c r="D167">
        <v>100</v>
      </c>
      <c r="F167" s="9">
        <f>VLOOKUP($B167,Vertices!$A$10:$F$203, 3, FALSE)</f>
        <v>100</v>
      </c>
      <c r="G167" s="10">
        <f>VLOOKUP($B167,Vertices!$A$10:$F$203, 4, FALSE)</f>
        <v>40</v>
      </c>
      <c r="H167" s="10">
        <f>VLOOKUP($B167,Vertices!$A$10:$F$203, 5, FALSE)</f>
        <v>0</v>
      </c>
      <c r="I167" s="11">
        <f>VLOOKUP($B167,Vertices!$A$10:$F$203, 6, FALSE)</f>
        <v>0</v>
      </c>
      <c r="J167" s="9">
        <f>VLOOKUP($C167,Vertices!$A$10:$F$203, 3, FALSE)</f>
        <v>100</v>
      </c>
      <c r="K167" s="10">
        <f>VLOOKUP($C167,Vertices!$A$10:$F$203, 4, FALSE)</f>
        <v>70</v>
      </c>
      <c r="L167" s="10">
        <f>VLOOKUP($C167,Vertices!$A$10:$F$203, 5, FALSE)</f>
        <v>0</v>
      </c>
      <c r="M167" s="11">
        <f>VLOOKUP($C167,Vertices!$A$10:$F$203, 6, FALSE)</f>
        <v>20</v>
      </c>
      <c r="N167" s="9">
        <f>VLOOKUP($D167,Vertices!$A$10:$F$203, 3, FALSE)</f>
        <v>100</v>
      </c>
      <c r="O167" s="10">
        <f>VLOOKUP($D167,Vertices!$A$10:$F$203, 4, FALSE)</f>
        <v>40</v>
      </c>
      <c r="P167" s="10">
        <f>VLOOKUP($D167,Vertices!$A$10:$F$203, 5, FALSE)</f>
        <v>0</v>
      </c>
      <c r="Q167" s="11">
        <f>VLOOKUP($D167,Vertices!$A$10:$F$203, 6, FALSE)</f>
        <v>20</v>
      </c>
    </row>
    <row r="168" spans="1:17" x14ac:dyDescent="0.25">
      <c r="A168">
        <v>158</v>
      </c>
      <c r="B168">
        <v>34</v>
      </c>
      <c r="C168">
        <v>35</v>
      </c>
      <c r="D168">
        <v>101</v>
      </c>
      <c r="F168" s="9">
        <f>VLOOKUP($B168,Vertices!$A$10:$F$203, 3, FALSE)</f>
        <v>100</v>
      </c>
      <c r="G168" s="10">
        <f>VLOOKUP($B168,Vertices!$A$10:$F$203, 4, FALSE)</f>
        <v>40</v>
      </c>
      <c r="H168" s="10">
        <f>VLOOKUP($B168,Vertices!$A$10:$F$203, 5, FALSE)</f>
        <v>0</v>
      </c>
      <c r="I168" s="11">
        <f>VLOOKUP($B168,Vertices!$A$10:$F$203, 6, FALSE)</f>
        <v>0</v>
      </c>
      <c r="J168" s="9">
        <f>VLOOKUP($C168,Vertices!$A$10:$F$203, 3, FALSE)</f>
        <v>100</v>
      </c>
      <c r="K168" s="10">
        <f>VLOOKUP($C168,Vertices!$A$10:$F$203, 4, FALSE)</f>
        <v>70</v>
      </c>
      <c r="L168" s="10">
        <f>VLOOKUP($C168,Vertices!$A$10:$F$203, 5, FALSE)</f>
        <v>0</v>
      </c>
      <c r="M168" s="11">
        <f>VLOOKUP($C168,Vertices!$A$10:$F$203, 6, FALSE)</f>
        <v>0</v>
      </c>
      <c r="N168" s="9">
        <f>VLOOKUP($D168,Vertices!$A$10:$F$203, 3, FALSE)</f>
        <v>100</v>
      </c>
      <c r="O168" s="10">
        <f>VLOOKUP($D168,Vertices!$A$10:$F$203, 4, FALSE)</f>
        <v>70</v>
      </c>
      <c r="P168" s="10">
        <f>VLOOKUP($D168,Vertices!$A$10:$F$203, 5, FALSE)</f>
        <v>0</v>
      </c>
      <c r="Q168" s="11">
        <f>VLOOKUP($D168,Vertices!$A$10:$F$203, 6, FALSE)</f>
        <v>20</v>
      </c>
    </row>
    <row r="169" spans="1:17" x14ac:dyDescent="0.25">
      <c r="A169">
        <v>159</v>
      </c>
      <c r="B169">
        <v>35</v>
      </c>
      <c r="C169">
        <v>102</v>
      </c>
      <c r="D169">
        <v>101</v>
      </c>
      <c r="F169" s="9">
        <f>VLOOKUP($B169,Vertices!$A$10:$F$203, 3, FALSE)</f>
        <v>100</v>
      </c>
      <c r="G169" s="10">
        <f>VLOOKUP($B169,Vertices!$A$10:$F$203, 4, FALSE)</f>
        <v>70</v>
      </c>
      <c r="H169" s="10">
        <f>VLOOKUP($B169,Vertices!$A$10:$F$203, 5, FALSE)</f>
        <v>0</v>
      </c>
      <c r="I169" s="11">
        <f>VLOOKUP($B169,Vertices!$A$10:$F$203, 6, FALSE)</f>
        <v>0</v>
      </c>
      <c r="J169" s="9">
        <f>VLOOKUP($C169,Vertices!$A$10:$F$203, 3, FALSE)</f>
        <v>100</v>
      </c>
      <c r="K169" s="10">
        <f>VLOOKUP($C169,Vertices!$A$10:$F$203, 4, FALSE)</f>
        <v>100</v>
      </c>
      <c r="L169" s="10">
        <f>VLOOKUP($C169,Vertices!$A$10:$F$203, 5, FALSE)</f>
        <v>0</v>
      </c>
      <c r="M169" s="11">
        <f>VLOOKUP($C169,Vertices!$A$10:$F$203, 6, FALSE)</f>
        <v>20</v>
      </c>
      <c r="N169" s="9">
        <f>VLOOKUP($D169,Vertices!$A$10:$F$203, 3, FALSE)</f>
        <v>100</v>
      </c>
      <c r="O169" s="10">
        <f>VLOOKUP($D169,Vertices!$A$10:$F$203, 4, FALSE)</f>
        <v>70</v>
      </c>
      <c r="P169" s="10">
        <f>VLOOKUP($D169,Vertices!$A$10:$F$203, 5, FALSE)</f>
        <v>0</v>
      </c>
      <c r="Q169" s="11">
        <f>VLOOKUP($D169,Vertices!$A$10:$F$203, 6, FALSE)</f>
        <v>20</v>
      </c>
    </row>
    <row r="170" spans="1:17" x14ac:dyDescent="0.25">
      <c r="A170">
        <v>160</v>
      </c>
      <c r="B170">
        <v>35</v>
      </c>
      <c r="C170">
        <v>36</v>
      </c>
      <c r="D170">
        <v>102</v>
      </c>
      <c r="F170" s="9">
        <f>VLOOKUP($B170,Vertices!$A$10:$F$203, 3, FALSE)</f>
        <v>100</v>
      </c>
      <c r="G170" s="10">
        <f>VLOOKUP($B170,Vertices!$A$10:$F$203, 4, FALSE)</f>
        <v>70</v>
      </c>
      <c r="H170" s="10">
        <f>VLOOKUP($B170,Vertices!$A$10:$F$203, 5, FALSE)</f>
        <v>0</v>
      </c>
      <c r="I170" s="11">
        <f>VLOOKUP($B170,Vertices!$A$10:$F$203, 6, FALSE)</f>
        <v>0</v>
      </c>
      <c r="J170" s="9">
        <f>VLOOKUP($C170,Vertices!$A$10:$F$203, 3, FALSE)</f>
        <v>100</v>
      </c>
      <c r="K170" s="10">
        <f>VLOOKUP($C170,Vertices!$A$10:$F$203, 4, FALSE)</f>
        <v>100</v>
      </c>
      <c r="L170" s="10">
        <f>VLOOKUP($C170,Vertices!$A$10:$F$203, 5, FALSE)</f>
        <v>0</v>
      </c>
      <c r="M170" s="11">
        <f>VLOOKUP($C170,Vertices!$A$10:$F$203, 6, FALSE)</f>
        <v>0</v>
      </c>
      <c r="N170" s="9">
        <f>VLOOKUP($D170,Vertices!$A$10:$F$203, 3, FALSE)</f>
        <v>100</v>
      </c>
      <c r="O170" s="10">
        <f>VLOOKUP($D170,Vertices!$A$10:$F$203, 4, FALSE)</f>
        <v>100</v>
      </c>
      <c r="P170" s="10">
        <f>VLOOKUP($D170,Vertices!$A$10:$F$203, 5, FALSE)</f>
        <v>0</v>
      </c>
      <c r="Q170" s="11">
        <f>VLOOKUP($D170,Vertices!$A$10:$F$203, 6, FALSE)</f>
        <v>20</v>
      </c>
    </row>
    <row r="171" spans="1:17" x14ac:dyDescent="0.25">
      <c r="A171">
        <v>161</v>
      </c>
      <c r="B171">
        <v>97</v>
      </c>
      <c r="C171">
        <v>98</v>
      </c>
      <c r="D171">
        <v>126</v>
      </c>
      <c r="F171" s="9">
        <f>VLOOKUP($B171,Vertices!$A$10:$F$203, 3, FALSE)</f>
        <v>100</v>
      </c>
      <c r="G171" s="10">
        <f>VLOOKUP($B171,Vertices!$A$10:$F$203, 4, FALSE)</f>
        <v>0</v>
      </c>
      <c r="H171" s="10">
        <f>VLOOKUP($B171,Vertices!$A$10:$F$203, 5, FALSE)</f>
        <v>0</v>
      </c>
      <c r="I171" s="11">
        <f>VLOOKUP($B171,Vertices!$A$10:$F$203, 6, FALSE)</f>
        <v>20</v>
      </c>
      <c r="J171" s="9">
        <f>VLOOKUP($C171,Vertices!$A$10:$F$203, 3, FALSE)</f>
        <v>100</v>
      </c>
      <c r="K171" s="10">
        <f>VLOOKUP($C171,Vertices!$A$10:$F$203, 4, FALSE)</f>
        <v>10</v>
      </c>
      <c r="L171" s="10">
        <f>VLOOKUP($C171,Vertices!$A$10:$F$203, 5, FALSE)</f>
        <v>0</v>
      </c>
      <c r="M171" s="11">
        <f>VLOOKUP($C171,Vertices!$A$10:$F$203, 6, FALSE)</f>
        <v>20</v>
      </c>
      <c r="N171" s="9">
        <f>VLOOKUP($D171,Vertices!$A$10:$F$203, 3, FALSE)</f>
        <v>100</v>
      </c>
      <c r="O171" s="10">
        <f>VLOOKUP($D171,Vertices!$A$10:$F$203, 4, FALSE)</f>
        <v>0</v>
      </c>
      <c r="P171" s="10">
        <f>VLOOKUP($D171,Vertices!$A$10:$F$203, 5, FALSE)</f>
        <v>0</v>
      </c>
      <c r="Q171" s="11">
        <f>VLOOKUP($D171,Vertices!$A$10:$F$203, 6, FALSE)</f>
        <v>40</v>
      </c>
    </row>
    <row r="172" spans="1:17" x14ac:dyDescent="0.25">
      <c r="A172">
        <v>162</v>
      </c>
      <c r="B172">
        <v>126</v>
      </c>
      <c r="C172">
        <v>98</v>
      </c>
      <c r="D172">
        <v>127</v>
      </c>
      <c r="F172" s="9">
        <f>VLOOKUP($B172,Vertices!$A$10:$F$203, 3, FALSE)</f>
        <v>100</v>
      </c>
      <c r="G172" s="10">
        <f>VLOOKUP($B172,Vertices!$A$10:$F$203, 4, FALSE)</f>
        <v>0</v>
      </c>
      <c r="H172" s="10">
        <f>VLOOKUP($B172,Vertices!$A$10:$F$203, 5, FALSE)</f>
        <v>0</v>
      </c>
      <c r="I172" s="11">
        <f>VLOOKUP($B172,Vertices!$A$10:$F$203, 6, FALSE)</f>
        <v>40</v>
      </c>
      <c r="J172" s="9">
        <f>VLOOKUP($C172,Vertices!$A$10:$F$203, 3, FALSE)</f>
        <v>100</v>
      </c>
      <c r="K172" s="10">
        <f>VLOOKUP($C172,Vertices!$A$10:$F$203, 4, FALSE)</f>
        <v>10</v>
      </c>
      <c r="L172" s="10">
        <f>VLOOKUP($C172,Vertices!$A$10:$F$203, 5, FALSE)</f>
        <v>0</v>
      </c>
      <c r="M172" s="11">
        <f>VLOOKUP($C172,Vertices!$A$10:$F$203, 6, FALSE)</f>
        <v>20</v>
      </c>
      <c r="N172" s="9">
        <f>VLOOKUP($D172,Vertices!$A$10:$F$203, 3, FALSE)</f>
        <v>100</v>
      </c>
      <c r="O172" s="10">
        <f>VLOOKUP($D172,Vertices!$A$10:$F$203, 4, FALSE)</f>
        <v>20</v>
      </c>
      <c r="P172" s="10">
        <f>VLOOKUP($D172,Vertices!$A$10:$F$203, 5, FALSE)</f>
        <v>0</v>
      </c>
      <c r="Q172" s="11">
        <f>VLOOKUP($D172,Vertices!$A$10:$F$203, 6, FALSE)</f>
        <v>40</v>
      </c>
    </row>
    <row r="173" spans="1:17" x14ac:dyDescent="0.25">
      <c r="A173">
        <v>163</v>
      </c>
      <c r="B173">
        <v>98</v>
      </c>
      <c r="C173">
        <v>99</v>
      </c>
      <c r="D173">
        <v>127</v>
      </c>
      <c r="F173" s="9">
        <f>VLOOKUP($B173,Vertices!$A$10:$F$203, 3, FALSE)</f>
        <v>100</v>
      </c>
      <c r="G173" s="10">
        <f>VLOOKUP($B173,Vertices!$A$10:$F$203, 4, FALSE)</f>
        <v>10</v>
      </c>
      <c r="H173" s="10">
        <f>VLOOKUP($B173,Vertices!$A$10:$F$203, 5, FALSE)</f>
        <v>0</v>
      </c>
      <c r="I173" s="11">
        <f>VLOOKUP($B173,Vertices!$A$10:$F$203, 6, FALSE)</f>
        <v>20</v>
      </c>
      <c r="J173" s="9">
        <f>VLOOKUP($C173,Vertices!$A$10:$F$203, 3, FALSE)</f>
        <v>100</v>
      </c>
      <c r="K173" s="10">
        <f>VLOOKUP($C173,Vertices!$A$10:$F$203, 4, FALSE)</f>
        <v>20</v>
      </c>
      <c r="L173" s="10">
        <f>VLOOKUP($C173,Vertices!$A$10:$F$203, 5, FALSE)</f>
        <v>0</v>
      </c>
      <c r="M173" s="11">
        <f>VLOOKUP($C173,Vertices!$A$10:$F$203, 6, FALSE)</f>
        <v>20</v>
      </c>
      <c r="N173" s="9">
        <f>VLOOKUP($D173,Vertices!$A$10:$F$203, 3, FALSE)</f>
        <v>100</v>
      </c>
      <c r="O173" s="10">
        <f>VLOOKUP($D173,Vertices!$A$10:$F$203, 4, FALSE)</f>
        <v>20</v>
      </c>
      <c r="P173" s="10">
        <f>VLOOKUP($D173,Vertices!$A$10:$F$203, 5, FALSE)</f>
        <v>0</v>
      </c>
      <c r="Q173" s="11">
        <f>VLOOKUP($D173,Vertices!$A$10:$F$203, 6, FALSE)</f>
        <v>40</v>
      </c>
    </row>
    <row r="174" spans="1:17" x14ac:dyDescent="0.25">
      <c r="A174">
        <v>164</v>
      </c>
      <c r="B174">
        <v>99</v>
      </c>
      <c r="C174">
        <v>128</v>
      </c>
      <c r="D174">
        <v>127</v>
      </c>
      <c r="F174" s="9">
        <f>VLOOKUP($B174,Vertices!$A$10:$F$203, 3, FALSE)</f>
        <v>100</v>
      </c>
      <c r="G174" s="10">
        <f>VLOOKUP($B174,Vertices!$A$10:$F$203, 4, FALSE)</f>
        <v>20</v>
      </c>
      <c r="H174" s="10">
        <f>VLOOKUP($B174,Vertices!$A$10:$F$203, 5, FALSE)</f>
        <v>0</v>
      </c>
      <c r="I174" s="11">
        <f>VLOOKUP($B174,Vertices!$A$10:$F$203, 6, FALSE)</f>
        <v>20</v>
      </c>
      <c r="J174" s="9">
        <f>VLOOKUP($C174,Vertices!$A$10:$F$203, 3, FALSE)</f>
        <v>100</v>
      </c>
      <c r="K174" s="10">
        <f>VLOOKUP($C174,Vertices!$A$10:$F$203, 4, FALSE)</f>
        <v>40</v>
      </c>
      <c r="L174" s="10">
        <f>VLOOKUP($C174,Vertices!$A$10:$F$203, 5, FALSE)</f>
        <v>0</v>
      </c>
      <c r="M174" s="11">
        <f>VLOOKUP($C174,Vertices!$A$10:$F$203, 6, FALSE)</f>
        <v>40</v>
      </c>
      <c r="N174" s="9">
        <f>VLOOKUP($D174,Vertices!$A$10:$F$203, 3, FALSE)</f>
        <v>100</v>
      </c>
      <c r="O174" s="10">
        <f>VLOOKUP($D174,Vertices!$A$10:$F$203, 4, FALSE)</f>
        <v>20</v>
      </c>
      <c r="P174" s="10">
        <f>VLOOKUP($D174,Vertices!$A$10:$F$203, 5, FALSE)</f>
        <v>0</v>
      </c>
      <c r="Q174" s="11">
        <f>VLOOKUP($D174,Vertices!$A$10:$F$203, 6, FALSE)</f>
        <v>40</v>
      </c>
    </row>
    <row r="175" spans="1:17" x14ac:dyDescent="0.25">
      <c r="A175">
        <v>165</v>
      </c>
      <c r="B175">
        <v>99</v>
      </c>
      <c r="C175">
        <v>100</v>
      </c>
      <c r="D175">
        <v>128</v>
      </c>
      <c r="F175" s="9">
        <f>VLOOKUP($B175,Vertices!$A$10:$F$203, 3, FALSE)</f>
        <v>100</v>
      </c>
      <c r="G175" s="10">
        <f>VLOOKUP($B175,Vertices!$A$10:$F$203, 4, FALSE)</f>
        <v>20</v>
      </c>
      <c r="H175" s="10">
        <f>VLOOKUP($B175,Vertices!$A$10:$F$203, 5, FALSE)</f>
        <v>0</v>
      </c>
      <c r="I175" s="11">
        <f>VLOOKUP($B175,Vertices!$A$10:$F$203, 6, FALSE)</f>
        <v>20</v>
      </c>
      <c r="J175" s="9">
        <f>VLOOKUP($C175,Vertices!$A$10:$F$203, 3, FALSE)</f>
        <v>100</v>
      </c>
      <c r="K175" s="10">
        <f>VLOOKUP($C175,Vertices!$A$10:$F$203, 4, FALSE)</f>
        <v>40</v>
      </c>
      <c r="L175" s="10">
        <f>VLOOKUP($C175,Vertices!$A$10:$F$203, 5, FALSE)</f>
        <v>0</v>
      </c>
      <c r="M175" s="11">
        <f>VLOOKUP($C175,Vertices!$A$10:$F$203, 6, FALSE)</f>
        <v>20</v>
      </c>
      <c r="N175" s="9">
        <f>VLOOKUP($D175,Vertices!$A$10:$F$203, 3, FALSE)</f>
        <v>100</v>
      </c>
      <c r="O175" s="10">
        <f>VLOOKUP($D175,Vertices!$A$10:$F$203, 4, FALSE)</f>
        <v>40</v>
      </c>
      <c r="P175" s="10">
        <f>VLOOKUP($D175,Vertices!$A$10:$F$203, 5, FALSE)</f>
        <v>0</v>
      </c>
      <c r="Q175" s="11">
        <f>VLOOKUP($D175,Vertices!$A$10:$F$203, 6, FALSE)</f>
        <v>40</v>
      </c>
    </row>
    <row r="176" spans="1:17" x14ac:dyDescent="0.25">
      <c r="A176">
        <v>166</v>
      </c>
      <c r="B176">
        <v>100</v>
      </c>
      <c r="C176">
        <v>129</v>
      </c>
      <c r="D176">
        <v>128</v>
      </c>
      <c r="F176" s="9">
        <f>VLOOKUP($B176,Vertices!$A$10:$F$203, 3, FALSE)</f>
        <v>100</v>
      </c>
      <c r="G176" s="10">
        <f>VLOOKUP($B176,Vertices!$A$10:$F$203, 4, FALSE)</f>
        <v>40</v>
      </c>
      <c r="H176" s="10">
        <f>VLOOKUP($B176,Vertices!$A$10:$F$203, 5, FALSE)</f>
        <v>0</v>
      </c>
      <c r="I176" s="11">
        <f>VLOOKUP($B176,Vertices!$A$10:$F$203, 6, FALSE)</f>
        <v>20</v>
      </c>
      <c r="J176" s="9">
        <f>VLOOKUP($C176,Vertices!$A$10:$F$203, 3, FALSE)</f>
        <v>100</v>
      </c>
      <c r="K176" s="10">
        <f>VLOOKUP($C176,Vertices!$A$10:$F$203, 4, FALSE)</f>
        <v>70</v>
      </c>
      <c r="L176" s="10">
        <f>VLOOKUP($C176,Vertices!$A$10:$F$203, 5, FALSE)</f>
        <v>0</v>
      </c>
      <c r="M176" s="11">
        <f>VLOOKUP($C176,Vertices!$A$10:$F$203, 6, FALSE)</f>
        <v>40</v>
      </c>
      <c r="N176" s="9">
        <f>VLOOKUP($D176,Vertices!$A$10:$F$203, 3, FALSE)</f>
        <v>100</v>
      </c>
      <c r="O176" s="10">
        <f>VLOOKUP($D176,Vertices!$A$10:$F$203, 4, FALSE)</f>
        <v>40</v>
      </c>
      <c r="P176" s="10">
        <f>VLOOKUP($D176,Vertices!$A$10:$F$203, 5, FALSE)</f>
        <v>0</v>
      </c>
      <c r="Q176" s="11">
        <f>VLOOKUP($D176,Vertices!$A$10:$F$203, 6, FALSE)</f>
        <v>40</v>
      </c>
    </row>
    <row r="177" spans="1:17" x14ac:dyDescent="0.25">
      <c r="A177">
        <v>167</v>
      </c>
      <c r="B177">
        <v>100</v>
      </c>
      <c r="C177">
        <v>101</v>
      </c>
      <c r="D177">
        <v>129</v>
      </c>
      <c r="F177" s="9">
        <f>VLOOKUP($B177,Vertices!$A$10:$F$203, 3, FALSE)</f>
        <v>100</v>
      </c>
      <c r="G177" s="10">
        <f>VLOOKUP($B177,Vertices!$A$10:$F$203, 4, FALSE)</f>
        <v>40</v>
      </c>
      <c r="H177" s="10">
        <f>VLOOKUP($B177,Vertices!$A$10:$F$203, 5, FALSE)</f>
        <v>0</v>
      </c>
      <c r="I177" s="11">
        <f>VLOOKUP($B177,Vertices!$A$10:$F$203, 6, FALSE)</f>
        <v>20</v>
      </c>
      <c r="J177" s="9">
        <f>VLOOKUP($C177,Vertices!$A$10:$F$203, 3, FALSE)</f>
        <v>100</v>
      </c>
      <c r="K177" s="10">
        <f>VLOOKUP($C177,Vertices!$A$10:$F$203, 4, FALSE)</f>
        <v>70</v>
      </c>
      <c r="L177" s="10">
        <f>VLOOKUP($C177,Vertices!$A$10:$F$203, 5, FALSE)</f>
        <v>0</v>
      </c>
      <c r="M177" s="11">
        <f>VLOOKUP($C177,Vertices!$A$10:$F$203, 6, FALSE)</f>
        <v>20</v>
      </c>
      <c r="N177" s="9">
        <f>VLOOKUP($D177,Vertices!$A$10:$F$203, 3, FALSE)</f>
        <v>100</v>
      </c>
      <c r="O177" s="10">
        <f>VLOOKUP($D177,Vertices!$A$10:$F$203, 4, FALSE)</f>
        <v>70</v>
      </c>
      <c r="P177" s="10">
        <f>VLOOKUP($D177,Vertices!$A$10:$F$203, 5, FALSE)</f>
        <v>0</v>
      </c>
      <c r="Q177" s="11">
        <f>VLOOKUP($D177,Vertices!$A$10:$F$203, 6, FALSE)</f>
        <v>40</v>
      </c>
    </row>
    <row r="178" spans="1:17" x14ac:dyDescent="0.25">
      <c r="A178">
        <v>168</v>
      </c>
      <c r="B178">
        <v>101</v>
      </c>
      <c r="C178">
        <v>130</v>
      </c>
      <c r="D178">
        <v>129</v>
      </c>
      <c r="F178" s="9">
        <f>VLOOKUP($B178,Vertices!$A$10:$F$203, 3, FALSE)</f>
        <v>100</v>
      </c>
      <c r="G178" s="10">
        <f>VLOOKUP($B178,Vertices!$A$10:$F$203, 4, FALSE)</f>
        <v>70</v>
      </c>
      <c r="H178" s="10">
        <f>VLOOKUP($B178,Vertices!$A$10:$F$203, 5, FALSE)</f>
        <v>0</v>
      </c>
      <c r="I178" s="11">
        <f>VLOOKUP($B178,Vertices!$A$10:$F$203, 6, FALSE)</f>
        <v>20</v>
      </c>
      <c r="J178" s="9">
        <f>VLOOKUP($C178,Vertices!$A$10:$F$203, 3, FALSE)</f>
        <v>100</v>
      </c>
      <c r="K178" s="10">
        <f>VLOOKUP($C178,Vertices!$A$10:$F$203, 4, FALSE)</f>
        <v>100</v>
      </c>
      <c r="L178" s="10">
        <f>VLOOKUP($C178,Vertices!$A$10:$F$203, 5, FALSE)</f>
        <v>0</v>
      </c>
      <c r="M178" s="11">
        <f>VLOOKUP($C178,Vertices!$A$10:$F$203, 6, FALSE)</f>
        <v>40</v>
      </c>
      <c r="N178" s="9">
        <f>VLOOKUP($D178,Vertices!$A$10:$F$203, 3, FALSE)</f>
        <v>100</v>
      </c>
      <c r="O178" s="10">
        <f>VLOOKUP($D178,Vertices!$A$10:$F$203, 4, FALSE)</f>
        <v>70</v>
      </c>
      <c r="P178" s="10">
        <f>VLOOKUP($D178,Vertices!$A$10:$F$203, 5, FALSE)</f>
        <v>0</v>
      </c>
      <c r="Q178" s="11">
        <f>VLOOKUP($D178,Vertices!$A$10:$F$203, 6, FALSE)</f>
        <v>40</v>
      </c>
    </row>
    <row r="179" spans="1:17" x14ac:dyDescent="0.25">
      <c r="A179">
        <v>169</v>
      </c>
      <c r="B179">
        <v>101</v>
      </c>
      <c r="C179">
        <v>102</v>
      </c>
      <c r="D179">
        <v>130</v>
      </c>
      <c r="F179" s="9">
        <f>VLOOKUP($B179,Vertices!$A$10:$F$203, 3, FALSE)</f>
        <v>100</v>
      </c>
      <c r="G179" s="10">
        <f>VLOOKUP($B179,Vertices!$A$10:$F$203, 4, FALSE)</f>
        <v>70</v>
      </c>
      <c r="H179" s="10">
        <f>VLOOKUP($B179,Vertices!$A$10:$F$203, 5, FALSE)</f>
        <v>0</v>
      </c>
      <c r="I179" s="11">
        <f>VLOOKUP($B179,Vertices!$A$10:$F$203, 6, FALSE)</f>
        <v>20</v>
      </c>
      <c r="J179" s="9">
        <f>VLOOKUP($C179,Vertices!$A$10:$F$203, 3, FALSE)</f>
        <v>100</v>
      </c>
      <c r="K179" s="10">
        <f>VLOOKUP($C179,Vertices!$A$10:$F$203, 4, FALSE)</f>
        <v>100</v>
      </c>
      <c r="L179" s="10">
        <f>VLOOKUP($C179,Vertices!$A$10:$F$203, 5, FALSE)</f>
        <v>0</v>
      </c>
      <c r="M179" s="11">
        <f>VLOOKUP($C179,Vertices!$A$10:$F$203, 6, FALSE)</f>
        <v>20</v>
      </c>
      <c r="N179" s="9">
        <f>VLOOKUP($D179,Vertices!$A$10:$F$203, 3, FALSE)</f>
        <v>100</v>
      </c>
      <c r="O179" s="10">
        <f>VLOOKUP($D179,Vertices!$A$10:$F$203, 4, FALSE)</f>
        <v>100</v>
      </c>
      <c r="P179" s="10">
        <f>VLOOKUP($D179,Vertices!$A$10:$F$203, 5, FALSE)</f>
        <v>0</v>
      </c>
      <c r="Q179" s="11">
        <f>VLOOKUP($D179,Vertices!$A$10:$F$203, 6, FALSE)</f>
        <v>40</v>
      </c>
    </row>
    <row r="180" spans="1:17" x14ac:dyDescent="0.25">
      <c r="A180">
        <v>170</v>
      </c>
      <c r="B180">
        <v>126</v>
      </c>
      <c r="C180">
        <v>151</v>
      </c>
      <c r="D180">
        <v>150</v>
      </c>
      <c r="F180" s="9">
        <f>VLOOKUP($B180,Vertices!$A$10:$F$203, 3, FALSE)</f>
        <v>100</v>
      </c>
      <c r="G180" s="10">
        <f>VLOOKUP($B180,Vertices!$A$10:$F$203, 4, FALSE)</f>
        <v>0</v>
      </c>
      <c r="H180" s="10">
        <f>VLOOKUP($B180,Vertices!$A$10:$F$203, 5, FALSE)</f>
        <v>0</v>
      </c>
      <c r="I180" s="11">
        <f>VLOOKUP($B180,Vertices!$A$10:$F$203, 6, FALSE)</f>
        <v>40</v>
      </c>
      <c r="J180" s="9">
        <f>VLOOKUP($C180,Vertices!$A$10:$F$203, 3, FALSE)</f>
        <v>100</v>
      </c>
      <c r="K180" s="10">
        <f>VLOOKUP($C180,Vertices!$A$10:$F$203, 4, FALSE)</f>
        <v>20</v>
      </c>
      <c r="L180" s="10">
        <f>VLOOKUP($C180,Vertices!$A$10:$F$203, 5, FALSE)</f>
        <v>0</v>
      </c>
      <c r="M180" s="11">
        <f>VLOOKUP($C180,Vertices!$A$10:$F$203, 6, FALSE)</f>
        <v>60</v>
      </c>
      <c r="N180" s="9">
        <f>VLOOKUP($D180,Vertices!$A$10:$F$203, 3, FALSE)</f>
        <v>100</v>
      </c>
      <c r="O180" s="10">
        <f>VLOOKUP($D180,Vertices!$A$10:$F$203, 4, FALSE)</f>
        <v>0</v>
      </c>
      <c r="P180" s="10">
        <f>VLOOKUP($D180,Vertices!$A$10:$F$203, 5, FALSE)</f>
        <v>0</v>
      </c>
      <c r="Q180" s="11">
        <f>VLOOKUP($D180,Vertices!$A$10:$F$203, 6, FALSE)</f>
        <v>60</v>
      </c>
    </row>
    <row r="181" spans="1:17" x14ac:dyDescent="0.25">
      <c r="A181">
        <v>171</v>
      </c>
      <c r="B181">
        <v>126</v>
      </c>
      <c r="C181">
        <v>127</v>
      </c>
      <c r="D181">
        <v>151</v>
      </c>
      <c r="F181" s="9">
        <f>VLOOKUP($B181,Vertices!$A$10:$F$203, 3, FALSE)</f>
        <v>100</v>
      </c>
      <c r="G181" s="10">
        <f>VLOOKUP($B181,Vertices!$A$10:$F$203, 4, FALSE)</f>
        <v>0</v>
      </c>
      <c r="H181" s="10">
        <f>VLOOKUP($B181,Vertices!$A$10:$F$203, 5, FALSE)</f>
        <v>0</v>
      </c>
      <c r="I181" s="11">
        <f>VLOOKUP($B181,Vertices!$A$10:$F$203, 6, FALSE)</f>
        <v>40</v>
      </c>
      <c r="J181" s="9">
        <f>VLOOKUP($C181,Vertices!$A$10:$F$203, 3, FALSE)</f>
        <v>100</v>
      </c>
      <c r="K181" s="10">
        <f>VLOOKUP($C181,Vertices!$A$10:$F$203, 4, FALSE)</f>
        <v>20</v>
      </c>
      <c r="L181" s="10">
        <f>VLOOKUP($C181,Vertices!$A$10:$F$203, 5, FALSE)</f>
        <v>0</v>
      </c>
      <c r="M181" s="11">
        <f>VLOOKUP($C181,Vertices!$A$10:$F$203, 6, FALSE)</f>
        <v>40</v>
      </c>
      <c r="N181" s="9">
        <f>VLOOKUP($D181,Vertices!$A$10:$F$203, 3, FALSE)</f>
        <v>100</v>
      </c>
      <c r="O181" s="10">
        <f>VLOOKUP($D181,Vertices!$A$10:$F$203, 4, FALSE)</f>
        <v>20</v>
      </c>
      <c r="P181" s="10">
        <f>VLOOKUP($D181,Vertices!$A$10:$F$203, 5, FALSE)</f>
        <v>0</v>
      </c>
      <c r="Q181" s="11">
        <f>VLOOKUP($D181,Vertices!$A$10:$F$203, 6, FALSE)</f>
        <v>60</v>
      </c>
    </row>
    <row r="182" spans="1:17" x14ac:dyDescent="0.25">
      <c r="A182">
        <v>172</v>
      </c>
      <c r="B182">
        <v>127</v>
      </c>
      <c r="C182">
        <v>152</v>
      </c>
      <c r="D182">
        <v>151</v>
      </c>
      <c r="F182" s="9">
        <f>VLOOKUP($B182,Vertices!$A$10:$F$203, 3, FALSE)</f>
        <v>100</v>
      </c>
      <c r="G182" s="10">
        <f>VLOOKUP($B182,Vertices!$A$10:$F$203, 4, FALSE)</f>
        <v>20</v>
      </c>
      <c r="H182" s="10">
        <f>VLOOKUP($B182,Vertices!$A$10:$F$203, 5, FALSE)</f>
        <v>0</v>
      </c>
      <c r="I182" s="11">
        <f>VLOOKUP($B182,Vertices!$A$10:$F$203, 6, FALSE)</f>
        <v>40</v>
      </c>
      <c r="J182" s="9">
        <f>VLOOKUP($C182,Vertices!$A$10:$F$203, 3, FALSE)</f>
        <v>100</v>
      </c>
      <c r="K182" s="10">
        <f>VLOOKUP($C182,Vertices!$A$10:$F$203, 4, FALSE)</f>
        <v>40</v>
      </c>
      <c r="L182" s="10">
        <f>VLOOKUP($C182,Vertices!$A$10:$F$203, 5, FALSE)</f>
        <v>0</v>
      </c>
      <c r="M182" s="11">
        <f>VLOOKUP($C182,Vertices!$A$10:$F$203, 6, FALSE)</f>
        <v>60</v>
      </c>
      <c r="N182" s="9">
        <f>VLOOKUP($D182,Vertices!$A$10:$F$203, 3, FALSE)</f>
        <v>100</v>
      </c>
      <c r="O182" s="10">
        <f>VLOOKUP($D182,Vertices!$A$10:$F$203, 4, FALSE)</f>
        <v>20</v>
      </c>
      <c r="P182" s="10">
        <f>VLOOKUP($D182,Vertices!$A$10:$F$203, 5, FALSE)</f>
        <v>0</v>
      </c>
      <c r="Q182" s="11">
        <f>VLOOKUP($D182,Vertices!$A$10:$F$203, 6, FALSE)</f>
        <v>60</v>
      </c>
    </row>
    <row r="183" spans="1:17" x14ac:dyDescent="0.25">
      <c r="A183">
        <v>173</v>
      </c>
      <c r="B183">
        <v>127</v>
      </c>
      <c r="C183">
        <v>128</v>
      </c>
      <c r="D183">
        <v>152</v>
      </c>
      <c r="F183" s="9">
        <f>VLOOKUP($B183,Vertices!$A$10:$F$203, 3, FALSE)</f>
        <v>100</v>
      </c>
      <c r="G183" s="10">
        <f>VLOOKUP($B183,Vertices!$A$10:$F$203, 4, FALSE)</f>
        <v>20</v>
      </c>
      <c r="H183" s="10">
        <f>VLOOKUP($B183,Vertices!$A$10:$F$203, 5, FALSE)</f>
        <v>0</v>
      </c>
      <c r="I183" s="11">
        <f>VLOOKUP($B183,Vertices!$A$10:$F$203, 6, FALSE)</f>
        <v>40</v>
      </c>
      <c r="J183" s="9">
        <f>VLOOKUP($C183,Vertices!$A$10:$F$203, 3, FALSE)</f>
        <v>100</v>
      </c>
      <c r="K183" s="10">
        <f>VLOOKUP($C183,Vertices!$A$10:$F$203, 4, FALSE)</f>
        <v>40</v>
      </c>
      <c r="L183" s="10">
        <f>VLOOKUP($C183,Vertices!$A$10:$F$203, 5, FALSE)</f>
        <v>0</v>
      </c>
      <c r="M183" s="11">
        <f>VLOOKUP($C183,Vertices!$A$10:$F$203, 6, FALSE)</f>
        <v>40</v>
      </c>
      <c r="N183" s="9">
        <f>VLOOKUP($D183,Vertices!$A$10:$F$203, 3, FALSE)</f>
        <v>100</v>
      </c>
      <c r="O183" s="10">
        <f>VLOOKUP($D183,Vertices!$A$10:$F$203, 4, FALSE)</f>
        <v>40</v>
      </c>
      <c r="P183" s="10">
        <f>VLOOKUP($D183,Vertices!$A$10:$F$203, 5, FALSE)</f>
        <v>0</v>
      </c>
      <c r="Q183" s="11">
        <f>VLOOKUP($D183,Vertices!$A$10:$F$203, 6, FALSE)</f>
        <v>60</v>
      </c>
    </row>
    <row r="184" spans="1:17" x14ac:dyDescent="0.25">
      <c r="A184">
        <v>174</v>
      </c>
      <c r="B184">
        <v>128</v>
      </c>
      <c r="C184">
        <v>153</v>
      </c>
      <c r="D184">
        <v>152</v>
      </c>
      <c r="F184" s="9">
        <f>VLOOKUP($B184,Vertices!$A$10:$F$203, 3, FALSE)</f>
        <v>100</v>
      </c>
      <c r="G184" s="10">
        <f>VLOOKUP($B184,Vertices!$A$10:$F$203, 4, FALSE)</f>
        <v>40</v>
      </c>
      <c r="H184" s="10">
        <f>VLOOKUP($B184,Vertices!$A$10:$F$203, 5, FALSE)</f>
        <v>0</v>
      </c>
      <c r="I184" s="11">
        <f>VLOOKUP($B184,Vertices!$A$10:$F$203, 6, FALSE)</f>
        <v>40</v>
      </c>
      <c r="J184" s="9">
        <f>VLOOKUP($C184,Vertices!$A$10:$F$203, 3, FALSE)</f>
        <v>100</v>
      </c>
      <c r="K184" s="10">
        <f>VLOOKUP($C184,Vertices!$A$10:$F$203, 4, FALSE)</f>
        <v>70</v>
      </c>
      <c r="L184" s="10">
        <f>VLOOKUP($C184,Vertices!$A$10:$F$203, 5, FALSE)</f>
        <v>0</v>
      </c>
      <c r="M184" s="11">
        <f>VLOOKUP($C184,Vertices!$A$10:$F$203, 6, FALSE)</f>
        <v>60</v>
      </c>
      <c r="N184" s="9">
        <f>VLOOKUP($D184,Vertices!$A$10:$F$203, 3, FALSE)</f>
        <v>100</v>
      </c>
      <c r="O184" s="10">
        <f>VLOOKUP($D184,Vertices!$A$10:$F$203, 4, FALSE)</f>
        <v>40</v>
      </c>
      <c r="P184" s="10">
        <f>VLOOKUP($D184,Vertices!$A$10:$F$203, 5, FALSE)</f>
        <v>0</v>
      </c>
      <c r="Q184" s="11">
        <f>VLOOKUP($D184,Vertices!$A$10:$F$203, 6, FALSE)</f>
        <v>60</v>
      </c>
    </row>
    <row r="185" spans="1:17" x14ac:dyDescent="0.25">
      <c r="A185">
        <v>175</v>
      </c>
      <c r="B185">
        <v>128</v>
      </c>
      <c r="C185">
        <v>129</v>
      </c>
      <c r="D185">
        <v>153</v>
      </c>
      <c r="F185" s="9">
        <f>VLOOKUP($B185,Vertices!$A$10:$F$203, 3, FALSE)</f>
        <v>100</v>
      </c>
      <c r="G185" s="10">
        <f>VLOOKUP($B185,Vertices!$A$10:$F$203, 4, FALSE)</f>
        <v>40</v>
      </c>
      <c r="H185" s="10">
        <f>VLOOKUP($B185,Vertices!$A$10:$F$203, 5, FALSE)</f>
        <v>0</v>
      </c>
      <c r="I185" s="11">
        <f>VLOOKUP($B185,Vertices!$A$10:$F$203, 6, FALSE)</f>
        <v>40</v>
      </c>
      <c r="J185" s="9">
        <f>VLOOKUP($C185,Vertices!$A$10:$F$203, 3, FALSE)</f>
        <v>100</v>
      </c>
      <c r="K185" s="10">
        <f>VLOOKUP($C185,Vertices!$A$10:$F$203, 4, FALSE)</f>
        <v>70</v>
      </c>
      <c r="L185" s="10">
        <f>VLOOKUP($C185,Vertices!$A$10:$F$203, 5, FALSE)</f>
        <v>0</v>
      </c>
      <c r="M185" s="11">
        <f>VLOOKUP($C185,Vertices!$A$10:$F$203, 6, FALSE)</f>
        <v>40</v>
      </c>
      <c r="N185" s="9">
        <f>VLOOKUP($D185,Vertices!$A$10:$F$203, 3, FALSE)</f>
        <v>100</v>
      </c>
      <c r="O185" s="10">
        <f>VLOOKUP($D185,Vertices!$A$10:$F$203, 4, FALSE)</f>
        <v>70</v>
      </c>
      <c r="P185" s="10">
        <f>VLOOKUP($D185,Vertices!$A$10:$F$203, 5, FALSE)</f>
        <v>0</v>
      </c>
      <c r="Q185" s="11">
        <f>VLOOKUP($D185,Vertices!$A$10:$F$203, 6, FALSE)</f>
        <v>60</v>
      </c>
    </row>
    <row r="186" spans="1:17" x14ac:dyDescent="0.25">
      <c r="A186">
        <v>176</v>
      </c>
      <c r="B186">
        <v>129</v>
      </c>
      <c r="C186">
        <v>154</v>
      </c>
      <c r="D186">
        <v>153</v>
      </c>
      <c r="F186" s="9">
        <f>VLOOKUP($B186,Vertices!$A$10:$F$203, 3, FALSE)</f>
        <v>100</v>
      </c>
      <c r="G186" s="10">
        <f>VLOOKUP($B186,Vertices!$A$10:$F$203, 4, FALSE)</f>
        <v>70</v>
      </c>
      <c r="H186" s="10">
        <f>VLOOKUP($B186,Vertices!$A$10:$F$203, 5, FALSE)</f>
        <v>0</v>
      </c>
      <c r="I186" s="11">
        <f>VLOOKUP($B186,Vertices!$A$10:$F$203, 6, FALSE)</f>
        <v>40</v>
      </c>
      <c r="J186" s="9">
        <f>VLOOKUP($C186,Vertices!$A$10:$F$203, 3, FALSE)</f>
        <v>100</v>
      </c>
      <c r="K186" s="10">
        <f>VLOOKUP($C186,Vertices!$A$10:$F$203, 4, FALSE)</f>
        <v>100</v>
      </c>
      <c r="L186" s="10">
        <f>VLOOKUP($C186,Vertices!$A$10:$F$203, 5, FALSE)</f>
        <v>0</v>
      </c>
      <c r="M186" s="11">
        <f>VLOOKUP($C186,Vertices!$A$10:$F$203, 6, FALSE)</f>
        <v>60</v>
      </c>
      <c r="N186" s="9">
        <f>VLOOKUP($D186,Vertices!$A$10:$F$203, 3, FALSE)</f>
        <v>100</v>
      </c>
      <c r="O186" s="10">
        <f>VLOOKUP($D186,Vertices!$A$10:$F$203, 4, FALSE)</f>
        <v>70</v>
      </c>
      <c r="P186" s="10">
        <f>VLOOKUP($D186,Vertices!$A$10:$F$203, 5, FALSE)</f>
        <v>0</v>
      </c>
      <c r="Q186" s="11">
        <f>VLOOKUP($D186,Vertices!$A$10:$F$203, 6, FALSE)</f>
        <v>60</v>
      </c>
    </row>
    <row r="187" spans="1:17" x14ac:dyDescent="0.25">
      <c r="A187">
        <v>177</v>
      </c>
      <c r="B187">
        <v>129</v>
      </c>
      <c r="C187">
        <v>130</v>
      </c>
      <c r="D187">
        <v>154</v>
      </c>
      <c r="F187" s="9">
        <f>VLOOKUP($B187,Vertices!$A$10:$F$203, 3, FALSE)</f>
        <v>100</v>
      </c>
      <c r="G187" s="10">
        <f>VLOOKUP($B187,Vertices!$A$10:$F$203, 4, FALSE)</f>
        <v>70</v>
      </c>
      <c r="H187" s="10">
        <f>VLOOKUP($B187,Vertices!$A$10:$F$203, 5, FALSE)</f>
        <v>0</v>
      </c>
      <c r="I187" s="11">
        <f>VLOOKUP($B187,Vertices!$A$10:$F$203, 6, FALSE)</f>
        <v>40</v>
      </c>
      <c r="J187" s="9">
        <f>VLOOKUP($C187,Vertices!$A$10:$F$203, 3, FALSE)</f>
        <v>100</v>
      </c>
      <c r="K187" s="10">
        <f>VLOOKUP($C187,Vertices!$A$10:$F$203, 4, FALSE)</f>
        <v>100</v>
      </c>
      <c r="L187" s="10">
        <f>VLOOKUP($C187,Vertices!$A$10:$F$203, 5, FALSE)</f>
        <v>0</v>
      </c>
      <c r="M187" s="11">
        <f>VLOOKUP($C187,Vertices!$A$10:$F$203, 6, FALSE)</f>
        <v>40</v>
      </c>
      <c r="N187" s="9">
        <f>VLOOKUP($D187,Vertices!$A$10:$F$203, 3, FALSE)</f>
        <v>100</v>
      </c>
      <c r="O187" s="10">
        <f>VLOOKUP($D187,Vertices!$A$10:$F$203, 4, FALSE)</f>
        <v>100</v>
      </c>
      <c r="P187" s="10">
        <f>VLOOKUP($D187,Vertices!$A$10:$F$203, 5, FALSE)</f>
        <v>0</v>
      </c>
      <c r="Q187" s="11">
        <f>VLOOKUP($D187,Vertices!$A$10:$F$203, 6, FALSE)</f>
        <v>60</v>
      </c>
    </row>
    <row r="188" spans="1:17" x14ac:dyDescent="0.25">
      <c r="A188">
        <v>178</v>
      </c>
      <c r="B188">
        <v>150</v>
      </c>
      <c r="C188">
        <v>151</v>
      </c>
      <c r="D188">
        <v>173</v>
      </c>
      <c r="F188" s="9">
        <f>VLOOKUP($B188,Vertices!$A$10:$F$203, 3, FALSE)</f>
        <v>100</v>
      </c>
      <c r="G188" s="10">
        <f>VLOOKUP($B188,Vertices!$A$10:$F$203, 4, FALSE)</f>
        <v>0</v>
      </c>
      <c r="H188" s="10">
        <f>VLOOKUP($B188,Vertices!$A$10:$F$203, 5, FALSE)</f>
        <v>0</v>
      </c>
      <c r="I188" s="11">
        <f>VLOOKUP($B188,Vertices!$A$10:$F$203, 6, FALSE)</f>
        <v>60</v>
      </c>
      <c r="J188" s="9">
        <f>VLOOKUP($C188,Vertices!$A$10:$F$203, 3, FALSE)</f>
        <v>100</v>
      </c>
      <c r="K188" s="10">
        <f>VLOOKUP($C188,Vertices!$A$10:$F$203, 4, FALSE)</f>
        <v>20</v>
      </c>
      <c r="L188" s="10">
        <f>VLOOKUP($C188,Vertices!$A$10:$F$203, 5, FALSE)</f>
        <v>0</v>
      </c>
      <c r="M188" s="11">
        <f>VLOOKUP($C188,Vertices!$A$10:$F$203, 6, FALSE)</f>
        <v>60</v>
      </c>
      <c r="N188" s="9">
        <f>VLOOKUP($D188,Vertices!$A$10:$F$203, 3, FALSE)</f>
        <v>100</v>
      </c>
      <c r="O188" s="10">
        <f>VLOOKUP($D188,Vertices!$A$10:$F$203, 4, FALSE)</f>
        <v>0</v>
      </c>
      <c r="P188" s="10">
        <f>VLOOKUP($D188,Vertices!$A$10:$F$203, 5, FALSE)</f>
        <v>0</v>
      </c>
      <c r="Q188" s="11">
        <f>VLOOKUP($D188,Vertices!$A$10:$F$203, 6, FALSE)</f>
        <v>80</v>
      </c>
    </row>
    <row r="189" spans="1:17" x14ac:dyDescent="0.25">
      <c r="A189">
        <v>179</v>
      </c>
      <c r="B189">
        <v>151</v>
      </c>
      <c r="C189">
        <v>174</v>
      </c>
      <c r="D189">
        <v>173</v>
      </c>
      <c r="F189" s="9">
        <f>VLOOKUP($B189,Vertices!$A$10:$F$203, 3, FALSE)</f>
        <v>100</v>
      </c>
      <c r="G189" s="10">
        <f>VLOOKUP($B189,Vertices!$A$10:$F$203, 4, FALSE)</f>
        <v>20</v>
      </c>
      <c r="H189" s="10">
        <f>VLOOKUP($B189,Vertices!$A$10:$F$203, 5, FALSE)</f>
        <v>0</v>
      </c>
      <c r="I189" s="11">
        <f>VLOOKUP($B189,Vertices!$A$10:$F$203, 6, FALSE)</f>
        <v>60</v>
      </c>
      <c r="J189" s="9">
        <f>VLOOKUP($C189,Vertices!$A$10:$F$203, 3, FALSE)</f>
        <v>100</v>
      </c>
      <c r="K189" s="10">
        <f>VLOOKUP($C189,Vertices!$A$10:$F$203, 4, FALSE)</f>
        <v>40</v>
      </c>
      <c r="L189" s="10">
        <f>VLOOKUP($C189,Vertices!$A$10:$F$203, 5, FALSE)</f>
        <v>0</v>
      </c>
      <c r="M189" s="11">
        <f>VLOOKUP($C189,Vertices!$A$10:$F$203, 6, FALSE)</f>
        <v>80</v>
      </c>
      <c r="N189" s="9">
        <f>VLOOKUP($D189,Vertices!$A$10:$F$203, 3, FALSE)</f>
        <v>100</v>
      </c>
      <c r="O189" s="10">
        <f>VLOOKUP($D189,Vertices!$A$10:$F$203, 4, FALSE)</f>
        <v>0</v>
      </c>
      <c r="P189" s="10">
        <f>VLOOKUP($D189,Vertices!$A$10:$F$203, 5, FALSE)</f>
        <v>0</v>
      </c>
      <c r="Q189" s="11">
        <f>VLOOKUP($D189,Vertices!$A$10:$F$203, 6, FALSE)</f>
        <v>80</v>
      </c>
    </row>
    <row r="190" spans="1:17" x14ac:dyDescent="0.25">
      <c r="A190">
        <v>180</v>
      </c>
      <c r="B190">
        <v>151</v>
      </c>
      <c r="C190">
        <v>152</v>
      </c>
      <c r="D190">
        <v>174</v>
      </c>
      <c r="F190" s="9">
        <f>VLOOKUP($B190,Vertices!$A$10:$F$203, 3, FALSE)</f>
        <v>100</v>
      </c>
      <c r="G190" s="10">
        <f>VLOOKUP($B190,Vertices!$A$10:$F$203, 4, FALSE)</f>
        <v>20</v>
      </c>
      <c r="H190" s="10">
        <f>VLOOKUP($B190,Vertices!$A$10:$F$203, 5, FALSE)</f>
        <v>0</v>
      </c>
      <c r="I190" s="11">
        <f>VLOOKUP($B190,Vertices!$A$10:$F$203, 6, FALSE)</f>
        <v>60</v>
      </c>
      <c r="J190" s="9">
        <f>VLOOKUP($C190,Vertices!$A$10:$F$203, 3, FALSE)</f>
        <v>100</v>
      </c>
      <c r="K190" s="10">
        <f>VLOOKUP($C190,Vertices!$A$10:$F$203, 4, FALSE)</f>
        <v>40</v>
      </c>
      <c r="L190" s="10">
        <f>VLOOKUP($C190,Vertices!$A$10:$F$203, 5, FALSE)</f>
        <v>0</v>
      </c>
      <c r="M190" s="11">
        <f>VLOOKUP($C190,Vertices!$A$10:$F$203, 6, FALSE)</f>
        <v>60</v>
      </c>
      <c r="N190" s="9">
        <f>VLOOKUP($D190,Vertices!$A$10:$F$203, 3, FALSE)</f>
        <v>100</v>
      </c>
      <c r="O190" s="10">
        <f>VLOOKUP($D190,Vertices!$A$10:$F$203, 4, FALSE)</f>
        <v>40</v>
      </c>
      <c r="P190" s="10">
        <f>VLOOKUP($D190,Vertices!$A$10:$F$203, 5, FALSE)</f>
        <v>0</v>
      </c>
      <c r="Q190" s="11">
        <f>VLOOKUP($D190,Vertices!$A$10:$F$203, 6, FALSE)</f>
        <v>80</v>
      </c>
    </row>
    <row r="191" spans="1:17" x14ac:dyDescent="0.25">
      <c r="A191">
        <v>181</v>
      </c>
      <c r="B191">
        <v>152</v>
      </c>
      <c r="C191">
        <v>175</v>
      </c>
      <c r="D191">
        <v>174</v>
      </c>
      <c r="F191" s="9">
        <f>VLOOKUP($B191,Vertices!$A$10:$F$203, 3, FALSE)</f>
        <v>100</v>
      </c>
      <c r="G191" s="10">
        <f>VLOOKUP($B191,Vertices!$A$10:$F$203, 4, FALSE)</f>
        <v>40</v>
      </c>
      <c r="H191" s="10">
        <f>VLOOKUP($B191,Vertices!$A$10:$F$203, 5, FALSE)</f>
        <v>0</v>
      </c>
      <c r="I191" s="11">
        <f>VLOOKUP($B191,Vertices!$A$10:$F$203, 6, FALSE)</f>
        <v>60</v>
      </c>
      <c r="J191" s="9">
        <f>VLOOKUP($C191,Vertices!$A$10:$F$203, 3, FALSE)</f>
        <v>100</v>
      </c>
      <c r="K191" s="10">
        <f>VLOOKUP($C191,Vertices!$A$10:$F$203, 4, FALSE)</f>
        <v>70</v>
      </c>
      <c r="L191" s="10">
        <f>VLOOKUP($C191,Vertices!$A$10:$F$203, 5, FALSE)</f>
        <v>0</v>
      </c>
      <c r="M191" s="11">
        <f>VLOOKUP($C191,Vertices!$A$10:$F$203, 6, FALSE)</f>
        <v>80</v>
      </c>
      <c r="N191" s="9">
        <f>VLOOKUP($D191,Vertices!$A$10:$F$203, 3, FALSE)</f>
        <v>100</v>
      </c>
      <c r="O191" s="10">
        <f>VLOOKUP($D191,Vertices!$A$10:$F$203, 4, FALSE)</f>
        <v>40</v>
      </c>
      <c r="P191" s="10">
        <f>VLOOKUP($D191,Vertices!$A$10:$F$203, 5, FALSE)</f>
        <v>0</v>
      </c>
      <c r="Q191" s="11">
        <f>VLOOKUP($D191,Vertices!$A$10:$F$203, 6, FALSE)</f>
        <v>80</v>
      </c>
    </row>
    <row r="192" spans="1:17" x14ac:dyDescent="0.25">
      <c r="A192">
        <v>182</v>
      </c>
      <c r="B192">
        <v>152</v>
      </c>
      <c r="C192">
        <v>153</v>
      </c>
      <c r="D192">
        <v>175</v>
      </c>
      <c r="F192" s="9">
        <f>VLOOKUP($B192,Vertices!$A$10:$F$203, 3, FALSE)</f>
        <v>100</v>
      </c>
      <c r="G192" s="10">
        <f>VLOOKUP($B192,Vertices!$A$10:$F$203, 4, FALSE)</f>
        <v>40</v>
      </c>
      <c r="H192" s="10">
        <f>VLOOKUP($B192,Vertices!$A$10:$F$203, 5, FALSE)</f>
        <v>0</v>
      </c>
      <c r="I192" s="11">
        <f>VLOOKUP($B192,Vertices!$A$10:$F$203, 6, FALSE)</f>
        <v>60</v>
      </c>
      <c r="J192" s="9">
        <f>VLOOKUP($C192,Vertices!$A$10:$F$203, 3, FALSE)</f>
        <v>100</v>
      </c>
      <c r="K192" s="10">
        <f>VLOOKUP($C192,Vertices!$A$10:$F$203, 4, FALSE)</f>
        <v>70</v>
      </c>
      <c r="L192" s="10">
        <f>VLOOKUP($C192,Vertices!$A$10:$F$203, 5, FALSE)</f>
        <v>0</v>
      </c>
      <c r="M192" s="11">
        <f>VLOOKUP($C192,Vertices!$A$10:$F$203, 6, FALSE)</f>
        <v>60</v>
      </c>
      <c r="N192" s="9">
        <f>VLOOKUP($D192,Vertices!$A$10:$F$203, 3, FALSE)</f>
        <v>100</v>
      </c>
      <c r="O192" s="10">
        <f>VLOOKUP($D192,Vertices!$A$10:$F$203, 4, FALSE)</f>
        <v>70</v>
      </c>
      <c r="P192" s="10">
        <f>VLOOKUP($D192,Vertices!$A$10:$F$203, 5, FALSE)</f>
        <v>0</v>
      </c>
      <c r="Q192" s="11">
        <f>VLOOKUP($D192,Vertices!$A$10:$F$203, 6, FALSE)</f>
        <v>80</v>
      </c>
    </row>
    <row r="193" spans="1:17" x14ac:dyDescent="0.25">
      <c r="A193">
        <v>183</v>
      </c>
      <c r="B193">
        <v>153</v>
      </c>
      <c r="C193">
        <v>176</v>
      </c>
      <c r="D193">
        <v>175</v>
      </c>
      <c r="F193" s="9">
        <f>VLOOKUP($B193,Vertices!$A$10:$F$203, 3, FALSE)</f>
        <v>100</v>
      </c>
      <c r="G193" s="10">
        <f>VLOOKUP($B193,Vertices!$A$10:$F$203, 4, FALSE)</f>
        <v>70</v>
      </c>
      <c r="H193" s="10">
        <f>VLOOKUP($B193,Vertices!$A$10:$F$203, 5, FALSE)</f>
        <v>0</v>
      </c>
      <c r="I193" s="11">
        <f>VLOOKUP($B193,Vertices!$A$10:$F$203, 6, FALSE)</f>
        <v>60</v>
      </c>
      <c r="J193" s="9">
        <f>VLOOKUP($C193,Vertices!$A$10:$F$203, 3, FALSE)</f>
        <v>100</v>
      </c>
      <c r="K193" s="10">
        <f>VLOOKUP($C193,Vertices!$A$10:$F$203, 4, FALSE)</f>
        <v>100</v>
      </c>
      <c r="L193" s="10">
        <f>VLOOKUP($C193,Vertices!$A$10:$F$203, 5, FALSE)</f>
        <v>0</v>
      </c>
      <c r="M193" s="11">
        <f>VLOOKUP($C193,Vertices!$A$10:$F$203, 6, FALSE)</f>
        <v>80</v>
      </c>
      <c r="N193" s="9">
        <f>VLOOKUP($D193,Vertices!$A$10:$F$203, 3, FALSE)</f>
        <v>100</v>
      </c>
      <c r="O193" s="10">
        <f>VLOOKUP($D193,Vertices!$A$10:$F$203, 4, FALSE)</f>
        <v>70</v>
      </c>
      <c r="P193" s="10">
        <f>VLOOKUP($D193,Vertices!$A$10:$F$203, 5, FALSE)</f>
        <v>0</v>
      </c>
      <c r="Q193" s="11">
        <f>VLOOKUP($D193,Vertices!$A$10:$F$203, 6, FALSE)</f>
        <v>80</v>
      </c>
    </row>
    <row r="194" spans="1:17" x14ac:dyDescent="0.25">
      <c r="A194">
        <v>184</v>
      </c>
      <c r="B194">
        <v>153</v>
      </c>
      <c r="C194">
        <v>154</v>
      </c>
      <c r="D194">
        <v>176</v>
      </c>
      <c r="F194" s="9">
        <f>VLOOKUP($B194,Vertices!$A$10:$F$203, 3, FALSE)</f>
        <v>100</v>
      </c>
      <c r="G194" s="10">
        <f>VLOOKUP($B194,Vertices!$A$10:$F$203, 4, FALSE)</f>
        <v>70</v>
      </c>
      <c r="H194" s="10">
        <f>VLOOKUP($B194,Vertices!$A$10:$F$203, 5, FALSE)</f>
        <v>0</v>
      </c>
      <c r="I194" s="11">
        <f>VLOOKUP($B194,Vertices!$A$10:$F$203, 6, FALSE)</f>
        <v>60</v>
      </c>
      <c r="J194" s="9">
        <f>VLOOKUP($C194,Vertices!$A$10:$F$203, 3, FALSE)</f>
        <v>100</v>
      </c>
      <c r="K194" s="10">
        <f>VLOOKUP($C194,Vertices!$A$10:$F$203, 4, FALSE)</f>
        <v>100</v>
      </c>
      <c r="L194" s="10">
        <f>VLOOKUP($C194,Vertices!$A$10:$F$203, 5, FALSE)</f>
        <v>0</v>
      </c>
      <c r="M194" s="11">
        <f>VLOOKUP($C194,Vertices!$A$10:$F$203, 6, FALSE)</f>
        <v>60</v>
      </c>
      <c r="N194" s="9">
        <f>VLOOKUP($D194,Vertices!$A$10:$F$203, 3, FALSE)</f>
        <v>100</v>
      </c>
      <c r="O194" s="10">
        <f>VLOOKUP($D194,Vertices!$A$10:$F$203, 4, FALSE)</f>
        <v>100</v>
      </c>
      <c r="P194" s="10">
        <f>VLOOKUP($D194,Vertices!$A$10:$F$203, 5, FALSE)</f>
        <v>0</v>
      </c>
      <c r="Q194" s="11">
        <f>VLOOKUP($D194,Vertices!$A$10:$F$203, 6, FALSE)</f>
        <v>80</v>
      </c>
    </row>
    <row r="195" spans="1:17" x14ac:dyDescent="0.25">
      <c r="A195">
        <v>185</v>
      </c>
      <c r="B195">
        <v>173</v>
      </c>
      <c r="C195">
        <v>174</v>
      </c>
      <c r="D195">
        <v>189</v>
      </c>
      <c r="F195" s="9">
        <f>VLOOKUP($B195,Vertices!$A$10:$F$203, 3, FALSE)</f>
        <v>100</v>
      </c>
      <c r="G195" s="10">
        <f>VLOOKUP($B195,Vertices!$A$10:$F$203, 4, FALSE)</f>
        <v>0</v>
      </c>
      <c r="H195" s="10">
        <f>VLOOKUP($B195,Vertices!$A$10:$F$203, 5, FALSE)</f>
        <v>0</v>
      </c>
      <c r="I195" s="11">
        <f>VLOOKUP($B195,Vertices!$A$10:$F$203, 6, FALSE)</f>
        <v>80</v>
      </c>
      <c r="J195" s="9">
        <f>VLOOKUP($C195,Vertices!$A$10:$F$203, 3, FALSE)</f>
        <v>100</v>
      </c>
      <c r="K195" s="10">
        <f>VLOOKUP($C195,Vertices!$A$10:$F$203, 4, FALSE)</f>
        <v>40</v>
      </c>
      <c r="L195" s="10">
        <f>VLOOKUP($C195,Vertices!$A$10:$F$203, 5, FALSE)</f>
        <v>0</v>
      </c>
      <c r="M195" s="11">
        <f>VLOOKUP($C195,Vertices!$A$10:$F$203, 6, FALSE)</f>
        <v>80</v>
      </c>
      <c r="N195" s="9">
        <f>VLOOKUP($D195,Vertices!$A$10:$F$203, 3, FALSE)</f>
        <v>100</v>
      </c>
      <c r="O195" s="10">
        <f>VLOOKUP($D195,Vertices!$A$10:$F$203, 4, FALSE)</f>
        <v>0</v>
      </c>
      <c r="P195" s="10">
        <f>VLOOKUP($D195,Vertices!$A$10:$F$203, 5, FALSE)</f>
        <v>0</v>
      </c>
      <c r="Q195" s="11">
        <f>VLOOKUP($D195,Vertices!$A$10:$F$203, 6, FALSE)</f>
        <v>100</v>
      </c>
    </row>
    <row r="196" spans="1:17" x14ac:dyDescent="0.25">
      <c r="A196">
        <v>186</v>
      </c>
      <c r="B196">
        <v>174</v>
      </c>
      <c r="C196">
        <v>190</v>
      </c>
      <c r="D196">
        <v>189</v>
      </c>
      <c r="F196" s="9">
        <f>VLOOKUP($B196,Vertices!$A$10:$F$203, 3, FALSE)</f>
        <v>100</v>
      </c>
      <c r="G196" s="10">
        <f>VLOOKUP($B196,Vertices!$A$10:$F$203, 4, FALSE)</f>
        <v>40</v>
      </c>
      <c r="H196" s="10">
        <f>VLOOKUP($B196,Vertices!$A$10:$F$203, 5, FALSE)</f>
        <v>0</v>
      </c>
      <c r="I196" s="11">
        <f>VLOOKUP($B196,Vertices!$A$10:$F$203, 6, FALSE)</f>
        <v>80</v>
      </c>
      <c r="J196" s="9">
        <f>VLOOKUP($C196,Vertices!$A$10:$F$203, 3, FALSE)</f>
        <v>100</v>
      </c>
      <c r="K196" s="10">
        <f>VLOOKUP($C196,Vertices!$A$10:$F$203, 4, FALSE)</f>
        <v>100</v>
      </c>
      <c r="L196" s="10">
        <f>VLOOKUP($C196,Vertices!$A$10:$F$203, 5, FALSE)</f>
        <v>0</v>
      </c>
      <c r="M196" s="11">
        <f>VLOOKUP($C196,Vertices!$A$10:$F$203, 6, FALSE)</f>
        <v>100</v>
      </c>
      <c r="N196" s="9">
        <f>VLOOKUP($D196,Vertices!$A$10:$F$203, 3, FALSE)</f>
        <v>100</v>
      </c>
      <c r="O196" s="10">
        <f>VLOOKUP($D196,Vertices!$A$10:$F$203, 4, FALSE)</f>
        <v>0</v>
      </c>
      <c r="P196" s="10">
        <f>VLOOKUP($D196,Vertices!$A$10:$F$203, 5, FALSE)</f>
        <v>0</v>
      </c>
      <c r="Q196" s="11">
        <f>VLOOKUP($D196,Vertices!$A$10:$F$203, 6, FALSE)</f>
        <v>100</v>
      </c>
    </row>
    <row r="197" spans="1:17" x14ac:dyDescent="0.25">
      <c r="A197">
        <v>187</v>
      </c>
      <c r="B197">
        <v>174</v>
      </c>
      <c r="C197">
        <v>175</v>
      </c>
      <c r="D197">
        <v>190</v>
      </c>
      <c r="F197" s="9">
        <f>VLOOKUP($B197,Vertices!$A$10:$F$203, 3, FALSE)</f>
        <v>100</v>
      </c>
      <c r="G197" s="10">
        <f>VLOOKUP($B197,Vertices!$A$10:$F$203, 4, FALSE)</f>
        <v>40</v>
      </c>
      <c r="H197" s="10">
        <f>VLOOKUP($B197,Vertices!$A$10:$F$203, 5, FALSE)</f>
        <v>0</v>
      </c>
      <c r="I197" s="11">
        <f>VLOOKUP($B197,Vertices!$A$10:$F$203, 6, FALSE)</f>
        <v>80</v>
      </c>
      <c r="J197" s="9">
        <f>VLOOKUP($C197,Vertices!$A$10:$F$203, 3, FALSE)</f>
        <v>100</v>
      </c>
      <c r="K197" s="10">
        <f>VLOOKUP($C197,Vertices!$A$10:$F$203, 4, FALSE)</f>
        <v>70</v>
      </c>
      <c r="L197" s="10">
        <f>VLOOKUP($C197,Vertices!$A$10:$F$203, 5, FALSE)</f>
        <v>0</v>
      </c>
      <c r="M197" s="11">
        <f>VLOOKUP($C197,Vertices!$A$10:$F$203, 6, FALSE)</f>
        <v>80</v>
      </c>
      <c r="N197" s="9">
        <f>VLOOKUP($D197,Vertices!$A$10:$F$203, 3, FALSE)</f>
        <v>100</v>
      </c>
      <c r="O197" s="10">
        <f>VLOOKUP($D197,Vertices!$A$10:$F$203, 4, FALSE)</f>
        <v>100</v>
      </c>
      <c r="P197" s="10">
        <f>VLOOKUP($D197,Vertices!$A$10:$F$203, 5, FALSE)</f>
        <v>0</v>
      </c>
      <c r="Q197" s="11">
        <f>VLOOKUP($D197,Vertices!$A$10:$F$203, 6, FALSE)</f>
        <v>100</v>
      </c>
    </row>
    <row r="198" spans="1:17" x14ac:dyDescent="0.25">
      <c r="A198">
        <v>188</v>
      </c>
      <c r="B198">
        <v>175</v>
      </c>
      <c r="C198">
        <v>176</v>
      </c>
      <c r="D198">
        <v>190</v>
      </c>
      <c r="F198" s="9">
        <f>VLOOKUP($B198,Vertices!$A$10:$F$203, 3, FALSE)</f>
        <v>100</v>
      </c>
      <c r="G198" s="10">
        <f>VLOOKUP($B198,Vertices!$A$10:$F$203, 4, FALSE)</f>
        <v>70</v>
      </c>
      <c r="H198" s="10">
        <f>VLOOKUP($B198,Vertices!$A$10:$F$203, 5, FALSE)</f>
        <v>0</v>
      </c>
      <c r="I198" s="11">
        <f>VLOOKUP($B198,Vertices!$A$10:$F$203, 6, FALSE)</f>
        <v>80</v>
      </c>
      <c r="J198" s="9">
        <f>VLOOKUP($C198,Vertices!$A$10:$F$203, 3, FALSE)</f>
        <v>100</v>
      </c>
      <c r="K198" s="10">
        <f>VLOOKUP($C198,Vertices!$A$10:$F$203, 4, FALSE)</f>
        <v>100</v>
      </c>
      <c r="L198" s="10">
        <f>VLOOKUP($C198,Vertices!$A$10:$F$203, 5, FALSE)</f>
        <v>0</v>
      </c>
      <c r="M198" s="11">
        <f>VLOOKUP($C198,Vertices!$A$10:$F$203, 6, FALSE)</f>
        <v>80</v>
      </c>
      <c r="N198" s="9">
        <f>VLOOKUP($D198,Vertices!$A$10:$F$203, 3, FALSE)</f>
        <v>100</v>
      </c>
      <c r="O198" s="10">
        <f>VLOOKUP($D198,Vertices!$A$10:$F$203, 4, FALSE)</f>
        <v>100</v>
      </c>
      <c r="P198" s="10">
        <f>VLOOKUP($D198,Vertices!$A$10:$F$203, 5, FALSE)</f>
        <v>0</v>
      </c>
      <c r="Q198" s="11">
        <f>VLOOKUP($D198,Vertices!$A$10:$F$203, 6, FALSE)</f>
        <v>100</v>
      </c>
    </row>
    <row r="199" spans="1:17" x14ac:dyDescent="0.25">
      <c r="A199">
        <v>189</v>
      </c>
      <c r="B199">
        <v>6</v>
      </c>
      <c r="C199">
        <v>92</v>
      </c>
      <c r="D199">
        <v>93</v>
      </c>
      <c r="F199" s="9">
        <f>VLOOKUP($B199,Vertices!$A$10:$F$203, 3, FALSE)</f>
        <v>0</v>
      </c>
      <c r="G199" s="10">
        <f>VLOOKUP($B199,Vertices!$A$10:$F$203, 4, FALSE)</f>
        <v>100</v>
      </c>
      <c r="H199" s="10">
        <f>VLOOKUP($B199,Vertices!$A$10:$F$203, 5, FALSE)</f>
        <v>0</v>
      </c>
      <c r="I199" s="11">
        <f>VLOOKUP($B199,Vertices!$A$10:$F$203, 6, FALSE)</f>
        <v>0</v>
      </c>
      <c r="J199" s="9">
        <f>VLOOKUP($C199,Vertices!$A$10:$F$203, 3, FALSE)</f>
        <v>0</v>
      </c>
      <c r="K199" s="10">
        <f>VLOOKUP($C199,Vertices!$A$10:$F$203, 4, FALSE)</f>
        <v>100</v>
      </c>
      <c r="L199" s="10">
        <f>VLOOKUP($C199,Vertices!$A$10:$F$203, 5, FALSE)</f>
        <v>0</v>
      </c>
      <c r="M199" s="11">
        <f>VLOOKUP($C199,Vertices!$A$10:$F$203, 6, FALSE)</f>
        <v>20</v>
      </c>
      <c r="N199" s="9">
        <f>VLOOKUP($D199,Vertices!$A$10:$F$203, 3, FALSE)</f>
        <v>10</v>
      </c>
      <c r="O199" s="10">
        <f>VLOOKUP($D199,Vertices!$A$10:$F$203, 4, FALSE)</f>
        <v>100</v>
      </c>
      <c r="P199" s="10">
        <f>VLOOKUP($D199,Vertices!$A$10:$F$203, 5, FALSE)</f>
        <v>0</v>
      </c>
      <c r="Q199" s="11">
        <f>VLOOKUP($D199,Vertices!$A$10:$F$203, 6, FALSE)</f>
        <v>20</v>
      </c>
    </row>
    <row r="200" spans="1:17" x14ac:dyDescent="0.25">
      <c r="A200">
        <v>190</v>
      </c>
      <c r="B200">
        <v>6</v>
      </c>
      <c r="C200">
        <v>93</v>
      </c>
      <c r="D200">
        <v>12</v>
      </c>
      <c r="F200" s="9">
        <f>VLOOKUP($B200,Vertices!$A$10:$F$203, 3, FALSE)</f>
        <v>0</v>
      </c>
      <c r="G200" s="10">
        <f>VLOOKUP($B200,Vertices!$A$10:$F$203, 4, FALSE)</f>
        <v>100</v>
      </c>
      <c r="H200" s="10">
        <f>VLOOKUP($B200,Vertices!$A$10:$F$203, 5, FALSE)</f>
        <v>0</v>
      </c>
      <c r="I200" s="11">
        <f>VLOOKUP($B200,Vertices!$A$10:$F$203, 6, FALSE)</f>
        <v>0</v>
      </c>
      <c r="J200" s="9">
        <f>VLOOKUP($C200,Vertices!$A$10:$F$203, 3, FALSE)</f>
        <v>10</v>
      </c>
      <c r="K200" s="10">
        <f>VLOOKUP($C200,Vertices!$A$10:$F$203, 4, FALSE)</f>
        <v>100</v>
      </c>
      <c r="L200" s="10">
        <f>VLOOKUP($C200,Vertices!$A$10:$F$203, 5, FALSE)</f>
        <v>0</v>
      </c>
      <c r="M200" s="11">
        <f>VLOOKUP($C200,Vertices!$A$10:$F$203, 6, FALSE)</f>
        <v>20</v>
      </c>
      <c r="N200" s="9">
        <f>VLOOKUP($D200,Vertices!$A$10:$F$203, 3, FALSE)</f>
        <v>10</v>
      </c>
      <c r="O200" s="10">
        <f>VLOOKUP($D200,Vertices!$A$10:$F$203, 4, FALSE)</f>
        <v>100</v>
      </c>
      <c r="P200" s="10">
        <f>VLOOKUP($D200,Vertices!$A$10:$F$203, 5, FALSE)</f>
        <v>0</v>
      </c>
      <c r="Q200" s="11">
        <f>VLOOKUP($D200,Vertices!$A$10:$F$203, 6, FALSE)</f>
        <v>0</v>
      </c>
    </row>
    <row r="201" spans="1:17" x14ac:dyDescent="0.25">
      <c r="A201">
        <v>191</v>
      </c>
      <c r="B201">
        <v>12</v>
      </c>
      <c r="C201">
        <v>93</v>
      </c>
      <c r="D201">
        <v>94</v>
      </c>
      <c r="F201" s="9">
        <f>VLOOKUP($B201,Vertices!$A$10:$F$203, 3, FALSE)</f>
        <v>10</v>
      </c>
      <c r="G201" s="10">
        <f>VLOOKUP($B201,Vertices!$A$10:$F$203, 4, FALSE)</f>
        <v>100</v>
      </c>
      <c r="H201" s="10">
        <f>VLOOKUP($B201,Vertices!$A$10:$F$203, 5, FALSE)</f>
        <v>0</v>
      </c>
      <c r="I201" s="11">
        <f>VLOOKUP($B201,Vertices!$A$10:$F$203, 6, FALSE)</f>
        <v>0</v>
      </c>
      <c r="J201" s="9">
        <f>VLOOKUP($C201,Vertices!$A$10:$F$203, 3, FALSE)</f>
        <v>10</v>
      </c>
      <c r="K201" s="10">
        <f>VLOOKUP($C201,Vertices!$A$10:$F$203, 4, FALSE)</f>
        <v>100</v>
      </c>
      <c r="L201" s="10">
        <f>VLOOKUP($C201,Vertices!$A$10:$F$203, 5, FALSE)</f>
        <v>0</v>
      </c>
      <c r="M201" s="11">
        <f>VLOOKUP($C201,Vertices!$A$10:$F$203, 6, FALSE)</f>
        <v>20</v>
      </c>
      <c r="N201" s="9">
        <f>VLOOKUP($D201,Vertices!$A$10:$F$203, 3, FALSE)</f>
        <v>20</v>
      </c>
      <c r="O201" s="10">
        <f>VLOOKUP($D201,Vertices!$A$10:$F$203, 4, FALSE)</f>
        <v>100</v>
      </c>
      <c r="P201" s="10">
        <f>VLOOKUP($D201,Vertices!$A$10:$F$203, 5, FALSE)</f>
        <v>0</v>
      </c>
      <c r="Q201" s="11">
        <f>VLOOKUP($D201,Vertices!$A$10:$F$203, 6, FALSE)</f>
        <v>20</v>
      </c>
    </row>
    <row r="202" spans="1:17" x14ac:dyDescent="0.25">
      <c r="A202">
        <v>192</v>
      </c>
      <c r="B202">
        <v>12</v>
      </c>
      <c r="C202">
        <v>94</v>
      </c>
      <c r="D202">
        <v>18</v>
      </c>
      <c r="F202" s="9">
        <f>VLOOKUP($B202,Vertices!$A$10:$F$203, 3, FALSE)</f>
        <v>10</v>
      </c>
      <c r="G202" s="10">
        <f>VLOOKUP($B202,Vertices!$A$10:$F$203, 4, FALSE)</f>
        <v>100</v>
      </c>
      <c r="H202" s="10">
        <f>VLOOKUP($B202,Vertices!$A$10:$F$203, 5, FALSE)</f>
        <v>0</v>
      </c>
      <c r="I202" s="11">
        <f>VLOOKUP($B202,Vertices!$A$10:$F$203, 6, FALSE)</f>
        <v>0</v>
      </c>
      <c r="J202" s="9">
        <f>VLOOKUP($C202,Vertices!$A$10:$F$203, 3, FALSE)</f>
        <v>20</v>
      </c>
      <c r="K202" s="10">
        <f>VLOOKUP($C202,Vertices!$A$10:$F$203, 4, FALSE)</f>
        <v>100</v>
      </c>
      <c r="L202" s="10">
        <f>VLOOKUP($C202,Vertices!$A$10:$F$203, 5, FALSE)</f>
        <v>0</v>
      </c>
      <c r="M202" s="11">
        <f>VLOOKUP($C202,Vertices!$A$10:$F$203, 6, FALSE)</f>
        <v>20</v>
      </c>
      <c r="N202" s="9">
        <f>VLOOKUP($D202,Vertices!$A$10:$F$203, 3, FALSE)</f>
        <v>20</v>
      </c>
      <c r="O202" s="10">
        <f>VLOOKUP($D202,Vertices!$A$10:$F$203, 4, FALSE)</f>
        <v>100</v>
      </c>
      <c r="P202" s="10">
        <f>VLOOKUP($D202,Vertices!$A$10:$F$203, 5, FALSE)</f>
        <v>0</v>
      </c>
      <c r="Q202" s="11">
        <f>VLOOKUP($D202,Vertices!$A$10:$F$203, 6, FALSE)</f>
        <v>0</v>
      </c>
    </row>
    <row r="203" spans="1:17" x14ac:dyDescent="0.25">
      <c r="A203">
        <v>193</v>
      </c>
      <c r="B203">
        <v>18</v>
      </c>
      <c r="C203">
        <v>94</v>
      </c>
      <c r="D203">
        <v>95</v>
      </c>
      <c r="F203" s="9">
        <f>VLOOKUP($B203,Vertices!$A$10:$F$203, 3, FALSE)</f>
        <v>20</v>
      </c>
      <c r="G203" s="10">
        <f>VLOOKUP($B203,Vertices!$A$10:$F$203, 4, FALSE)</f>
        <v>100</v>
      </c>
      <c r="H203" s="10">
        <f>VLOOKUP($B203,Vertices!$A$10:$F$203, 5, FALSE)</f>
        <v>0</v>
      </c>
      <c r="I203" s="11">
        <f>VLOOKUP($B203,Vertices!$A$10:$F$203, 6, FALSE)</f>
        <v>0</v>
      </c>
      <c r="J203" s="9">
        <f>VLOOKUP($C203,Vertices!$A$10:$F$203, 3, FALSE)</f>
        <v>20</v>
      </c>
      <c r="K203" s="10">
        <f>VLOOKUP($C203,Vertices!$A$10:$F$203, 4, FALSE)</f>
        <v>100</v>
      </c>
      <c r="L203" s="10">
        <f>VLOOKUP($C203,Vertices!$A$10:$F$203, 5, FALSE)</f>
        <v>0</v>
      </c>
      <c r="M203" s="11">
        <f>VLOOKUP($C203,Vertices!$A$10:$F$203, 6, FALSE)</f>
        <v>20</v>
      </c>
      <c r="N203" s="9">
        <f>VLOOKUP($D203,Vertices!$A$10:$F$203, 3, FALSE)</f>
        <v>40</v>
      </c>
      <c r="O203" s="10">
        <f>VLOOKUP($D203,Vertices!$A$10:$F$203, 4, FALSE)</f>
        <v>100</v>
      </c>
      <c r="P203" s="10">
        <f>VLOOKUP($D203,Vertices!$A$10:$F$203, 5, FALSE)</f>
        <v>0</v>
      </c>
      <c r="Q203" s="11">
        <f>VLOOKUP($D203,Vertices!$A$10:$F$203, 6, FALSE)</f>
        <v>20</v>
      </c>
    </row>
    <row r="204" spans="1:17" x14ac:dyDescent="0.25">
      <c r="A204">
        <v>194</v>
      </c>
      <c r="B204">
        <v>18</v>
      </c>
      <c r="C204">
        <v>95</v>
      </c>
      <c r="D204">
        <v>24</v>
      </c>
      <c r="F204" s="9">
        <f>VLOOKUP($B204,Vertices!$A$10:$F$203, 3, FALSE)</f>
        <v>20</v>
      </c>
      <c r="G204" s="10">
        <f>VLOOKUP($B204,Vertices!$A$10:$F$203, 4, FALSE)</f>
        <v>100</v>
      </c>
      <c r="H204" s="10">
        <f>VLOOKUP($B204,Vertices!$A$10:$F$203, 5, FALSE)</f>
        <v>0</v>
      </c>
      <c r="I204" s="11">
        <f>VLOOKUP($B204,Vertices!$A$10:$F$203, 6, FALSE)</f>
        <v>0</v>
      </c>
      <c r="J204" s="9">
        <f>VLOOKUP($C204,Vertices!$A$10:$F$203, 3, FALSE)</f>
        <v>40</v>
      </c>
      <c r="K204" s="10">
        <f>VLOOKUP($C204,Vertices!$A$10:$F$203, 4, FALSE)</f>
        <v>100</v>
      </c>
      <c r="L204" s="10">
        <f>VLOOKUP($C204,Vertices!$A$10:$F$203, 5, FALSE)</f>
        <v>0</v>
      </c>
      <c r="M204" s="11">
        <f>VLOOKUP($C204,Vertices!$A$10:$F$203, 6, FALSE)</f>
        <v>20</v>
      </c>
      <c r="N204" s="9">
        <f>VLOOKUP($D204,Vertices!$A$10:$F$203, 3, FALSE)</f>
        <v>40</v>
      </c>
      <c r="O204" s="10">
        <f>VLOOKUP($D204,Vertices!$A$10:$F$203, 4, FALSE)</f>
        <v>100</v>
      </c>
      <c r="P204" s="10">
        <f>VLOOKUP($D204,Vertices!$A$10:$F$203, 5, FALSE)</f>
        <v>0</v>
      </c>
      <c r="Q204" s="11">
        <f>VLOOKUP($D204,Vertices!$A$10:$F$203, 6, FALSE)</f>
        <v>0</v>
      </c>
    </row>
    <row r="205" spans="1:17" x14ac:dyDescent="0.25">
      <c r="A205">
        <v>195</v>
      </c>
      <c r="B205">
        <v>24</v>
      </c>
      <c r="C205">
        <v>95</v>
      </c>
      <c r="D205">
        <v>96</v>
      </c>
      <c r="F205" s="9">
        <f>VLOOKUP($B205,Vertices!$A$10:$F$203, 3, FALSE)</f>
        <v>40</v>
      </c>
      <c r="G205" s="10">
        <f>VLOOKUP($B205,Vertices!$A$10:$F$203, 4, FALSE)</f>
        <v>100</v>
      </c>
      <c r="H205" s="10">
        <f>VLOOKUP($B205,Vertices!$A$10:$F$203, 5, FALSE)</f>
        <v>0</v>
      </c>
      <c r="I205" s="11">
        <f>VLOOKUP($B205,Vertices!$A$10:$F$203, 6, FALSE)</f>
        <v>0</v>
      </c>
      <c r="J205" s="9">
        <f>VLOOKUP($C205,Vertices!$A$10:$F$203, 3, FALSE)</f>
        <v>40</v>
      </c>
      <c r="K205" s="10">
        <f>VLOOKUP($C205,Vertices!$A$10:$F$203, 4, FALSE)</f>
        <v>100</v>
      </c>
      <c r="L205" s="10">
        <f>VLOOKUP($C205,Vertices!$A$10:$F$203, 5, FALSE)</f>
        <v>0</v>
      </c>
      <c r="M205" s="11">
        <f>VLOOKUP($C205,Vertices!$A$10:$F$203, 6, FALSE)</f>
        <v>20</v>
      </c>
      <c r="N205" s="9">
        <f>VLOOKUP($D205,Vertices!$A$10:$F$203, 3, FALSE)</f>
        <v>70</v>
      </c>
      <c r="O205" s="10">
        <f>VLOOKUP($D205,Vertices!$A$10:$F$203, 4, FALSE)</f>
        <v>100</v>
      </c>
      <c r="P205" s="10">
        <f>VLOOKUP($D205,Vertices!$A$10:$F$203, 5, FALSE)</f>
        <v>0</v>
      </c>
      <c r="Q205" s="11">
        <f>VLOOKUP($D205,Vertices!$A$10:$F$203, 6, FALSE)</f>
        <v>20</v>
      </c>
    </row>
    <row r="206" spans="1:17" x14ac:dyDescent="0.25">
      <c r="A206">
        <v>196</v>
      </c>
      <c r="B206">
        <v>24</v>
      </c>
      <c r="C206">
        <v>96</v>
      </c>
      <c r="D206">
        <v>30</v>
      </c>
      <c r="F206" s="9">
        <f>VLOOKUP($B206,Vertices!$A$10:$F$203, 3, FALSE)</f>
        <v>40</v>
      </c>
      <c r="G206" s="10">
        <f>VLOOKUP($B206,Vertices!$A$10:$F$203, 4, FALSE)</f>
        <v>100</v>
      </c>
      <c r="H206" s="10">
        <f>VLOOKUP($B206,Vertices!$A$10:$F$203, 5, FALSE)</f>
        <v>0</v>
      </c>
      <c r="I206" s="11">
        <f>VLOOKUP($B206,Vertices!$A$10:$F$203, 6, FALSE)</f>
        <v>0</v>
      </c>
      <c r="J206" s="9">
        <f>VLOOKUP($C206,Vertices!$A$10:$F$203, 3, FALSE)</f>
        <v>70</v>
      </c>
      <c r="K206" s="10">
        <f>VLOOKUP($C206,Vertices!$A$10:$F$203, 4, FALSE)</f>
        <v>100</v>
      </c>
      <c r="L206" s="10">
        <f>VLOOKUP($C206,Vertices!$A$10:$F$203, 5, FALSE)</f>
        <v>0</v>
      </c>
      <c r="M206" s="11">
        <f>VLOOKUP($C206,Vertices!$A$10:$F$203, 6, FALSE)</f>
        <v>20</v>
      </c>
      <c r="N206" s="9">
        <f>VLOOKUP($D206,Vertices!$A$10:$F$203, 3, FALSE)</f>
        <v>70</v>
      </c>
      <c r="O206" s="10">
        <f>VLOOKUP($D206,Vertices!$A$10:$F$203, 4, FALSE)</f>
        <v>100</v>
      </c>
      <c r="P206" s="10">
        <f>VLOOKUP($D206,Vertices!$A$10:$F$203, 5, FALSE)</f>
        <v>0</v>
      </c>
      <c r="Q206" s="11">
        <f>VLOOKUP($D206,Vertices!$A$10:$F$203, 6, FALSE)</f>
        <v>0</v>
      </c>
    </row>
    <row r="207" spans="1:17" x14ac:dyDescent="0.25">
      <c r="A207">
        <v>197</v>
      </c>
      <c r="B207">
        <v>30</v>
      </c>
      <c r="C207">
        <v>96</v>
      </c>
      <c r="D207">
        <v>102</v>
      </c>
      <c r="F207" s="9">
        <f>VLOOKUP($B207,Vertices!$A$10:$F$203, 3, FALSE)</f>
        <v>70</v>
      </c>
      <c r="G207" s="10">
        <f>VLOOKUP($B207,Vertices!$A$10:$F$203, 4, FALSE)</f>
        <v>100</v>
      </c>
      <c r="H207" s="10">
        <f>VLOOKUP($B207,Vertices!$A$10:$F$203, 5, FALSE)</f>
        <v>0</v>
      </c>
      <c r="I207" s="11">
        <f>VLOOKUP($B207,Vertices!$A$10:$F$203, 6, FALSE)</f>
        <v>0</v>
      </c>
      <c r="J207" s="9">
        <f>VLOOKUP($C207,Vertices!$A$10:$F$203, 3, FALSE)</f>
        <v>70</v>
      </c>
      <c r="K207" s="10">
        <f>VLOOKUP($C207,Vertices!$A$10:$F$203, 4, FALSE)</f>
        <v>100</v>
      </c>
      <c r="L207" s="10">
        <f>VLOOKUP($C207,Vertices!$A$10:$F$203, 5, FALSE)</f>
        <v>0</v>
      </c>
      <c r="M207" s="11">
        <f>VLOOKUP($C207,Vertices!$A$10:$F$203, 6, FALSE)</f>
        <v>20</v>
      </c>
      <c r="N207" s="9">
        <f>VLOOKUP($D207,Vertices!$A$10:$F$203, 3, FALSE)</f>
        <v>100</v>
      </c>
      <c r="O207" s="10">
        <f>VLOOKUP($D207,Vertices!$A$10:$F$203, 4, FALSE)</f>
        <v>100</v>
      </c>
      <c r="P207" s="10">
        <f>VLOOKUP($D207,Vertices!$A$10:$F$203, 5, FALSE)</f>
        <v>0</v>
      </c>
      <c r="Q207" s="11">
        <f>VLOOKUP($D207,Vertices!$A$10:$F$203, 6, FALSE)</f>
        <v>20</v>
      </c>
    </row>
    <row r="208" spans="1:17" x14ac:dyDescent="0.25">
      <c r="A208">
        <v>198</v>
      </c>
      <c r="B208">
        <v>30</v>
      </c>
      <c r="C208">
        <v>102</v>
      </c>
      <c r="D208">
        <v>36</v>
      </c>
      <c r="F208" s="9">
        <f>VLOOKUP($B208,Vertices!$A$10:$F$203, 3, FALSE)</f>
        <v>70</v>
      </c>
      <c r="G208" s="10">
        <f>VLOOKUP($B208,Vertices!$A$10:$F$203, 4, FALSE)</f>
        <v>100</v>
      </c>
      <c r="H208" s="10">
        <f>VLOOKUP($B208,Vertices!$A$10:$F$203, 5, FALSE)</f>
        <v>0</v>
      </c>
      <c r="I208" s="11">
        <f>VLOOKUP($B208,Vertices!$A$10:$F$203, 6, FALSE)</f>
        <v>0</v>
      </c>
      <c r="J208" s="9">
        <f>VLOOKUP($C208,Vertices!$A$10:$F$203, 3, FALSE)</f>
        <v>100</v>
      </c>
      <c r="K208" s="10">
        <f>VLOOKUP($C208,Vertices!$A$10:$F$203, 4, FALSE)</f>
        <v>100</v>
      </c>
      <c r="L208" s="10">
        <f>VLOOKUP($C208,Vertices!$A$10:$F$203, 5, FALSE)</f>
        <v>0</v>
      </c>
      <c r="M208" s="11">
        <f>VLOOKUP($C208,Vertices!$A$10:$F$203, 6, FALSE)</f>
        <v>20</v>
      </c>
      <c r="N208" s="9">
        <f>VLOOKUP($D208,Vertices!$A$10:$F$203, 3, FALSE)</f>
        <v>100</v>
      </c>
      <c r="O208" s="10">
        <f>VLOOKUP($D208,Vertices!$A$10:$F$203, 4, FALSE)</f>
        <v>100</v>
      </c>
      <c r="P208" s="10">
        <f>VLOOKUP($D208,Vertices!$A$10:$F$203, 5, FALSE)</f>
        <v>0</v>
      </c>
      <c r="Q208" s="11">
        <f>VLOOKUP($D208,Vertices!$A$10:$F$203, 6, FALSE)</f>
        <v>0</v>
      </c>
    </row>
    <row r="209" spans="1:17" x14ac:dyDescent="0.25">
      <c r="A209">
        <v>199</v>
      </c>
      <c r="B209">
        <v>92</v>
      </c>
      <c r="C209">
        <v>122</v>
      </c>
      <c r="D209">
        <v>93</v>
      </c>
      <c r="F209" s="9">
        <f>VLOOKUP($B209,Vertices!$A$10:$F$203, 3, FALSE)</f>
        <v>0</v>
      </c>
      <c r="G209" s="10">
        <f>VLOOKUP($B209,Vertices!$A$10:$F$203, 4, FALSE)</f>
        <v>100</v>
      </c>
      <c r="H209" s="10">
        <f>VLOOKUP($B209,Vertices!$A$10:$F$203, 5, FALSE)</f>
        <v>0</v>
      </c>
      <c r="I209" s="11">
        <f>VLOOKUP($B209,Vertices!$A$10:$F$203, 6, FALSE)</f>
        <v>20</v>
      </c>
      <c r="J209" s="9">
        <f>VLOOKUP($C209,Vertices!$A$10:$F$203, 3, FALSE)</f>
        <v>0</v>
      </c>
      <c r="K209" s="10">
        <f>VLOOKUP($C209,Vertices!$A$10:$F$203, 4, FALSE)</f>
        <v>100</v>
      </c>
      <c r="L209" s="10">
        <f>VLOOKUP($C209,Vertices!$A$10:$F$203, 5, FALSE)</f>
        <v>0</v>
      </c>
      <c r="M209" s="11">
        <f>VLOOKUP($C209,Vertices!$A$10:$F$203, 6, FALSE)</f>
        <v>40</v>
      </c>
      <c r="N209" s="9">
        <f>VLOOKUP($D209,Vertices!$A$10:$F$203, 3, FALSE)</f>
        <v>10</v>
      </c>
      <c r="O209" s="10">
        <f>VLOOKUP($D209,Vertices!$A$10:$F$203, 4, FALSE)</f>
        <v>100</v>
      </c>
      <c r="P209" s="10">
        <f>VLOOKUP($D209,Vertices!$A$10:$F$203, 5, FALSE)</f>
        <v>0</v>
      </c>
      <c r="Q209" s="11">
        <f>VLOOKUP($D209,Vertices!$A$10:$F$203, 6, FALSE)</f>
        <v>20</v>
      </c>
    </row>
    <row r="210" spans="1:17" x14ac:dyDescent="0.25">
      <c r="A210">
        <v>200</v>
      </c>
      <c r="B210">
        <v>122</v>
      </c>
      <c r="C210">
        <v>123</v>
      </c>
      <c r="D210">
        <v>93</v>
      </c>
      <c r="F210" s="9">
        <f>VLOOKUP($B210,Vertices!$A$10:$F$203, 3, FALSE)</f>
        <v>0</v>
      </c>
      <c r="G210" s="10">
        <f>VLOOKUP($B210,Vertices!$A$10:$F$203, 4, FALSE)</f>
        <v>100</v>
      </c>
      <c r="H210" s="10">
        <f>VLOOKUP($B210,Vertices!$A$10:$F$203, 5, FALSE)</f>
        <v>0</v>
      </c>
      <c r="I210" s="11">
        <f>VLOOKUP($B210,Vertices!$A$10:$F$203, 6, FALSE)</f>
        <v>40</v>
      </c>
      <c r="J210" s="9">
        <f>VLOOKUP($C210,Vertices!$A$10:$F$203, 3, FALSE)</f>
        <v>20</v>
      </c>
      <c r="K210" s="10">
        <f>VLOOKUP($C210,Vertices!$A$10:$F$203, 4, FALSE)</f>
        <v>100</v>
      </c>
      <c r="L210" s="10">
        <f>VLOOKUP($C210,Vertices!$A$10:$F$203, 5, FALSE)</f>
        <v>0</v>
      </c>
      <c r="M210" s="11">
        <f>VLOOKUP($C210,Vertices!$A$10:$F$203, 6, FALSE)</f>
        <v>40</v>
      </c>
      <c r="N210" s="9">
        <f>VLOOKUP($D210,Vertices!$A$10:$F$203, 3, FALSE)</f>
        <v>10</v>
      </c>
      <c r="O210" s="10">
        <f>VLOOKUP($D210,Vertices!$A$10:$F$203, 4, FALSE)</f>
        <v>100</v>
      </c>
      <c r="P210" s="10">
        <f>VLOOKUP($D210,Vertices!$A$10:$F$203, 5, FALSE)</f>
        <v>0</v>
      </c>
      <c r="Q210" s="11">
        <f>VLOOKUP($D210,Vertices!$A$10:$F$203, 6, FALSE)</f>
        <v>20</v>
      </c>
    </row>
    <row r="211" spans="1:17" x14ac:dyDescent="0.25">
      <c r="A211">
        <v>201</v>
      </c>
      <c r="B211">
        <v>93</v>
      </c>
      <c r="C211">
        <v>123</v>
      </c>
      <c r="D211">
        <v>94</v>
      </c>
      <c r="F211" s="9">
        <f>VLOOKUP($B211,Vertices!$A$10:$F$203, 3, FALSE)</f>
        <v>10</v>
      </c>
      <c r="G211" s="10">
        <f>VLOOKUP($B211,Vertices!$A$10:$F$203, 4, FALSE)</f>
        <v>100</v>
      </c>
      <c r="H211" s="10">
        <f>VLOOKUP($B211,Vertices!$A$10:$F$203, 5, FALSE)</f>
        <v>0</v>
      </c>
      <c r="I211" s="11">
        <f>VLOOKUP($B211,Vertices!$A$10:$F$203, 6, FALSE)</f>
        <v>20</v>
      </c>
      <c r="J211" s="9">
        <f>VLOOKUP($C211,Vertices!$A$10:$F$203, 3, FALSE)</f>
        <v>20</v>
      </c>
      <c r="K211" s="10">
        <f>VLOOKUP($C211,Vertices!$A$10:$F$203, 4, FALSE)</f>
        <v>100</v>
      </c>
      <c r="L211" s="10">
        <f>VLOOKUP($C211,Vertices!$A$10:$F$203, 5, FALSE)</f>
        <v>0</v>
      </c>
      <c r="M211" s="11">
        <f>VLOOKUP($C211,Vertices!$A$10:$F$203, 6, FALSE)</f>
        <v>40</v>
      </c>
      <c r="N211" s="9">
        <f>VLOOKUP($D211,Vertices!$A$10:$F$203, 3, FALSE)</f>
        <v>20</v>
      </c>
      <c r="O211" s="10">
        <f>VLOOKUP($D211,Vertices!$A$10:$F$203, 4, FALSE)</f>
        <v>100</v>
      </c>
      <c r="P211" s="10">
        <f>VLOOKUP($D211,Vertices!$A$10:$F$203, 5, FALSE)</f>
        <v>0</v>
      </c>
      <c r="Q211" s="11">
        <f>VLOOKUP($D211,Vertices!$A$10:$F$203, 6, FALSE)</f>
        <v>20</v>
      </c>
    </row>
    <row r="212" spans="1:17" x14ac:dyDescent="0.25">
      <c r="A212">
        <v>202</v>
      </c>
      <c r="B212">
        <v>94</v>
      </c>
      <c r="C212">
        <v>123</v>
      </c>
      <c r="D212">
        <v>124</v>
      </c>
      <c r="F212" s="9">
        <f>VLOOKUP($B212,Vertices!$A$10:$F$203, 3, FALSE)</f>
        <v>20</v>
      </c>
      <c r="G212" s="10">
        <f>VLOOKUP($B212,Vertices!$A$10:$F$203, 4, FALSE)</f>
        <v>100</v>
      </c>
      <c r="H212" s="10">
        <f>VLOOKUP($B212,Vertices!$A$10:$F$203, 5, FALSE)</f>
        <v>0</v>
      </c>
      <c r="I212" s="11">
        <f>VLOOKUP($B212,Vertices!$A$10:$F$203, 6, FALSE)</f>
        <v>20</v>
      </c>
      <c r="J212" s="9">
        <f>VLOOKUP($C212,Vertices!$A$10:$F$203, 3, FALSE)</f>
        <v>20</v>
      </c>
      <c r="K212" s="10">
        <f>VLOOKUP($C212,Vertices!$A$10:$F$203, 4, FALSE)</f>
        <v>100</v>
      </c>
      <c r="L212" s="10">
        <f>VLOOKUP($C212,Vertices!$A$10:$F$203, 5, FALSE)</f>
        <v>0</v>
      </c>
      <c r="M212" s="11">
        <f>VLOOKUP($C212,Vertices!$A$10:$F$203, 6, FALSE)</f>
        <v>40</v>
      </c>
      <c r="N212" s="9">
        <f>VLOOKUP($D212,Vertices!$A$10:$F$203, 3, FALSE)</f>
        <v>40</v>
      </c>
      <c r="O212" s="10">
        <f>VLOOKUP($D212,Vertices!$A$10:$F$203, 4, FALSE)</f>
        <v>100</v>
      </c>
      <c r="P212" s="10">
        <f>VLOOKUP($D212,Vertices!$A$10:$F$203, 5, FALSE)</f>
        <v>0</v>
      </c>
      <c r="Q212" s="11">
        <f>VLOOKUP($D212,Vertices!$A$10:$F$203, 6, FALSE)</f>
        <v>40</v>
      </c>
    </row>
    <row r="213" spans="1:17" x14ac:dyDescent="0.25">
      <c r="A213">
        <v>203</v>
      </c>
      <c r="B213">
        <v>94</v>
      </c>
      <c r="C213">
        <v>124</v>
      </c>
      <c r="D213">
        <v>95</v>
      </c>
      <c r="F213" s="9">
        <f>VLOOKUP($B213,Vertices!$A$10:$F$203, 3, FALSE)</f>
        <v>20</v>
      </c>
      <c r="G213" s="10">
        <f>VLOOKUP($B213,Vertices!$A$10:$F$203, 4, FALSE)</f>
        <v>100</v>
      </c>
      <c r="H213" s="10">
        <f>VLOOKUP($B213,Vertices!$A$10:$F$203, 5, FALSE)</f>
        <v>0</v>
      </c>
      <c r="I213" s="11">
        <f>VLOOKUP($B213,Vertices!$A$10:$F$203, 6, FALSE)</f>
        <v>20</v>
      </c>
      <c r="J213" s="9">
        <f>VLOOKUP($C213,Vertices!$A$10:$F$203, 3, FALSE)</f>
        <v>40</v>
      </c>
      <c r="K213" s="10">
        <f>VLOOKUP($C213,Vertices!$A$10:$F$203, 4, FALSE)</f>
        <v>100</v>
      </c>
      <c r="L213" s="10">
        <f>VLOOKUP($C213,Vertices!$A$10:$F$203, 5, FALSE)</f>
        <v>0</v>
      </c>
      <c r="M213" s="11">
        <f>VLOOKUP($C213,Vertices!$A$10:$F$203, 6, FALSE)</f>
        <v>40</v>
      </c>
      <c r="N213" s="9">
        <f>VLOOKUP($D213,Vertices!$A$10:$F$203, 3, FALSE)</f>
        <v>40</v>
      </c>
      <c r="O213" s="10">
        <f>VLOOKUP($D213,Vertices!$A$10:$F$203, 4, FALSE)</f>
        <v>100</v>
      </c>
      <c r="P213" s="10">
        <f>VLOOKUP($D213,Vertices!$A$10:$F$203, 5, FALSE)</f>
        <v>0</v>
      </c>
      <c r="Q213" s="11">
        <f>VLOOKUP($D213,Vertices!$A$10:$F$203, 6, FALSE)</f>
        <v>20</v>
      </c>
    </row>
    <row r="214" spans="1:17" x14ac:dyDescent="0.25">
      <c r="A214">
        <v>204</v>
      </c>
      <c r="B214">
        <v>95</v>
      </c>
      <c r="C214">
        <v>124</v>
      </c>
      <c r="D214">
        <v>125</v>
      </c>
      <c r="F214" s="9">
        <f>VLOOKUP($B214,Vertices!$A$10:$F$203, 3, FALSE)</f>
        <v>40</v>
      </c>
      <c r="G214" s="10">
        <f>VLOOKUP($B214,Vertices!$A$10:$F$203, 4, FALSE)</f>
        <v>100</v>
      </c>
      <c r="H214" s="10">
        <f>VLOOKUP($B214,Vertices!$A$10:$F$203, 5, FALSE)</f>
        <v>0</v>
      </c>
      <c r="I214" s="11">
        <f>VLOOKUP($B214,Vertices!$A$10:$F$203, 6, FALSE)</f>
        <v>20</v>
      </c>
      <c r="J214" s="9">
        <f>VLOOKUP($C214,Vertices!$A$10:$F$203, 3, FALSE)</f>
        <v>40</v>
      </c>
      <c r="K214" s="10">
        <f>VLOOKUP($C214,Vertices!$A$10:$F$203, 4, FALSE)</f>
        <v>100</v>
      </c>
      <c r="L214" s="10">
        <f>VLOOKUP($C214,Vertices!$A$10:$F$203, 5, FALSE)</f>
        <v>0</v>
      </c>
      <c r="M214" s="11">
        <f>VLOOKUP($C214,Vertices!$A$10:$F$203, 6, FALSE)</f>
        <v>40</v>
      </c>
      <c r="N214" s="9">
        <f>VLOOKUP($D214,Vertices!$A$10:$F$203, 3, FALSE)</f>
        <v>70</v>
      </c>
      <c r="O214" s="10">
        <f>VLOOKUP($D214,Vertices!$A$10:$F$203, 4, FALSE)</f>
        <v>100</v>
      </c>
      <c r="P214" s="10">
        <f>VLOOKUP($D214,Vertices!$A$10:$F$203, 5, FALSE)</f>
        <v>0</v>
      </c>
      <c r="Q214" s="11">
        <f>VLOOKUP($D214,Vertices!$A$10:$F$203, 6, FALSE)</f>
        <v>40</v>
      </c>
    </row>
    <row r="215" spans="1:17" x14ac:dyDescent="0.25">
      <c r="A215">
        <v>205</v>
      </c>
      <c r="B215">
        <v>95</v>
      </c>
      <c r="C215">
        <v>125</v>
      </c>
      <c r="D215">
        <v>96</v>
      </c>
      <c r="F215" s="9">
        <f>VLOOKUP($B215,Vertices!$A$10:$F$203, 3, FALSE)</f>
        <v>40</v>
      </c>
      <c r="G215" s="10">
        <f>VLOOKUP($B215,Vertices!$A$10:$F$203, 4, FALSE)</f>
        <v>100</v>
      </c>
      <c r="H215" s="10">
        <f>VLOOKUP($B215,Vertices!$A$10:$F$203, 5, FALSE)</f>
        <v>0</v>
      </c>
      <c r="I215" s="11">
        <f>VLOOKUP($B215,Vertices!$A$10:$F$203, 6, FALSE)</f>
        <v>20</v>
      </c>
      <c r="J215" s="9">
        <f>VLOOKUP($C215,Vertices!$A$10:$F$203, 3, FALSE)</f>
        <v>70</v>
      </c>
      <c r="K215" s="10">
        <f>VLOOKUP($C215,Vertices!$A$10:$F$203, 4, FALSE)</f>
        <v>100</v>
      </c>
      <c r="L215" s="10">
        <f>VLOOKUP($C215,Vertices!$A$10:$F$203, 5, FALSE)</f>
        <v>0</v>
      </c>
      <c r="M215" s="11">
        <f>VLOOKUP($C215,Vertices!$A$10:$F$203, 6, FALSE)</f>
        <v>40</v>
      </c>
      <c r="N215" s="9">
        <f>VLOOKUP($D215,Vertices!$A$10:$F$203, 3, FALSE)</f>
        <v>70</v>
      </c>
      <c r="O215" s="10">
        <f>VLOOKUP($D215,Vertices!$A$10:$F$203, 4, FALSE)</f>
        <v>100</v>
      </c>
      <c r="P215" s="10">
        <f>VLOOKUP($D215,Vertices!$A$10:$F$203, 5, FALSE)</f>
        <v>0</v>
      </c>
      <c r="Q215" s="11">
        <f>VLOOKUP($D215,Vertices!$A$10:$F$203, 6, FALSE)</f>
        <v>20</v>
      </c>
    </row>
    <row r="216" spans="1:17" x14ac:dyDescent="0.25">
      <c r="A216">
        <v>206</v>
      </c>
      <c r="B216">
        <v>96</v>
      </c>
      <c r="C216">
        <v>125</v>
      </c>
      <c r="D216">
        <v>130</v>
      </c>
      <c r="F216" s="9">
        <f>VLOOKUP($B216,Vertices!$A$10:$F$203, 3, FALSE)</f>
        <v>70</v>
      </c>
      <c r="G216" s="10">
        <f>VLOOKUP($B216,Vertices!$A$10:$F$203, 4, FALSE)</f>
        <v>100</v>
      </c>
      <c r="H216" s="10">
        <f>VLOOKUP($B216,Vertices!$A$10:$F$203, 5, FALSE)</f>
        <v>0</v>
      </c>
      <c r="I216" s="11">
        <f>VLOOKUP($B216,Vertices!$A$10:$F$203, 6, FALSE)</f>
        <v>20</v>
      </c>
      <c r="J216" s="9">
        <f>VLOOKUP($C216,Vertices!$A$10:$F$203, 3, FALSE)</f>
        <v>70</v>
      </c>
      <c r="K216" s="10">
        <f>VLOOKUP($C216,Vertices!$A$10:$F$203, 4, FALSE)</f>
        <v>100</v>
      </c>
      <c r="L216" s="10">
        <f>VLOOKUP($C216,Vertices!$A$10:$F$203, 5, FALSE)</f>
        <v>0</v>
      </c>
      <c r="M216" s="11">
        <f>VLOOKUP($C216,Vertices!$A$10:$F$203, 6, FALSE)</f>
        <v>40</v>
      </c>
      <c r="N216" s="9">
        <f>VLOOKUP($D216,Vertices!$A$10:$F$203, 3, FALSE)</f>
        <v>100</v>
      </c>
      <c r="O216" s="10">
        <f>VLOOKUP($D216,Vertices!$A$10:$F$203, 4, FALSE)</f>
        <v>100</v>
      </c>
      <c r="P216" s="10">
        <f>VLOOKUP($D216,Vertices!$A$10:$F$203, 5, FALSE)</f>
        <v>0</v>
      </c>
      <c r="Q216" s="11">
        <f>VLOOKUP($D216,Vertices!$A$10:$F$203, 6, FALSE)</f>
        <v>40</v>
      </c>
    </row>
    <row r="217" spans="1:17" x14ac:dyDescent="0.25">
      <c r="A217">
        <v>207</v>
      </c>
      <c r="B217">
        <v>96</v>
      </c>
      <c r="C217">
        <v>130</v>
      </c>
      <c r="D217">
        <v>102</v>
      </c>
      <c r="F217" s="9">
        <f>VLOOKUP($B217,Vertices!$A$10:$F$203, 3, FALSE)</f>
        <v>70</v>
      </c>
      <c r="G217" s="10">
        <f>VLOOKUP($B217,Vertices!$A$10:$F$203, 4, FALSE)</f>
        <v>100</v>
      </c>
      <c r="H217" s="10">
        <f>VLOOKUP($B217,Vertices!$A$10:$F$203, 5, FALSE)</f>
        <v>0</v>
      </c>
      <c r="I217" s="11">
        <f>VLOOKUP($B217,Vertices!$A$10:$F$203, 6, FALSE)</f>
        <v>20</v>
      </c>
      <c r="J217" s="9">
        <f>VLOOKUP($C217,Vertices!$A$10:$F$203, 3, FALSE)</f>
        <v>100</v>
      </c>
      <c r="K217" s="10">
        <f>VLOOKUP($C217,Vertices!$A$10:$F$203, 4, FALSE)</f>
        <v>100</v>
      </c>
      <c r="L217" s="10">
        <f>VLOOKUP($C217,Vertices!$A$10:$F$203, 5, FALSE)</f>
        <v>0</v>
      </c>
      <c r="M217" s="11">
        <f>VLOOKUP($C217,Vertices!$A$10:$F$203, 6, FALSE)</f>
        <v>40</v>
      </c>
      <c r="N217" s="9">
        <f>VLOOKUP($D217,Vertices!$A$10:$F$203, 3, FALSE)</f>
        <v>100</v>
      </c>
      <c r="O217" s="10">
        <f>VLOOKUP($D217,Vertices!$A$10:$F$203, 4, FALSE)</f>
        <v>100</v>
      </c>
      <c r="P217" s="10">
        <f>VLOOKUP($D217,Vertices!$A$10:$F$203, 5, FALSE)</f>
        <v>0</v>
      </c>
      <c r="Q217" s="11">
        <f>VLOOKUP($D217,Vertices!$A$10:$F$203, 6, FALSE)</f>
        <v>20</v>
      </c>
    </row>
    <row r="218" spans="1:17" x14ac:dyDescent="0.25">
      <c r="A218">
        <v>208</v>
      </c>
      <c r="B218">
        <v>122</v>
      </c>
      <c r="C218">
        <v>146</v>
      </c>
      <c r="D218">
        <v>147</v>
      </c>
      <c r="F218" s="9">
        <f>VLOOKUP($B218,Vertices!$A$10:$F$203, 3, FALSE)</f>
        <v>0</v>
      </c>
      <c r="G218" s="10">
        <f>VLOOKUP($B218,Vertices!$A$10:$F$203, 4, FALSE)</f>
        <v>100</v>
      </c>
      <c r="H218" s="10">
        <f>VLOOKUP($B218,Vertices!$A$10:$F$203, 5, FALSE)</f>
        <v>0</v>
      </c>
      <c r="I218" s="11">
        <f>VLOOKUP($B218,Vertices!$A$10:$F$203, 6, FALSE)</f>
        <v>40</v>
      </c>
      <c r="J218" s="9">
        <f>VLOOKUP($C218,Vertices!$A$10:$F$203, 3, FALSE)</f>
        <v>0</v>
      </c>
      <c r="K218" s="10">
        <f>VLOOKUP($C218,Vertices!$A$10:$F$203, 4, FALSE)</f>
        <v>100</v>
      </c>
      <c r="L218" s="10">
        <f>VLOOKUP($C218,Vertices!$A$10:$F$203, 5, FALSE)</f>
        <v>0</v>
      </c>
      <c r="M218" s="11">
        <f>VLOOKUP($C218,Vertices!$A$10:$F$203, 6, FALSE)</f>
        <v>60</v>
      </c>
      <c r="N218" s="9">
        <f>VLOOKUP($D218,Vertices!$A$10:$F$203, 3, FALSE)</f>
        <v>20</v>
      </c>
      <c r="O218" s="10">
        <f>VLOOKUP($D218,Vertices!$A$10:$F$203, 4, FALSE)</f>
        <v>100</v>
      </c>
      <c r="P218" s="10">
        <f>VLOOKUP($D218,Vertices!$A$10:$F$203, 5, FALSE)</f>
        <v>0</v>
      </c>
      <c r="Q218" s="11">
        <f>VLOOKUP($D218,Vertices!$A$10:$F$203, 6, FALSE)</f>
        <v>60</v>
      </c>
    </row>
    <row r="219" spans="1:17" x14ac:dyDescent="0.25">
      <c r="A219">
        <v>209</v>
      </c>
      <c r="B219">
        <v>122</v>
      </c>
      <c r="C219">
        <v>147</v>
      </c>
      <c r="D219">
        <v>123</v>
      </c>
      <c r="F219" s="9">
        <f>VLOOKUP($B219,Vertices!$A$10:$F$203, 3, FALSE)</f>
        <v>0</v>
      </c>
      <c r="G219" s="10">
        <f>VLOOKUP($B219,Vertices!$A$10:$F$203, 4, FALSE)</f>
        <v>100</v>
      </c>
      <c r="H219" s="10">
        <f>VLOOKUP($B219,Vertices!$A$10:$F$203, 5, FALSE)</f>
        <v>0</v>
      </c>
      <c r="I219" s="11">
        <f>VLOOKUP($B219,Vertices!$A$10:$F$203, 6, FALSE)</f>
        <v>40</v>
      </c>
      <c r="J219" s="9">
        <f>VLOOKUP($C219,Vertices!$A$10:$F$203, 3, FALSE)</f>
        <v>20</v>
      </c>
      <c r="K219" s="10">
        <f>VLOOKUP($C219,Vertices!$A$10:$F$203, 4, FALSE)</f>
        <v>100</v>
      </c>
      <c r="L219" s="10">
        <f>VLOOKUP($C219,Vertices!$A$10:$F$203, 5, FALSE)</f>
        <v>0</v>
      </c>
      <c r="M219" s="11">
        <f>VLOOKUP($C219,Vertices!$A$10:$F$203, 6, FALSE)</f>
        <v>60</v>
      </c>
      <c r="N219" s="9">
        <f>VLOOKUP($D219,Vertices!$A$10:$F$203, 3, FALSE)</f>
        <v>20</v>
      </c>
      <c r="O219" s="10">
        <f>VLOOKUP($D219,Vertices!$A$10:$F$203, 4, FALSE)</f>
        <v>100</v>
      </c>
      <c r="P219" s="10">
        <f>VLOOKUP($D219,Vertices!$A$10:$F$203, 5, FALSE)</f>
        <v>0</v>
      </c>
      <c r="Q219" s="11">
        <f>VLOOKUP($D219,Vertices!$A$10:$F$203, 6, FALSE)</f>
        <v>40</v>
      </c>
    </row>
    <row r="220" spans="1:17" x14ac:dyDescent="0.25">
      <c r="A220">
        <v>210</v>
      </c>
      <c r="B220">
        <v>123</v>
      </c>
      <c r="C220">
        <v>147</v>
      </c>
      <c r="D220">
        <v>148</v>
      </c>
      <c r="F220" s="9">
        <f>VLOOKUP($B220,Vertices!$A$10:$F$203, 3, FALSE)</f>
        <v>20</v>
      </c>
      <c r="G220" s="10">
        <f>VLOOKUP($B220,Vertices!$A$10:$F$203, 4, FALSE)</f>
        <v>100</v>
      </c>
      <c r="H220" s="10">
        <f>VLOOKUP($B220,Vertices!$A$10:$F$203, 5, FALSE)</f>
        <v>0</v>
      </c>
      <c r="I220" s="11">
        <f>VLOOKUP($B220,Vertices!$A$10:$F$203, 6, FALSE)</f>
        <v>40</v>
      </c>
      <c r="J220" s="9">
        <f>VLOOKUP($C220,Vertices!$A$10:$F$203, 3, FALSE)</f>
        <v>20</v>
      </c>
      <c r="K220" s="10">
        <f>VLOOKUP($C220,Vertices!$A$10:$F$203, 4, FALSE)</f>
        <v>100</v>
      </c>
      <c r="L220" s="10">
        <f>VLOOKUP($C220,Vertices!$A$10:$F$203, 5, FALSE)</f>
        <v>0</v>
      </c>
      <c r="M220" s="11">
        <f>VLOOKUP($C220,Vertices!$A$10:$F$203, 6, FALSE)</f>
        <v>60</v>
      </c>
      <c r="N220" s="9">
        <f>VLOOKUP($D220,Vertices!$A$10:$F$203, 3, FALSE)</f>
        <v>40</v>
      </c>
      <c r="O220" s="10">
        <f>VLOOKUP($D220,Vertices!$A$10:$F$203, 4, FALSE)</f>
        <v>100</v>
      </c>
      <c r="P220" s="10">
        <f>VLOOKUP($D220,Vertices!$A$10:$F$203, 5, FALSE)</f>
        <v>0</v>
      </c>
      <c r="Q220" s="11">
        <f>VLOOKUP($D220,Vertices!$A$10:$F$203, 6, FALSE)</f>
        <v>60</v>
      </c>
    </row>
    <row r="221" spans="1:17" x14ac:dyDescent="0.25">
      <c r="A221">
        <v>211</v>
      </c>
      <c r="B221">
        <v>123</v>
      </c>
      <c r="C221">
        <v>148</v>
      </c>
      <c r="D221">
        <v>124</v>
      </c>
      <c r="F221" s="9">
        <f>VLOOKUP($B221,Vertices!$A$10:$F$203, 3, FALSE)</f>
        <v>20</v>
      </c>
      <c r="G221" s="10">
        <f>VLOOKUP($B221,Vertices!$A$10:$F$203, 4, FALSE)</f>
        <v>100</v>
      </c>
      <c r="H221" s="10">
        <f>VLOOKUP($B221,Vertices!$A$10:$F$203, 5, FALSE)</f>
        <v>0</v>
      </c>
      <c r="I221" s="11">
        <f>VLOOKUP($B221,Vertices!$A$10:$F$203, 6, FALSE)</f>
        <v>40</v>
      </c>
      <c r="J221" s="9">
        <f>VLOOKUP($C221,Vertices!$A$10:$F$203, 3, FALSE)</f>
        <v>40</v>
      </c>
      <c r="K221" s="10">
        <f>VLOOKUP($C221,Vertices!$A$10:$F$203, 4, FALSE)</f>
        <v>100</v>
      </c>
      <c r="L221" s="10">
        <f>VLOOKUP($C221,Vertices!$A$10:$F$203, 5, FALSE)</f>
        <v>0</v>
      </c>
      <c r="M221" s="11">
        <f>VLOOKUP($C221,Vertices!$A$10:$F$203, 6, FALSE)</f>
        <v>60</v>
      </c>
      <c r="N221" s="9">
        <f>VLOOKUP($D221,Vertices!$A$10:$F$203, 3, FALSE)</f>
        <v>40</v>
      </c>
      <c r="O221" s="10">
        <f>VLOOKUP($D221,Vertices!$A$10:$F$203, 4, FALSE)</f>
        <v>100</v>
      </c>
      <c r="P221" s="10">
        <f>VLOOKUP($D221,Vertices!$A$10:$F$203, 5, FALSE)</f>
        <v>0</v>
      </c>
      <c r="Q221" s="11">
        <f>VLOOKUP($D221,Vertices!$A$10:$F$203, 6, FALSE)</f>
        <v>40</v>
      </c>
    </row>
    <row r="222" spans="1:17" x14ac:dyDescent="0.25">
      <c r="A222">
        <v>212</v>
      </c>
      <c r="B222">
        <v>124</v>
      </c>
      <c r="C222">
        <v>148</v>
      </c>
      <c r="D222">
        <v>149</v>
      </c>
      <c r="F222" s="9">
        <f>VLOOKUP($B222,Vertices!$A$10:$F$203, 3, FALSE)</f>
        <v>40</v>
      </c>
      <c r="G222" s="10">
        <f>VLOOKUP($B222,Vertices!$A$10:$F$203, 4, FALSE)</f>
        <v>100</v>
      </c>
      <c r="H222" s="10">
        <f>VLOOKUP($B222,Vertices!$A$10:$F$203, 5, FALSE)</f>
        <v>0</v>
      </c>
      <c r="I222" s="11">
        <f>VLOOKUP($B222,Vertices!$A$10:$F$203, 6, FALSE)</f>
        <v>40</v>
      </c>
      <c r="J222" s="9">
        <f>VLOOKUP($C222,Vertices!$A$10:$F$203, 3, FALSE)</f>
        <v>40</v>
      </c>
      <c r="K222" s="10">
        <f>VLOOKUP($C222,Vertices!$A$10:$F$203, 4, FALSE)</f>
        <v>100</v>
      </c>
      <c r="L222" s="10">
        <f>VLOOKUP($C222,Vertices!$A$10:$F$203, 5, FALSE)</f>
        <v>0</v>
      </c>
      <c r="M222" s="11">
        <f>VLOOKUP($C222,Vertices!$A$10:$F$203, 6, FALSE)</f>
        <v>60</v>
      </c>
      <c r="N222" s="9">
        <f>VLOOKUP($D222,Vertices!$A$10:$F$203, 3, FALSE)</f>
        <v>70</v>
      </c>
      <c r="O222" s="10">
        <f>VLOOKUP($D222,Vertices!$A$10:$F$203, 4, FALSE)</f>
        <v>100</v>
      </c>
      <c r="P222" s="10">
        <f>VLOOKUP($D222,Vertices!$A$10:$F$203, 5, FALSE)</f>
        <v>0</v>
      </c>
      <c r="Q222" s="11">
        <f>VLOOKUP($D222,Vertices!$A$10:$F$203, 6, FALSE)</f>
        <v>60</v>
      </c>
    </row>
    <row r="223" spans="1:17" x14ac:dyDescent="0.25">
      <c r="A223">
        <v>213</v>
      </c>
      <c r="B223">
        <v>124</v>
      </c>
      <c r="C223">
        <v>149</v>
      </c>
      <c r="D223">
        <v>125</v>
      </c>
      <c r="F223" s="9">
        <f>VLOOKUP($B223,Vertices!$A$10:$F$203, 3, FALSE)</f>
        <v>40</v>
      </c>
      <c r="G223" s="10">
        <f>VLOOKUP($B223,Vertices!$A$10:$F$203, 4, FALSE)</f>
        <v>100</v>
      </c>
      <c r="H223" s="10">
        <f>VLOOKUP($B223,Vertices!$A$10:$F$203, 5, FALSE)</f>
        <v>0</v>
      </c>
      <c r="I223" s="11">
        <f>VLOOKUP($B223,Vertices!$A$10:$F$203, 6, FALSE)</f>
        <v>40</v>
      </c>
      <c r="J223" s="9">
        <f>VLOOKUP($C223,Vertices!$A$10:$F$203, 3, FALSE)</f>
        <v>70</v>
      </c>
      <c r="K223" s="10">
        <f>VLOOKUP($C223,Vertices!$A$10:$F$203, 4, FALSE)</f>
        <v>100</v>
      </c>
      <c r="L223" s="10">
        <f>VLOOKUP($C223,Vertices!$A$10:$F$203, 5, FALSE)</f>
        <v>0</v>
      </c>
      <c r="M223" s="11">
        <f>VLOOKUP($C223,Vertices!$A$10:$F$203, 6, FALSE)</f>
        <v>60</v>
      </c>
      <c r="N223" s="9">
        <f>VLOOKUP($D223,Vertices!$A$10:$F$203, 3, FALSE)</f>
        <v>70</v>
      </c>
      <c r="O223" s="10">
        <f>VLOOKUP($D223,Vertices!$A$10:$F$203, 4, FALSE)</f>
        <v>100</v>
      </c>
      <c r="P223" s="10">
        <f>VLOOKUP($D223,Vertices!$A$10:$F$203, 5, FALSE)</f>
        <v>0</v>
      </c>
      <c r="Q223" s="11">
        <f>VLOOKUP($D223,Vertices!$A$10:$F$203, 6, FALSE)</f>
        <v>40</v>
      </c>
    </row>
    <row r="224" spans="1:17" x14ac:dyDescent="0.25">
      <c r="A224">
        <v>214</v>
      </c>
      <c r="B224">
        <v>125</v>
      </c>
      <c r="C224">
        <v>149</v>
      </c>
      <c r="D224">
        <v>154</v>
      </c>
      <c r="F224" s="9">
        <f>VLOOKUP($B224,Vertices!$A$10:$F$203, 3, FALSE)</f>
        <v>70</v>
      </c>
      <c r="G224" s="10">
        <f>VLOOKUP($B224,Vertices!$A$10:$F$203, 4, FALSE)</f>
        <v>100</v>
      </c>
      <c r="H224" s="10">
        <f>VLOOKUP($B224,Vertices!$A$10:$F$203, 5, FALSE)</f>
        <v>0</v>
      </c>
      <c r="I224" s="11">
        <f>VLOOKUP($B224,Vertices!$A$10:$F$203, 6, FALSE)</f>
        <v>40</v>
      </c>
      <c r="J224" s="9">
        <f>VLOOKUP($C224,Vertices!$A$10:$F$203, 3, FALSE)</f>
        <v>70</v>
      </c>
      <c r="K224" s="10">
        <f>VLOOKUP($C224,Vertices!$A$10:$F$203, 4, FALSE)</f>
        <v>100</v>
      </c>
      <c r="L224" s="10">
        <f>VLOOKUP($C224,Vertices!$A$10:$F$203, 5, FALSE)</f>
        <v>0</v>
      </c>
      <c r="M224" s="11">
        <f>VLOOKUP($C224,Vertices!$A$10:$F$203, 6, FALSE)</f>
        <v>60</v>
      </c>
      <c r="N224" s="9">
        <f>VLOOKUP($D224,Vertices!$A$10:$F$203, 3, FALSE)</f>
        <v>100</v>
      </c>
      <c r="O224" s="10">
        <f>VLOOKUP($D224,Vertices!$A$10:$F$203, 4, FALSE)</f>
        <v>100</v>
      </c>
      <c r="P224" s="10">
        <f>VLOOKUP($D224,Vertices!$A$10:$F$203, 5, FALSE)</f>
        <v>0</v>
      </c>
      <c r="Q224" s="11">
        <f>VLOOKUP($D224,Vertices!$A$10:$F$203, 6, FALSE)</f>
        <v>60</v>
      </c>
    </row>
    <row r="225" spans="1:17" x14ac:dyDescent="0.25">
      <c r="A225">
        <v>215</v>
      </c>
      <c r="B225">
        <v>125</v>
      </c>
      <c r="C225">
        <v>154</v>
      </c>
      <c r="D225">
        <v>130</v>
      </c>
      <c r="F225" s="9">
        <f>VLOOKUP($B225,Vertices!$A$10:$F$203, 3, FALSE)</f>
        <v>70</v>
      </c>
      <c r="G225" s="10">
        <f>VLOOKUP($B225,Vertices!$A$10:$F$203, 4, FALSE)</f>
        <v>100</v>
      </c>
      <c r="H225" s="10">
        <f>VLOOKUP($B225,Vertices!$A$10:$F$203, 5, FALSE)</f>
        <v>0</v>
      </c>
      <c r="I225" s="11">
        <f>VLOOKUP($B225,Vertices!$A$10:$F$203, 6, FALSE)</f>
        <v>40</v>
      </c>
      <c r="J225" s="9">
        <f>VLOOKUP($C225,Vertices!$A$10:$F$203, 3, FALSE)</f>
        <v>100</v>
      </c>
      <c r="K225" s="10">
        <f>VLOOKUP($C225,Vertices!$A$10:$F$203, 4, FALSE)</f>
        <v>100</v>
      </c>
      <c r="L225" s="10">
        <f>VLOOKUP($C225,Vertices!$A$10:$F$203, 5, FALSE)</f>
        <v>0</v>
      </c>
      <c r="M225" s="11">
        <f>VLOOKUP($C225,Vertices!$A$10:$F$203, 6, FALSE)</f>
        <v>60</v>
      </c>
      <c r="N225" s="9">
        <f>VLOOKUP($D225,Vertices!$A$10:$F$203, 3, FALSE)</f>
        <v>100</v>
      </c>
      <c r="O225" s="10">
        <f>VLOOKUP($D225,Vertices!$A$10:$F$203, 4, FALSE)</f>
        <v>100</v>
      </c>
      <c r="P225" s="10">
        <f>VLOOKUP($D225,Vertices!$A$10:$F$203, 5, FALSE)</f>
        <v>0</v>
      </c>
      <c r="Q225" s="11">
        <f>VLOOKUP($D225,Vertices!$A$10:$F$203, 6, FALSE)</f>
        <v>40</v>
      </c>
    </row>
    <row r="226" spans="1:17" x14ac:dyDescent="0.25">
      <c r="A226">
        <v>216</v>
      </c>
      <c r="B226">
        <v>146</v>
      </c>
      <c r="C226">
        <v>170</v>
      </c>
      <c r="D226">
        <v>147</v>
      </c>
      <c r="F226" s="9">
        <f>VLOOKUP($B226,Vertices!$A$10:$F$203, 3, FALSE)</f>
        <v>0</v>
      </c>
      <c r="G226" s="10">
        <f>VLOOKUP($B226,Vertices!$A$10:$F$203, 4, FALSE)</f>
        <v>100</v>
      </c>
      <c r="H226" s="10">
        <f>VLOOKUP($B226,Vertices!$A$10:$F$203, 5, FALSE)</f>
        <v>0</v>
      </c>
      <c r="I226" s="11">
        <f>VLOOKUP($B226,Vertices!$A$10:$F$203, 6, FALSE)</f>
        <v>60</v>
      </c>
      <c r="J226" s="9">
        <f>VLOOKUP($C226,Vertices!$A$10:$F$203, 3, FALSE)</f>
        <v>0</v>
      </c>
      <c r="K226" s="10">
        <f>VLOOKUP($C226,Vertices!$A$10:$F$203, 4, FALSE)</f>
        <v>100</v>
      </c>
      <c r="L226" s="10">
        <f>VLOOKUP($C226,Vertices!$A$10:$F$203, 5, FALSE)</f>
        <v>0</v>
      </c>
      <c r="M226" s="11">
        <f>VLOOKUP($C226,Vertices!$A$10:$F$203, 6, FALSE)</f>
        <v>80</v>
      </c>
      <c r="N226" s="9">
        <f>VLOOKUP($D226,Vertices!$A$10:$F$203, 3, FALSE)</f>
        <v>20</v>
      </c>
      <c r="O226" s="10">
        <f>VLOOKUP($D226,Vertices!$A$10:$F$203, 4, FALSE)</f>
        <v>100</v>
      </c>
      <c r="P226" s="10">
        <f>VLOOKUP($D226,Vertices!$A$10:$F$203, 5, FALSE)</f>
        <v>0</v>
      </c>
      <c r="Q226" s="11">
        <f>VLOOKUP($D226,Vertices!$A$10:$F$203, 6, FALSE)</f>
        <v>60</v>
      </c>
    </row>
    <row r="227" spans="1:17" x14ac:dyDescent="0.25">
      <c r="A227">
        <v>217</v>
      </c>
      <c r="B227">
        <v>147</v>
      </c>
      <c r="C227">
        <v>170</v>
      </c>
      <c r="D227">
        <v>171</v>
      </c>
      <c r="F227" s="9">
        <f>VLOOKUP($B227,Vertices!$A$10:$F$203, 3, FALSE)</f>
        <v>20</v>
      </c>
      <c r="G227" s="10">
        <f>VLOOKUP($B227,Vertices!$A$10:$F$203, 4, FALSE)</f>
        <v>100</v>
      </c>
      <c r="H227" s="10">
        <f>VLOOKUP($B227,Vertices!$A$10:$F$203, 5, FALSE)</f>
        <v>0</v>
      </c>
      <c r="I227" s="11">
        <f>VLOOKUP($B227,Vertices!$A$10:$F$203, 6, FALSE)</f>
        <v>60</v>
      </c>
      <c r="J227" s="9">
        <f>VLOOKUP($C227,Vertices!$A$10:$F$203, 3, FALSE)</f>
        <v>0</v>
      </c>
      <c r="K227" s="10">
        <f>VLOOKUP($C227,Vertices!$A$10:$F$203, 4, FALSE)</f>
        <v>100</v>
      </c>
      <c r="L227" s="10">
        <f>VLOOKUP($C227,Vertices!$A$10:$F$203, 5, FALSE)</f>
        <v>0</v>
      </c>
      <c r="M227" s="11">
        <f>VLOOKUP($C227,Vertices!$A$10:$F$203, 6, FALSE)</f>
        <v>80</v>
      </c>
      <c r="N227" s="9">
        <f>VLOOKUP($D227,Vertices!$A$10:$F$203, 3, FALSE)</f>
        <v>40</v>
      </c>
      <c r="O227" s="10">
        <f>VLOOKUP($D227,Vertices!$A$10:$F$203, 4, FALSE)</f>
        <v>100</v>
      </c>
      <c r="P227" s="10">
        <f>VLOOKUP($D227,Vertices!$A$10:$F$203, 5, FALSE)</f>
        <v>0</v>
      </c>
      <c r="Q227" s="11">
        <f>VLOOKUP($D227,Vertices!$A$10:$F$203, 6, FALSE)</f>
        <v>80</v>
      </c>
    </row>
    <row r="228" spans="1:17" x14ac:dyDescent="0.25">
      <c r="A228">
        <v>218</v>
      </c>
      <c r="B228">
        <v>147</v>
      </c>
      <c r="C228">
        <v>171</v>
      </c>
      <c r="D228">
        <v>148</v>
      </c>
      <c r="F228" s="9">
        <f>VLOOKUP($B228,Vertices!$A$10:$F$203, 3, FALSE)</f>
        <v>20</v>
      </c>
      <c r="G228" s="10">
        <f>VLOOKUP($B228,Vertices!$A$10:$F$203, 4, FALSE)</f>
        <v>100</v>
      </c>
      <c r="H228" s="10">
        <f>VLOOKUP($B228,Vertices!$A$10:$F$203, 5, FALSE)</f>
        <v>0</v>
      </c>
      <c r="I228" s="11">
        <f>VLOOKUP($B228,Vertices!$A$10:$F$203, 6, FALSE)</f>
        <v>60</v>
      </c>
      <c r="J228" s="9">
        <f>VLOOKUP($C228,Vertices!$A$10:$F$203, 3, FALSE)</f>
        <v>40</v>
      </c>
      <c r="K228" s="10">
        <f>VLOOKUP($C228,Vertices!$A$10:$F$203, 4, FALSE)</f>
        <v>100</v>
      </c>
      <c r="L228" s="10">
        <f>VLOOKUP($C228,Vertices!$A$10:$F$203, 5, FALSE)</f>
        <v>0</v>
      </c>
      <c r="M228" s="11">
        <f>VLOOKUP($C228,Vertices!$A$10:$F$203, 6, FALSE)</f>
        <v>80</v>
      </c>
      <c r="N228" s="9">
        <f>VLOOKUP($D228,Vertices!$A$10:$F$203, 3, FALSE)</f>
        <v>40</v>
      </c>
      <c r="O228" s="10">
        <f>VLOOKUP($D228,Vertices!$A$10:$F$203, 4, FALSE)</f>
        <v>100</v>
      </c>
      <c r="P228" s="10">
        <f>VLOOKUP($D228,Vertices!$A$10:$F$203, 5, FALSE)</f>
        <v>0</v>
      </c>
      <c r="Q228" s="11">
        <f>VLOOKUP($D228,Vertices!$A$10:$F$203, 6, FALSE)</f>
        <v>60</v>
      </c>
    </row>
    <row r="229" spans="1:17" x14ac:dyDescent="0.25">
      <c r="A229">
        <v>219</v>
      </c>
      <c r="B229">
        <v>148</v>
      </c>
      <c r="C229">
        <v>171</v>
      </c>
      <c r="D229">
        <v>172</v>
      </c>
      <c r="F229" s="9">
        <f>VLOOKUP($B229,Vertices!$A$10:$F$203, 3, FALSE)</f>
        <v>40</v>
      </c>
      <c r="G229" s="10">
        <f>VLOOKUP($B229,Vertices!$A$10:$F$203, 4, FALSE)</f>
        <v>100</v>
      </c>
      <c r="H229" s="10">
        <f>VLOOKUP($B229,Vertices!$A$10:$F$203, 5, FALSE)</f>
        <v>0</v>
      </c>
      <c r="I229" s="11">
        <f>VLOOKUP($B229,Vertices!$A$10:$F$203, 6, FALSE)</f>
        <v>60</v>
      </c>
      <c r="J229" s="9">
        <f>VLOOKUP($C229,Vertices!$A$10:$F$203, 3, FALSE)</f>
        <v>40</v>
      </c>
      <c r="K229" s="10">
        <f>VLOOKUP($C229,Vertices!$A$10:$F$203, 4, FALSE)</f>
        <v>100</v>
      </c>
      <c r="L229" s="10">
        <f>VLOOKUP($C229,Vertices!$A$10:$F$203, 5, FALSE)</f>
        <v>0</v>
      </c>
      <c r="M229" s="11">
        <f>VLOOKUP($C229,Vertices!$A$10:$F$203, 6, FALSE)</f>
        <v>80</v>
      </c>
      <c r="N229" s="9">
        <f>VLOOKUP($D229,Vertices!$A$10:$F$203, 3, FALSE)</f>
        <v>70</v>
      </c>
      <c r="O229" s="10">
        <f>VLOOKUP($D229,Vertices!$A$10:$F$203, 4, FALSE)</f>
        <v>100</v>
      </c>
      <c r="P229" s="10">
        <f>VLOOKUP($D229,Vertices!$A$10:$F$203, 5, FALSE)</f>
        <v>0</v>
      </c>
      <c r="Q229" s="11">
        <f>VLOOKUP($D229,Vertices!$A$10:$F$203, 6, FALSE)</f>
        <v>80</v>
      </c>
    </row>
    <row r="230" spans="1:17" x14ac:dyDescent="0.25">
      <c r="A230">
        <v>220</v>
      </c>
      <c r="B230">
        <v>148</v>
      </c>
      <c r="C230">
        <v>172</v>
      </c>
      <c r="D230">
        <v>149</v>
      </c>
      <c r="F230" s="9">
        <f>VLOOKUP($B230,Vertices!$A$10:$F$203, 3, FALSE)</f>
        <v>40</v>
      </c>
      <c r="G230" s="10">
        <f>VLOOKUP($B230,Vertices!$A$10:$F$203, 4, FALSE)</f>
        <v>100</v>
      </c>
      <c r="H230" s="10">
        <f>VLOOKUP($B230,Vertices!$A$10:$F$203, 5, FALSE)</f>
        <v>0</v>
      </c>
      <c r="I230" s="11">
        <f>VLOOKUP($B230,Vertices!$A$10:$F$203, 6, FALSE)</f>
        <v>60</v>
      </c>
      <c r="J230" s="9">
        <f>VLOOKUP($C230,Vertices!$A$10:$F$203, 3, FALSE)</f>
        <v>70</v>
      </c>
      <c r="K230" s="10">
        <f>VLOOKUP($C230,Vertices!$A$10:$F$203, 4, FALSE)</f>
        <v>100</v>
      </c>
      <c r="L230" s="10">
        <f>VLOOKUP($C230,Vertices!$A$10:$F$203, 5, FALSE)</f>
        <v>0</v>
      </c>
      <c r="M230" s="11">
        <f>VLOOKUP($C230,Vertices!$A$10:$F$203, 6, FALSE)</f>
        <v>80</v>
      </c>
      <c r="N230" s="9">
        <f>VLOOKUP($D230,Vertices!$A$10:$F$203, 3, FALSE)</f>
        <v>70</v>
      </c>
      <c r="O230" s="10">
        <f>VLOOKUP($D230,Vertices!$A$10:$F$203, 4, FALSE)</f>
        <v>100</v>
      </c>
      <c r="P230" s="10">
        <f>VLOOKUP($D230,Vertices!$A$10:$F$203, 5, FALSE)</f>
        <v>0</v>
      </c>
      <c r="Q230" s="11">
        <f>VLOOKUP($D230,Vertices!$A$10:$F$203, 6, FALSE)</f>
        <v>60</v>
      </c>
    </row>
    <row r="231" spans="1:17" x14ac:dyDescent="0.25">
      <c r="A231">
        <v>221</v>
      </c>
      <c r="B231">
        <v>149</v>
      </c>
      <c r="C231">
        <v>172</v>
      </c>
      <c r="D231">
        <v>176</v>
      </c>
      <c r="F231" s="9">
        <f>VLOOKUP($B231,Vertices!$A$10:$F$203, 3, FALSE)</f>
        <v>70</v>
      </c>
      <c r="G231" s="10">
        <f>VLOOKUP($B231,Vertices!$A$10:$F$203, 4, FALSE)</f>
        <v>100</v>
      </c>
      <c r="H231" s="10">
        <f>VLOOKUP($B231,Vertices!$A$10:$F$203, 5, FALSE)</f>
        <v>0</v>
      </c>
      <c r="I231" s="11">
        <f>VLOOKUP($B231,Vertices!$A$10:$F$203, 6, FALSE)</f>
        <v>60</v>
      </c>
      <c r="J231" s="9">
        <f>VLOOKUP($C231,Vertices!$A$10:$F$203, 3, FALSE)</f>
        <v>70</v>
      </c>
      <c r="K231" s="10">
        <f>VLOOKUP($C231,Vertices!$A$10:$F$203, 4, FALSE)</f>
        <v>100</v>
      </c>
      <c r="L231" s="10">
        <f>VLOOKUP($C231,Vertices!$A$10:$F$203, 5, FALSE)</f>
        <v>0</v>
      </c>
      <c r="M231" s="11">
        <f>VLOOKUP($C231,Vertices!$A$10:$F$203, 6, FALSE)</f>
        <v>80</v>
      </c>
      <c r="N231" s="9">
        <f>VLOOKUP($D231,Vertices!$A$10:$F$203, 3, FALSE)</f>
        <v>100</v>
      </c>
      <c r="O231" s="10">
        <f>VLOOKUP($D231,Vertices!$A$10:$F$203, 4, FALSE)</f>
        <v>100</v>
      </c>
      <c r="P231" s="10">
        <f>VLOOKUP($D231,Vertices!$A$10:$F$203, 5, FALSE)</f>
        <v>0</v>
      </c>
      <c r="Q231" s="11">
        <f>VLOOKUP($D231,Vertices!$A$10:$F$203, 6, FALSE)</f>
        <v>80</v>
      </c>
    </row>
    <row r="232" spans="1:17" x14ac:dyDescent="0.25">
      <c r="A232">
        <v>222</v>
      </c>
      <c r="B232">
        <v>149</v>
      </c>
      <c r="C232">
        <v>176</v>
      </c>
      <c r="D232">
        <v>154</v>
      </c>
      <c r="F232" s="9">
        <f>VLOOKUP($B232,Vertices!$A$10:$F$203, 3, FALSE)</f>
        <v>70</v>
      </c>
      <c r="G232" s="10">
        <f>VLOOKUP($B232,Vertices!$A$10:$F$203, 4, FALSE)</f>
        <v>100</v>
      </c>
      <c r="H232" s="10">
        <f>VLOOKUP($B232,Vertices!$A$10:$F$203, 5, FALSE)</f>
        <v>0</v>
      </c>
      <c r="I232" s="11">
        <f>VLOOKUP($B232,Vertices!$A$10:$F$203, 6, FALSE)</f>
        <v>60</v>
      </c>
      <c r="J232" s="9">
        <f>VLOOKUP($C232,Vertices!$A$10:$F$203, 3, FALSE)</f>
        <v>100</v>
      </c>
      <c r="K232" s="10">
        <f>VLOOKUP($C232,Vertices!$A$10:$F$203, 4, FALSE)</f>
        <v>100</v>
      </c>
      <c r="L232" s="10">
        <f>VLOOKUP($C232,Vertices!$A$10:$F$203, 5, FALSE)</f>
        <v>0</v>
      </c>
      <c r="M232" s="11">
        <f>VLOOKUP($C232,Vertices!$A$10:$F$203, 6, FALSE)</f>
        <v>80</v>
      </c>
      <c r="N232" s="9">
        <f>VLOOKUP($D232,Vertices!$A$10:$F$203, 3, FALSE)</f>
        <v>100</v>
      </c>
      <c r="O232" s="10">
        <f>VLOOKUP($D232,Vertices!$A$10:$F$203, 4, FALSE)</f>
        <v>100</v>
      </c>
      <c r="P232" s="10">
        <f>VLOOKUP($D232,Vertices!$A$10:$F$203, 5, FALSE)</f>
        <v>0</v>
      </c>
      <c r="Q232" s="11">
        <f>VLOOKUP($D232,Vertices!$A$10:$F$203, 6, FALSE)</f>
        <v>60</v>
      </c>
    </row>
    <row r="233" spans="1:17" x14ac:dyDescent="0.25">
      <c r="A233">
        <v>223</v>
      </c>
      <c r="B233">
        <v>170</v>
      </c>
      <c r="C233">
        <v>188</v>
      </c>
      <c r="D233">
        <v>171</v>
      </c>
      <c r="F233" s="9">
        <f>VLOOKUP($B233,Vertices!$A$10:$F$203, 3, FALSE)</f>
        <v>0</v>
      </c>
      <c r="G233" s="10">
        <f>VLOOKUP($B233,Vertices!$A$10:$F$203, 4, FALSE)</f>
        <v>100</v>
      </c>
      <c r="H233" s="10">
        <f>VLOOKUP($B233,Vertices!$A$10:$F$203, 5, FALSE)</f>
        <v>0</v>
      </c>
      <c r="I233" s="11">
        <f>VLOOKUP($B233,Vertices!$A$10:$F$203, 6, FALSE)</f>
        <v>80</v>
      </c>
      <c r="J233" s="9">
        <f>VLOOKUP($C233,Vertices!$A$10:$F$203, 3, FALSE)</f>
        <v>0</v>
      </c>
      <c r="K233" s="10">
        <f>VLOOKUP($C233,Vertices!$A$10:$F$203, 4, FALSE)</f>
        <v>100</v>
      </c>
      <c r="L233" s="10">
        <f>VLOOKUP($C233,Vertices!$A$10:$F$203, 5, FALSE)</f>
        <v>0</v>
      </c>
      <c r="M233" s="11">
        <f>VLOOKUP($C233,Vertices!$A$10:$F$203, 6, FALSE)</f>
        <v>100</v>
      </c>
      <c r="N233" s="9">
        <f>VLOOKUP($D233,Vertices!$A$10:$F$203, 3, FALSE)</f>
        <v>40</v>
      </c>
      <c r="O233" s="10">
        <f>VLOOKUP($D233,Vertices!$A$10:$F$203, 4, FALSE)</f>
        <v>100</v>
      </c>
      <c r="P233" s="10">
        <f>VLOOKUP($D233,Vertices!$A$10:$F$203, 5, FALSE)</f>
        <v>0</v>
      </c>
      <c r="Q233" s="11">
        <f>VLOOKUP($D233,Vertices!$A$10:$F$203, 6, FALSE)</f>
        <v>80</v>
      </c>
    </row>
    <row r="234" spans="1:17" x14ac:dyDescent="0.25">
      <c r="A234">
        <v>224</v>
      </c>
      <c r="B234">
        <v>171</v>
      </c>
      <c r="C234">
        <v>188</v>
      </c>
      <c r="D234">
        <v>190</v>
      </c>
      <c r="F234" s="9">
        <f>VLOOKUP($B234,Vertices!$A$10:$F$203, 3, FALSE)</f>
        <v>40</v>
      </c>
      <c r="G234" s="10">
        <f>VLOOKUP($B234,Vertices!$A$10:$F$203, 4, FALSE)</f>
        <v>100</v>
      </c>
      <c r="H234" s="10">
        <f>VLOOKUP($B234,Vertices!$A$10:$F$203, 5, FALSE)</f>
        <v>0</v>
      </c>
      <c r="I234" s="11">
        <f>VLOOKUP($B234,Vertices!$A$10:$F$203, 6, FALSE)</f>
        <v>80</v>
      </c>
      <c r="J234" s="9">
        <f>VLOOKUP($C234,Vertices!$A$10:$F$203, 3, FALSE)</f>
        <v>0</v>
      </c>
      <c r="K234" s="10">
        <f>VLOOKUP($C234,Vertices!$A$10:$F$203, 4, FALSE)</f>
        <v>100</v>
      </c>
      <c r="L234" s="10">
        <f>VLOOKUP($C234,Vertices!$A$10:$F$203, 5, FALSE)</f>
        <v>0</v>
      </c>
      <c r="M234" s="11">
        <f>VLOOKUP($C234,Vertices!$A$10:$F$203, 6, FALSE)</f>
        <v>100</v>
      </c>
      <c r="N234" s="9">
        <f>VLOOKUP($D234,Vertices!$A$10:$F$203, 3, FALSE)</f>
        <v>100</v>
      </c>
      <c r="O234" s="10">
        <f>VLOOKUP($D234,Vertices!$A$10:$F$203, 4, FALSE)</f>
        <v>100</v>
      </c>
      <c r="P234" s="10">
        <f>VLOOKUP($D234,Vertices!$A$10:$F$203, 5, FALSE)</f>
        <v>0</v>
      </c>
      <c r="Q234" s="11">
        <f>VLOOKUP($D234,Vertices!$A$10:$F$203, 6, FALSE)</f>
        <v>100</v>
      </c>
    </row>
    <row r="235" spans="1:17" x14ac:dyDescent="0.25">
      <c r="A235">
        <v>225</v>
      </c>
      <c r="B235">
        <v>171</v>
      </c>
      <c r="C235">
        <v>190</v>
      </c>
      <c r="D235">
        <v>172</v>
      </c>
      <c r="F235" s="9">
        <f>VLOOKUP($B235,Vertices!$A$10:$F$203, 3, FALSE)</f>
        <v>40</v>
      </c>
      <c r="G235" s="10">
        <f>VLOOKUP($B235,Vertices!$A$10:$F$203, 4, FALSE)</f>
        <v>100</v>
      </c>
      <c r="H235" s="10">
        <f>VLOOKUP($B235,Vertices!$A$10:$F$203, 5, FALSE)</f>
        <v>0</v>
      </c>
      <c r="I235" s="11">
        <f>VLOOKUP($B235,Vertices!$A$10:$F$203, 6, FALSE)</f>
        <v>80</v>
      </c>
      <c r="J235" s="9">
        <f>VLOOKUP($C235,Vertices!$A$10:$F$203, 3, FALSE)</f>
        <v>100</v>
      </c>
      <c r="K235" s="10">
        <f>VLOOKUP($C235,Vertices!$A$10:$F$203, 4, FALSE)</f>
        <v>100</v>
      </c>
      <c r="L235" s="10">
        <f>VLOOKUP($C235,Vertices!$A$10:$F$203, 5, FALSE)</f>
        <v>0</v>
      </c>
      <c r="M235" s="11">
        <f>VLOOKUP($C235,Vertices!$A$10:$F$203, 6, FALSE)</f>
        <v>100</v>
      </c>
      <c r="N235" s="9">
        <f>VLOOKUP($D235,Vertices!$A$10:$F$203, 3, FALSE)</f>
        <v>70</v>
      </c>
      <c r="O235" s="10">
        <f>VLOOKUP($D235,Vertices!$A$10:$F$203, 4, FALSE)</f>
        <v>100</v>
      </c>
      <c r="P235" s="10">
        <f>VLOOKUP($D235,Vertices!$A$10:$F$203, 5, FALSE)</f>
        <v>0</v>
      </c>
      <c r="Q235" s="11">
        <f>VLOOKUP($D235,Vertices!$A$10:$F$203, 6, FALSE)</f>
        <v>80</v>
      </c>
    </row>
    <row r="236" spans="1:17" x14ac:dyDescent="0.25">
      <c r="A236">
        <v>226</v>
      </c>
      <c r="B236">
        <v>172</v>
      </c>
      <c r="C236">
        <v>190</v>
      </c>
      <c r="D236">
        <v>176</v>
      </c>
      <c r="F236" s="9">
        <f>VLOOKUP($B236,Vertices!$A$10:$F$203, 3, FALSE)</f>
        <v>70</v>
      </c>
      <c r="G236" s="10">
        <f>VLOOKUP($B236,Vertices!$A$10:$F$203, 4, FALSE)</f>
        <v>100</v>
      </c>
      <c r="H236" s="10">
        <f>VLOOKUP($B236,Vertices!$A$10:$F$203, 5, FALSE)</f>
        <v>0</v>
      </c>
      <c r="I236" s="11">
        <f>VLOOKUP($B236,Vertices!$A$10:$F$203, 6, FALSE)</f>
        <v>80</v>
      </c>
      <c r="J236" s="9">
        <f>VLOOKUP($C236,Vertices!$A$10:$F$203, 3, FALSE)</f>
        <v>100</v>
      </c>
      <c r="K236" s="10">
        <f>VLOOKUP($C236,Vertices!$A$10:$F$203, 4, FALSE)</f>
        <v>100</v>
      </c>
      <c r="L236" s="10">
        <f>VLOOKUP($C236,Vertices!$A$10:$F$203, 5, FALSE)</f>
        <v>0</v>
      </c>
      <c r="M236" s="11">
        <f>VLOOKUP($C236,Vertices!$A$10:$F$203, 6, FALSE)</f>
        <v>100</v>
      </c>
      <c r="N236" s="9">
        <f>VLOOKUP($D236,Vertices!$A$10:$F$203, 3, FALSE)</f>
        <v>100</v>
      </c>
      <c r="O236" s="10">
        <f>VLOOKUP($D236,Vertices!$A$10:$F$203, 4, FALSE)</f>
        <v>100</v>
      </c>
      <c r="P236" s="10">
        <f>VLOOKUP($D236,Vertices!$A$10:$F$203, 5, FALSE)</f>
        <v>0</v>
      </c>
      <c r="Q236" s="11">
        <f>VLOOKUP($D236,Vertices!$A$10:$F$203, 6, FALSE)</f>
        <v>80</v>
      </c>
    </row>
    <row r="237" spans="1:17" x14ac:dyDescent="0.25">
      <c r="A237">
        <v>227</v>
      </c>
      <c r="B237">
        <v>6</v>
      </c>
      <c r="C237">
        <v>103</v>
      </c>
      <c r="D237">
        <v>92</v>
      </c>
      <c r="F237" s="9">
        <f>VLOOKUP($B237,Vertices!$A$10:$F$203, 3, FALSE)</f>
        <v>0</v>
      </c>
      <c r="G237" s="10">
        <f>VLOOKUP($B237,Vertices!$A$10:$F$203, 4, FALSE)</f>
        <v>100</v>
      </c>
      <c r="H237" s="10">
        <f>VLOOKUP($B237,Vertices!$A$10:$F$203, 5, FALSE)</f>
        <v>0</v>
      </c>
      <c r="I237" s="11">
        <f>VLOOKUP($B237,Vertices!$A$10:$F$203, 6, FALSE)</f>
        <v>0</v>
      </c>
      <c r="J237" s="9">
        <f>VLOOKUP($C237,Vertices!$A$10:$F$203, 3, FALSE)</f>
        <v>0</v>
      </c>
      <c r="K237" s="10">
        <f>VLOOKUP($C237,Vertices!$A$10:$F$203, 4, FALSE)</f>
        <v>100</v>
      </c>
      <c r="L237" s="10">
        <f>VLOOKUP($C237,Vertices!$A$10:$F$203, 5, FALSE)</f>
        <v>10</v>
      </c>
      <c r="M237" s="11">
        <f>VLOOKUP($C237,Vertices!$A$10:$F$203, 6, FALSE)</f>
        <v>20</v>
      </c>
      <c r="N237" s="9">
        <f>VLOOKUP($D237,Vertices!$A$10:$F$203, 3, FALSE)</f>
        <v>0</v>
      </c>
      <c r="O237" s="10">
        <f>VLOOKUP($D237,Vertices!$A$10:$F$203, 4, FALSE)</f>
        <v>100</v>
      </c>
      <c r="P237" s="10">
        <f>VLOOKUP($D237,Vertices!$A$10:$F$203, 5, FALSE)</f>
        <v>0</v>
      </c>
      <c r="Q237" s="11">
        <f>VLOOKUP($D237,Vertices!$A$10:$F$203, 6, FALSE)</f>
        <v>20</v>
      </c>
    </row>
    <row r="238" spans="1:17" x14ac:dyDescent="0.25">
      <c r="A238">
        <v>228</v>
      </c>
      <c r="B238">
        <v>6</v>
      </c>
      <c r="C238">
        <v>42</v>
      </c>
      <c r="D238">
        <v>103</v>
      </c>
      <c r="F238" s="9">
        <f>VLOOKUP($B238,Vertices!$A$10:$F$203, 3, FALSE)</f>
        <v>0</v>
      </c>
      <c r="G238" s="10">
        <f>VLOOKUP($B238,Vertices!$A$10:$F$203, 4, FALSE)</f>
        <v>100</v>
      </c>
      <c r="H238" s="10">
        <f>VLOOKUP($B238,Vertices!$A$10:$F$203, 5, FALSE)</f>
        <v>0</v>
      </c>
      <c r="I238" s="11">
        <f>VLOOKUP($B238,Vertices!$A$10:$F$203, 6, FALSE)</f>
        <v>0</v>
      </c>
      <c r="J238" s="9">
        <f>VLOOKUP($C238,Vertices!$A$10:$F$203, 3, FALSE)</f>
        <v>0</v>
      </c>
      <c r="K238" s="10">
        <f>VLOOKUP($C238,Vertices!$A$10:$F$203, 4, FALSE)</f>
        <v>100</v>
      </c>
      <c r="L238" s="10">
        <f>VLOOKUP($C238,Vertices!$A$10:$F$203, 5, FALSE)</f>
        <v>10</v>
      </c>
      <c r="M238" s="11">
        <f>VLOOKUP($C238,Vertices!$A$10:$F$203, 6, FALSE)</f>
        <v>0</v>
      </c>
      <c r="N238" s="9">
        <f>VLOOKUP($D238,Vertices!$A$10:$F$203, 3, FALSE)</f>
        <v>0</v>
      </c>
      <c r="O238" s="10">
        <f>VLOOKUP($D238,Vertices!$A$10:$F$203, 4, FALSE)</f>
        <v>100</v>
      </c>
      <c r="P238" s="10">
        <f>VLOOKUP($D238,Vertices!$A$10:$F$203, 5, FALSE)</f>
        <v>10</v>
      </c>
      <c r="Q238" s="11">
        <f>VLOOKUP($D238,Vertices!$A$10:$F$203, 6, FALSE)</f>
        <v>20</v>
      </c>
    </row>
    <row r="239" spans="1:17" x14ac:dyDescent="0.25">
      <c r="A239">
        <v>229</v>
      </c>
      <c r="B239">
        <v>42</v>
      </c>
      <c r="C239">
        <v>105</v>
      </c>
      <c r="D239">
        <v>103</v>
      </c>
      <c r="F239" s="9">
        <f>VLOOKUP($B239,Vertices!$A$10:$F$203, 3, FALSE)</f>
        <v>0</v>
      </c>
      <c r="G239" s="10">
        <f>VLOOKUP($B239,Vertices!$A$10:$F$203, 4, FALSE)</f>
        <v>100</v>
      </c>
      <c r="H239" s="10">
        <f>VLOOKUP($B239,Vertices!$A$10:$F$203, 5, FALSE)</f>
        <v>10</v>
      </c>
      <c r="I239" s="11">
        <f>VLOOKUP($B239,Vertices!$A$10:$F$203, 6, FALSE)</f>
        <v>0</v>
      </c>
      <c r="J239" s="9">
        <f>VLOOKUP($C239,Vertices!$A$10:$F$203, 3, FALSE)</f>
        <v>0</v>
      </c>
      <c r="K239" s="10">
        <f>VLOOKUP($C239,Vertices!$A$10:$F$203, 4, FALSE)</f>
        <v>100</v>
      </c>
      <c r="L239" s="10">
        <f>VLOOKUP($C239,Vertices!$A$10:$F$203, 5, FALSE)</f>
        <v>20</v>
      </c>
      <c r="M239" s="11">
        <f>VLOOKUP($C239,Vertices!$A$10:$F$203, 6, FALSE)</f>
        <v>20</v>
      </c>
      <c r="N239" s="9">
        <f>VLOOKUP($D239,Vertices!$A$10:$F$203, 3, FALSE)</f>
        <v>0</v>
      </c>
      <c r="O239" s="10">
        <f>VLOOKUP($D239,Vertices!$A$10:$F$203, 4, FALSE)</f>
        <v>100</v>
      </c>
      <c r="P239" s="10">
        <f>VLOOKUP($D239,Vertices!$A$10:$F$203, 5, FALSE)</f>
        <v>10</v>
      </c>
      <c r="Q239" s="11">
        <f>VLOOKUP($D239,Vertices!$A$10:$F$203, 6, FALSE)</f>
        <v>20</v>
      </c>
    </row>
    <row r="240" spans="1:17" x14ac:dyDescent="0.25">
      <c r="A240">
        <v>230</v>
      </c>
      <c r="B240">
        <v>42</v>
      </c>
      <c r="C240">
        <v>53</v>
      </c>
      <c r="D240">
        <v>105</v>
      </c>
      <c r="F240" s="9">
        <f>VLOOKUP($B240,Vertices!$A$10:$F$203, 3, FALSE)</f>
        <v>0</v>
      </c>
      <c r="G240" s="10">
        <f>VLOOKUP($B240,Vertices!$A$10:$F$203, 4, FALSE)</f>
        <v>100</v>
      </c>
      <c r="H240" s="10">
        <f>VLOOKUP($B240,Vertices!$A$10:$F$203, 5, FALSE)</f>
        <v>10</v>
      </c>
      <c r="I240" s="11">
        <f>VLOOKUP($B240,Vertices!$A$10:$F$203, 6, FALSE)</f>
        <v>0</v>
      </c>
      <c r="J240" s="9">
        <f>VLOOKUP($C240,Vertices!$A$10:$F$203, 3, FALSE)</f>
        <v>0</v>
      </c>
      <c r="K240" s="10">
        <f>VLOOKUP($C240,Vertices!$A$10:$F$203, 4, FALSE)</f>
        <v>100</v>
      </c>
      <c r="L240" s="10">
        <f>VLOOKUP($C240,Vertices!$A$10:$F$203, 5, FALSE)</f>
        <v>20</v>
      </c>
      <c r="M240" s="11">
        <f>VLOOKUP($C240,Vertices!$A$10:$F$203, 6, FALSE)</f>
        <v>0</v>
      </c>
      <c r="N240" s="9">
        <f>VLOOKUP($D240,Vertices!$A$10:$F$203, 3, FALSE)</f>
        <v>0</v>
      </c>
      <c r="O240" s="10">
        <f>VLOOKUP($D240,Vertices!$A$10:$F$203, 4, FALSE)</f>
        <v>100</v>
      </c>
      <c r="P240" s="10">
        <f>VLOOKUP($D240,Vertices!$A$10:$F$203, 5, FALSE)</f>
        <v>20</v>
      </c>
      <c r="Q240" s="11">
        <f>VLOOKUP($D240,Vertices!$A$10:$F$203, 6, FALSE)</f>
        <v>20</v>
      </c>
    </row>
    <row r="241" spans="1:17" x14ac:dyDescent="0.25">
      <c r="A241">
        <v>231</v>
      </c>
      <c r="B241">
        <v>53</v>
      </c>
      <c r="C241">
        <v>107</v>
      </c>
      <c r="D241">
        <v>105</v>
      </c>
      <c r="F241" s="9">
        <f>VLOOKUP($B241,Vertices!$A$10:$F$203, 3, FALSE)</f>
        <v>0</v>
      </c>
      <c r="G241" s="10">
        <f>VLOOKUP($B241,Vertices!$A$10:$F$203, 4, FALSE)</f>
        <v>100</v>
      </c>
      <c r="H241" s="10">
        <f>VLOOKUP($B241,Vertices!$A$10:$F$203, 5, FALSE)</f>
        <v>20</v>
      </c>
      <c r="I241" s="11">
        <f>VLOOKUP($B241,Vertices!$A$10:$F$203, 6, FALSE)</f>
        <v>0</v>
      </c>
      <c r="J241" s="9">
        <f>VLOOKUP($C241,Vertices!$A$10:$F$203, 3, FALSE)</f>
        <v>0</v>
      </c>
      <c r="K241" s="10">
        <f>VLOOKUP($C241,Vertices!$A$10:$F$203, 4, FALSE)</f>
        <v>100</v>
      </c>
      <c r="L241" s="10">
        <f>VLOOKUP($C241,Vertices!$A$10:$F$203, 5, FALSE)</f>
        <v>40</v>
      </c>
      <c r="M241" s="11">
        <f>VLOOKUP($C241,Vertices!$A$10:$F$203, 6, FALSE)</f>
        <v>20</v>
      </c>
      <c r="N241" s="9">
        <f>VLOOKUP($D241,Vertices!$A$10:$F$203, 3, FALSE)</f>
        <v>0</v>
      </c>
      <c r="O241" s="10">
        <f>VLOOKUP($D241,Vertices!$A$10:$F$203, 4, FALSE)</f>
        <v>100</v>
      </c>
      <c r="P241" s="10">
        <f>VLOOKUP($D241,Vertices!$A$10:$F$203, 5, FALSE)</f>
        <v>20</v>
      </c>
      <c r="Q241" s="11">
        <f>VLOOKUP($D241,Vertices!$A$10:$F$203, 6, FALSE)</f>
        <v>20</v>
      </c>
    </row>
    <row r="242" spans="1:17" x14ac:dyDescent="0.25">
      <c r="A242">
        <v>232</v>
      </c>
      <c r="B242">
        <v>53</v>
      </c>
      <c r="C242">
        <v>64</v>
      </c>
      <c r="D242">
        <v>107</v>
      </c>
      <c r="F242" s="9">
        <f>VLOOKUP($B242,Vertices!$A$10:$F$203, 3, FALSE)</f>
        <v>0</v>
      </c>
      <c r="G242" s="10">
        <f>VLOOKUP($B242,Vertices!$A$10:$F$203, 4, FALSE)</f>
        <v>100</v>
      </c>
      <c r="H242" s="10">
        <f>VLOOKUP($B242,Vertices!$A$10:$F$203, 5, FALSE)</f>
        <v>20</v>
      </c>
      <c r="I242" s="11">
        <f>VLOOKUP($B242,Vertices!$A$10:$F$203, 6, FALSE)</f>
        <v>0</v>
      </c>
      <c r="J242" s="9">
        <f>VLOOKUP($C242,Vertices!$A$10:$F$203, 3, FALSE)</f>
        <v>0</v>
      </c>
      <c r="K242" s="10">
        <f>VLOOKUP($C242,Vertices!$A$10:$F$203, 4, FALSE)</f>
        <v>100</v>
      </c>
      <c r="L242" s="10">
        <f>VLOOKUP($C242,Vertices!$A$10:$F$203, 5, FALSE)</f>
        <v>40</v>
      </c>
      <c r="M242" s="11">
        <f>VLOOKUP($C242,Vertices!$A$10:$F$203, 6, FALSE)</f>
        <v>0</v>
      </c>
      <c r="N242" s="9">
        <f>VLOOKUP($D242,Vertices!$A$10:$F$203, 3, FALSE)</f>
        <v>0</v>
      </c>
      <c r="O242" s="10">
        <f>VLOOKUP($D242,Vertices!$A$10:$F$203, 4, FALSE)</f>
        <v>100</v>
      </c>
      <c r="P242" s="10">
        <f>VLOOKUP($D242,Vertices!$A$10:$F$203, 5, FALSE)</f>
        <v>40</v>
      </c>
      <c r="Q242" s="11">
        <f>VLOOKUP($D242,Vertices!$A$10:$F$203, 6, FALSE)</f>
        <v>20</v>
      </c>
    </row>
    <row r="243" spans="1:17" x14ac:dyDescent="0.25">
      <c r="A243">
        <v>233</v>
      </c>
      <c r="B243">
        <v>64</v>
      </c>
      <c r="C243">
        <v>109</v>
      </c>
      <c r="D243">
        <v>107</v>
      </c>
      <c r="F243" s="9">
        <f>VLOOKUP($B243,Vertices!$A$10:$F$203, 3, FALSE)</f>
        <v>0</v>
      </c>
      <c r="G243" s="10">
        <f>VLOOKUP($B243,Vertices!$A$10:$F$203, 4, FALSE)</f>
        <v>100</v>
      </c>
      <c r="H243" s="10">
        <f>VLOOKUP($B243,Vertices!$A$10:$F$203, 5, FALSE)</f>
        <v>40</v>
      </c>
      <c r="I243" s="11">
        <f>VLOOKUP($B243,Vertices!$A$10:$F$203, 6, FALSE)</f>
        <v>0</v>
      </c>
      <c r="J243" s="9">
        <f>VLOOKUP($C243,Vertices!$A$10:$F$203, 3, FALSE)</f>
        <v>0</v>
      </c>
      <c r="K243" s="10">
        <f>VLOOKUP($C243,Vertices!$A$10:$F$203, 4, FALSE)</f>
        <v>100</v>
      </c>
      <c r="L243" s="10">
        <f>VLOOKUP($C243,Vertices!$A$10:$F$203, 5, FALSE)</f>
        <v>70</v>
      </c>
      <c r="M243" s="11">
        <f>VLOOKUP($C243,Vertices!$A$10:$F$203, 6, FALSE)</f>
        <v>20</v>
      </c>
      <c r="N243" s="9">
        <f>VLOOKUP($D243,Vertices!$A$10:$F$203, 3, FALSE)</f>
        <v>0</v>
      </c>
      <c r="O243" s="10">
        <f>VLOOKUP($D243,Vertices!$A$10:$F$203, 4, FALSE)</f>
        <v>100</v>
      </c>
      <c r="P243" s="10">
        <f>VLOOKUP($D243,Vertices!$A$10:$F$203, 5, FALSE)</f>
        <v>40</v>
      </c>
      <c r="Q243" s="11">
        <f>VLOOKUP($D243,Vertices!$A$10:$F$203, 6, FALSE)</f>
        <v>20</v>
      </c>
    </row>
    <row r="244" spans="1:17" x14ac:dyDescent="0.25">
      <c r="A244">
        <v>234</v>
      </c>
      <c r="B244">
        <v>64</v>
      </c>
      <c r="C244">
        <v>75</v>
      </c>
      <c r="D244">
        <v>109</v>
      </c>
      <c r="F244" s="9">
        <f>VLOOKUP($B244,Vertices!$A$10:$F$203, 3, FALSE)</f>
        <v>0</v>
      </c>
      <c r="G244" s="10">
        <f>VLOOKUP($B244,Vertices!$A$10:$F$203, 4, FALSE)</f>
        <v>100</v>
      </c>
      <c r="H244" s="10">
        <f>VLOOKUP($B244,Vertices!$A$10:$F$203, 5, FALSE)</f>
        <v>40</v>
      </c>
      <c r="I244" s="11">
        <f>VLOOKUP($B244,Vertices!$A$10:$F$203, 6, FALSE)</f>
        <v>0</v>
      </c>
      <c r="J244" s="9">
        <f>VLOOKUP($C244,Vertices!$A$10:$F$203, 3, FALSE)</f>
        <v>0</v>
      </c>
      <c r="K244" s="10">
        <f>VLOOKUP($C244,Vertices!$A$10:$F$203, 4, FALSE)</f>
        <v>100</v>
      </c>
      <c r="L244" s="10">
        <f>VLOOKUP($C244,Vertices!$A$10:$F$203, 5, FALSE)</f>
        <v>70</v>
      </c>
      <c r="M244" s="11">
        <f>VLOOKUP($C244,Vertices!$A$10:$F$203, 6, FALSE)</f>
        <v>0</v>
      </c>
      <c r="N244" s="9">
        <f>VLOOKUP($D244,Vertices!$A$10:$F$203, 3, FALSE)</f>
        <v>0</v>
      </c>
      <c r="O244" s="10">
        <f>VLOOKUP($D244,Vertices!$A$10:$F$203, 4, FALSE)</f>
        <v>100</v>
      </c>
      <c r="P244" s="10">
        <f>VLOOKUP($D244,Vertices!$A$10:$F$203, 5, FALSE)</f>
        <v>70</v>
      </c>
      <c r="Q244" s="11">
        <f>VLOOKUP($D244,Vertices!$A$10:$F$203, 6, FALSE)</f>
        <v>20</v>
      </c>
    </row>
    <row r="245" spans="1:17" x14ac:dyDescent="0.25">
      <c r="A245">
        <v>235</v>
      </c>
      <c r="B245">
        <v>75</v>
      </c>
      <c r="C245">
        <v>116</v>
      </c>
      <c r="D245">
        <v>109</v>
      </c>
      <c r="F245" s="9">
        <f>VLOOKUP($B245,Vertices!$A$10:$F$203, 3, FALSE)</f>
        <v>0</v>
      </c>
      <c r="G245" s="10">
        <f>VLOOKUP($B245,Vertices!$A$10:$F$203, 4, FALSE)</f>
        <v>100</v>
      </c>
      <c r="H245" s="10">
        <f>VLOOKUP($B245,Vertices!$A$10:$F$203, 5, FALSE)</f>
        <v>70</v>
      </c>
      <c r="I245" s="11">
        <f>VLOOKUP($B245,Vertices!$A$10:$F$203, 6, FALSE)</f>
        <v>0</v>
      </c>
      <c r="J245" s="9">
        <f>VLOOKUP($C245,Vertices!$A$10:$F$203, 3, FALSE)</f>
        <v>0</v>
      </c>
      <c r="K245" s="10">
        <f>VLOOKUP($C245,Vertices!$A$10:$F$203, 4, FALSE)</f>
        <v>100</v>
      </c>
      <c r="L245" s="10">
        <f>VLOOKUP($C245,Vertices!$A$10:$F$203, 5, FALSE)</f>
        <v>100</v>
      </c>
      <c r="M245" s="11">
        <f>VLOOKUP($C245,Vertices!$A$10:$F$203, 6, FALSE)</f>
        <v>20</v>
      </c>
      <c r="N245" s="9">
        <f>VLOOKUP($D245,Vertices!$A$10:$F$203, 3, FALSE)</f>
        <v>0</v>
      </c>
      <c r="O245" s="10">
        <f>VLOOKUP($D245,Vertices!$A$10:$F$203, 4, FALSE)</f>
        <v>100</v>
      </c>
      <c r="P245" s="10">
        <f>VLOOKUP($D245,Vertices!$A$10:$F$203, 5, FALSE)</f>
        <v>70</v>
      </c>
      <c r="Q245" s="11">
        <f>VLOOKUP($D245,Vertices!$A$10:$F$203, 6, FALSE)</f>
        <v>20</v>
      </c>
    </row>
    <row r="246" spans="1:17" x14ac:dyDescent="0.25">
      <c r="A246">
        <v>236</v>
      </c>
      <c r="B246">
        <v>75</v>
      </c>
      <c r="C246">
        <v>86</v>
      </c>
      <c r="D246">
        <v>116</v>
      </c>
      <c r="F246" s="9">
        <f>VLOOKUP($B246,Vertices!$A$10:$F$203, 3, FALSE)</f>
        <v>0</v>
      </c>
      <c r="G246" s="10">
        <f>VLOOKUP($B246,Vertices!$A$10:$F$203, 4, FALSE)</f>
        <v>100</v>
      </c>
      <c r="H246" s="10">
        <f>VLOOKUP($B246,Vertices!$A$10:$F$203, 5, FALSE)</f>
        <v>70</v>
      </c>
      <c r="I246" s="11">
        <f>VLOOKUP($B246,Vertices!$A$10:$F$203, 6, FALSE)</f>
        <v>0</v>
      </c>
      <c r="J246" s="9">
        <f>VLOOKUP($C246,Vertices!$A$10:$F$203, 3, FALSE)</f>
        <v>0</v>
      </c>
      <c r="K246" s="10">
        <f>VLOOKUP($C246,Vertices!$A$10:$F$203, 4, FALSE)</f>
        <v>100</v>
      </c>
      <c r="L246" s="10">
        <f>VLOOKUP($C246,Vertices!$A$10:$F$203, 5, FALSE)</f>
        <v>100</v>
      </c>
      <c r="M246" s="11">
        <f>VLOOKUP($C246,Vertices!$A$10:$F$203, 6, FALSE)</f>
        <v>0</v>
      </c>
      <c r="N246" s="9">
        <f>VLOOKUP($D246,Vertices!$A$10:$F$203, 3, FALSE)</f>
        <v>0</v>
      </c>
      <c r="O246" s="10">
        <f>VLOOKUP($D246,Vertices!$A$10:$F$203, 4, FALSE)</f>
        <v>100</v>
      </c>
      <c r="P246" s="10">
        <f>VLOOKUP($D246,Vertices!$A$10:$F$203, 5, FALSE)</f>
        <v>100</v>
      </c>
      <c r="Q246" s="11">
        <f>VLOOKUP($D246,Vertices!$A$10:$F$203, 6, FALSE)</f>
        <v>20</v>
      </c>
    </row>
    <row r="247" spans="1:17" x14ac:dyDescent="0.25">
      <c r="A247">
        <v>237</v>
      </c>
      <c r="B247">
        <v>92</v>
      </c>
      <c r="C247">
        <v>103</v>
      </c>
      <c r="D247">
        <v>122</v>
      </c>
      <c r="F247" s="9">
        <f>VLOOKUP($B247,Vertices!$A$10:$F$203, 3, FALSE)</f>
        <v>0</v>
      </c>
      <c r="G247" s="10">
        <f>VLOOKUP($B247,Vertices!$A$10:$F$203, 4, FALSE)</f>
        <v>100</v>
      </c>
      <c r="H247" s="10">
        <f>VLOOKUP($B247,Vertices!$A$10:$F$203, 5, FALSE)</f>
        <v>0</v>
      </c>
      <c r="I247" s="11">
        <f>VLOOKUP($B247,Vertices!$A$10:$F$203, 6, FALSE)</f>
        <v>20</v>
      </c>
      <c r="J247" s="9">
        <f>VLOOKUP($C247,Vertices!$A$10:$F$203, 3, FALSE)</f>
        <v>0</v>
      </c>
      <c r="K247" s="10">
        <f>VLOOKUP($C247,Vertices!$A$10:$F$203, 4, FALSE)</f>
        <v>100</v>
      </c>
      <c r="L247" s="10">
        <f>VLOOKUP($C247,Vertices!$A$10:$F$203, 5, FALSE)</f>
        <v>10</v>
      </c>
      <c r="M247" s="11">
        <f>VLOOKUP($C247,Vertices!$A$10:$F$203, 6, FALSE)</f>
        <v>20</v>
      </c>
      <c r="N247" s="9">
        <f>VLOOKUP($D247,Vertices!$A$10:$F$203, 3, FALSE)</f>
        <v>0</v>
      </c>
      <c r="O247" s="10">
        <f>VLOOKUP($D247,Vertices!$A$10:$F$203, 4, FALSE)</f>
        <v>100</v>
      </c>
      <c r="P247" s="10">
        <f>VLOOKUP($D247,Vertices!$A$10:$F$203, 5, FALSE)</f>
        <v>0</v>
      </c>
      <c r="Q247" s="11">
        <f>VLOOKUP($D247,Vertices!$A$10:$F$203, 6, FALSE)</f>
        <v>40</v>
      </c>
    </row>
    <row r="248" spans="1:17" x14ac:dyDescent="0.25">
      <c r="A248">
        <v>238</v>
      </c>
      <c r="B248">
        <v>122</v>
      </c>
      <c r="C248">
        <v>103</v>
      </c>
      <c r="D248">
        <v>131</v>
      </c>
      <c r="F248" s="9">
        <f>VLOOKUP($B248,Vertices!$A$10:$F$203, 3, FALSE)</f>
        <v>0</v>
      </c>
      <c r="G248" s="10">
        <f>VLOOKUP($B248,Vertices!$A$10:$F$203, 4, FALSE)</f>
        <v>100</v>
      </c>
      <c r="H248" s="10">
        <f>VLOOKUP($B248,Vertices!$A$10:$F$203, 5, FALSE)</f>
        <v>0</v>
      </c>
      <c r="I248" s="11">
        <f>VLOOKUP($B248,Vertices!$A$10:$F$203, 6, FALSE)</f>
        <v>40</v>
      </c>
      <c r="J248" s="9">
        <f>VLOOKUP($C248,Vertices!$A$10:$F$203, 3, FALSE)</f>
        <v>0</v>
      </c>
      <c r="K248" s="10">
        <f>VLOOKUP($C248,Vertices!$A$10:$F$203, 4, FALSE)</f>
        <v>100</v>
      </c>
      <c r="L248" s="10">
        <f>VLOOKUP($C248,Vertices!$A$10:$F$203, 5, FALSE)</f>
        <v>10</v>
      </c>
      <c r="M248" s="11">
        <f>VLOOKUP($C248,Vertices!$A$10:$F$203, 6, FALSE)</f>
        <v>20</v>
      </c>
      <c r="N248" s="9">
        <f>VLOOKUP($D248,Vertices!$A$10:$F$203, 3, FALSE)</f>
        <v>0</v>
      </c>
      <c r="O248" s="10">
        <f>VLOOKUP($D248,Vertices!$A$10:$F$203, 4, FALSE)</f>
        <v>100</v>
      </c>
      <c r="P248" s="10">
        <f>VLOOKUP($D248,Vertices!$A$10:$F$203, 5, FALSE)</f>
        <v>20</v>
      </c>
      <c r="Q248" s="11">
        <f>VLOOKUP($D248,Vertices!$A$10:$F$203, 6, FALSE)</f>
        <v>40</v>
      </c>
    </row>
    <row r="249" spans="1:17" x14ac:dyDescent="0.25">
      <c r="A249">
        <v>239</v>
      </c>
      <c r="B249">
        <v>103</v>
      </c>
      <c r="C249">
        <v>105</v>
      </c>
      <c r="D249">
        <v>131</v>
      </c>
      <c r="F249" s="9">
        <f>VLOOKUP($B249,Vertices!$A$10:$F$203, 3, FALSE)</f>
        <v>0</v>
      </c>
      <c r="G249" s="10">
        <f>VLOOKUP($B249,Vertices!$A$10:$F$203, 4, FALSE)</f>
        <v>100</v>
      </c>
      <c r="H249" s="10">
        <f>VLOOKUP($B249,Vertices!$A$10:$F$203, 5, FALSE)</f>
        <v>10</v>
      </c>
      <c r="I249" s="11">
        <f>VLOOKUP($B249,Vertices!$A$10:$F$203, 6, FALSE)</f>
        <v>20</v>
      </c>
      <c r="J249" s="9">
        <f>VLOOKUP($C249,Vertices!$A$10:$F$203, 3, FALSE)</f>
        <v>0</v>
      </c>
      <c r="K249" s="10">
        <f>VLOOKUP($C249,Vertices!$A$10:$F$203, 4, FALSE)</f>
        <v>100</v>
      </c>
      <c r="L249" s="10">
        <f>VLOOKUP($C249,Vertices!$A$10:$F$203, 5, FALSE)</f>
        <v>20</v>
      </c>
      <c r="M249" s="11">
        <f>VLOOKUP($C249,Vertices!$A$10:$F$203, 6, FALSE)</f>
        <v>20</v>
      </c>
      <c r="N249" s="9">
        <f>VLOOKUP($D249,Vertices!$A$10:$F$203, 3, FALSE)</f>
        <v>0</v>
      </c>
      <c r="O249" s="10">
        <f>VLOOKUP($D249,Vertices!$A$10:$F$203, 4, FALSE)</f>
        <v>100</v>
      </c>
      <c r="P249" s="10">
        <f>VLOOKUP($D249,Vertices!$A$10:$F$203, 5, FALSE)</f>
        <v>20</v>
      </c>
      <c r="Q249" s="11">
        <f>VLOOKUP($D249,Vertices!$A$10:$F$203, 6, FALSE)</f>
        <v>40</v>
      </c>
    </row>
    <row r="250" spans="1:17" x14ac:dyDescent="0.25">
      <c r="A250">
        <v>240</v>
      </c>
      <c r="B250">
        <v>105</v>
      </c>
      <c r="C250">
        <v>133</v>
      </c>
      <c r="D250">
        <v>131</v>
      </c>
      <c r="F250" s="9">
        <f>VLOOKUP($B250,Vertices!$A$10:$F$203, 3, FALSE)</f>
        <v>0</v>
      </c>
      <c r="G250" s="10">
        <f>VLOOKUP($B250,Vertices!$A$10:$F$203, 4, FALSE)</f>
        <v>100</v>
      </c>
      <c r="H250" s="10">
        <f>VLOOKUP($B250,Vertices!$A$10:$F$203, 5, FALSE)</f>
        <v>20</v>
      </c>
      <c r="I250" s="11">
        <f>VLOOKUP($B250,Vertices!$A$10:$F$203, 6, FALSE)</f>
        <v>20</v>
      </c>
      <c r="J250" s="9">
        <f>VLOOKUP($C250,Vertices!$A$10:$F$203, 3, FALSE)</f>
        <v>0</v>
      </c>
      <c r="K250" s="10">
        <f>VLOOKUP($C250,Vertices!$A$10:$F$203, 4, FALSE)</f>
        <v>100</v>
      </c>
      <c r="L250" s="10">
        <f>VLOOKUP($C250,Vertices!$A$10:$F$203, 5, FALSE)</f>
        <v>40</v>
      </c>
      <c r="M250" s="11">
        <f>VLOOKUP($C250,Vertices!$A$10:$F$203, 6, FALSE)</f>
        <v>40</v>
      </c>
      <c r="N250" s="9">
        <f>VLOOKUP($D250,Vertices!$A$10:$F$203, 3, FALSE)</f>
        <v>0</v>
      </c>
      <c r="O250" s="10">
        <f>VLOOKUP($D250,Vertices!$A$10:$F$203, 4, FALSE)</f>
        <v>100</v>
      </c>
      <c r="P250" s="10">
        <f>VLOOKUP($D250,Vertices!$A$10:$F$203, 5, FALSE)</f>
        <v>20</v>
      </c>
      <c r="Q250" s="11">
        <f>VLOOKUP($D250,Vertices!$A$10:$F$203, 6, FALSE)</f>
        <v>40</v>
      </c>
    </row>
    <row r="251" spans="1:17" x14ac:dyDescent="0.25">
      <c r="A251">
        <v>241</v>
      </c>
      <c r="B251">
        <v>105</v>
      </c>
      <c r="C251">
        <v>107</v>
      </c>
      <c r="D251">
        <v>133</v>
      </c>
      <c r="F251" s="9">
        <f>VLOOKUP($B251,Vertices!$A$10:$F$203, 3, FALSE)</f>
        <v>0</v>
      </c>
      <c r="G251" s="10">
        <f>VLOOKUP($B251,Vertices!$A$10:$F$203, 4, FALSE)</f>
        <v>100</v>
      </c>
      <c r="H251" s="10">
        <f>VLOOKUP($B251,Vertices!$A$10:$F$203, 5, FALSE)</f>
        <v>20</v>
      </c>
      <c r="I251" s="11">
        <f>VLOOKUP($B251,Vertices!$A$10:$F$203, 6, FALSE)</f>
        <v>20</v>
      </c>
      <c r="J251" s="9">
        <f>VLOOKUP($C251,Vertices!$A$10:$F$203, 3, FALSE)</f>
        <v>0</v>
      </c>
      <c r="K251" s="10">
        <f>VLOOKUP($C251,Vertices!$A$10:$F$203, 4, FALSE)</f>
        <v>100</v>
      </c>
      <c r="L251" s="10">
        <f>VLOOKUP($C251,Vertices!$A$10:$F$203, 5, FALSE)</f>
        <v>40</v>
      </c>
      <c r="M251" s="11">
        <f>VLOOKUP($C251,Vertices!$A$10:$F$203, 6, FALSE)</f>
        <v>20</v>
      </c>
      <c r="N251" s="9">
        <f>VLOOKUP($D251,Vertices!$A$10:$F$203, 3, FALSE)</f>
        <v>0</v>
      </c>
      <c r="O251" s="10">
        <f>VLOOKUP($D251,Vertices!$A$10:$F$203, 4, FALSE)</f>
        <v>100</v>
      </c>
      <c r="P251" s="10">
        <f>VLOOKUP($D251,Vertices!$A$10:$F$203, 5, FALSE)</f>
        <v>40</v>
      </c>
      <c r="Q251" s="11">
        <f>VLOOKUP($D251,Vertices!$A$10:$F$203, 6, FALSE)</f>
        <v>40</v>
      </c>
    </row>
    <row r="252" spans="1:17" x14ac:dyDescent="0.25">
      <c r="A252">
        <v>242</v>
      </c>
      <c r="B252">
        <v>107</v>
      </c>
      <c r="C252">
        <v>135</v>
      </c>
      <c r="D252">
        <v>133</v>
      </c>
      <c r="F252" s="9">
        <f>VLOOKUP($B252,Vertices!$A$10:$F$203, 3, FALSE)</f>
        <v>0</v>
      </c>
      <c r="G252" s="10">
        <f>VLOOKUP($B252,Vertices!$A$10:$F$203, 4, FALSE)</f>
        <v>100</v>
      </c>
      <c r="H252" s="10">
        <f>VLOOKUP($B252,Vertices!$A$10:$F$203, 5, FALSE)</f>
        <v>40</v>
      </c>
      <c r="I252" s="11">
        <f>VLOOKUP($B252,Vertices!$A$10:$F$203, 6, FALSE)</f>
        <v>20</v>
      </c>
      <c r="J252" s="9">
        <f>VLOOKUP($C252,Vertices!$A$10:$F$203, 3, FALSE)</f>
        <v>0</v>
      </c>
      <c r="K252" s="10">
        <f>VLOOKUP($C252,Vertices!$A$10:$F$203, 4, FALSE)</f>
        <v>100</v>
      </c>
      <c r="L252" s="10">
        <f>VLOOKUP($C252,Vertices!$A$10:$F$203, 5, FALSE)</f>
        <v>70</v>
      </c>
      <c r="M252" s="11">
        <f>VLOOKUP($C252,Vertices!$A$10:$F$203, 6, FALSE)</f>
        <v>40</v>
      </c>
      <c r="N252" s="9">
        <f>VLOOKUP($D252,Vertices!$A$10:$F$203, 3, FALSE)</f>
        <v>0</v>
      </c>
      <c r="O252" s="10">
        <f>VLOOKUP($D252,Vertices!$A$10:$F$203, 4, FALSE)</f>
        <v>100</v>
      </c>
      <c r="P252" s="10">
        <f>VLOOKUP($D252,Vertices!$A$10:$F$203, 5, FALSE)</f>
        <v>40</v>
      </c>
      <c r="Q252" s="11">
        <f>VLOOKUP($D252,Vertices!$A$10:$F$203, 6, FALSE)</f>
        <v>40</v>
      </c>
    </row>
    <row r="253" spans="1:17" x14ac:dyDescent="0.25">
      <c r="A253">
        <v>243</v>
      </c>
      <c r="B253">
        <v>107</v>
      </c>
      <c r="C253">
        <v>109</v>
      </c>
      <c r="D253">
        <v>135</v>
      </c>
      <c r="F253" s="9">
        <f>VLOOKUP($B253,Vertices!$A$10:$F$203, 3, FALSE)</f>
        <v>0</v>
      </c>
      <c r="G253" s="10">
        <f>VLOOKUP($B253,Vertices!$A$10:$F$203, 4, FALSE)</f>
        <v>100</v>
      </c>
      <c r="H253" s="10">
        <f>VLOOKUP($B253,Vertices!$A$10:$F$203, 5, FALSE)</f>
        <v>40</v>
      </c>
      <c r="I253" s="11">
        <f>VLOOKUP($B253,Vertices!$A$10:$F$203, 6, FALSE)</f>
        <v>20</v>
      </c>
      <c r="J253" s="9">
        <f>VLOOKUP($C253,Vertices!$A$10:$F$203, 3, FALSE)</f>
        <v>0</v>
      </c>
      <c r="K253" s="10">
        <f>VLOOKUP($C253,Vertices!$A$10:$F$203, 4, FALSE)</f>
        <v>100</v>
      </c>
      <c r="L253" s="10">
        <f>VLOOKUP($C253,Vertices!$A$10:$F$203, 5, FALSE)</f>
        <v>70</v>
      </c>
      <c r="M253" s="11">
        <f>VLOOKUP($C253,Vertices!$A$10:$F$203, 6, FALSE)</f>
        <v>20</v>
      </c>
      <c r="N253" s="9">
        <f>VLOOKUP($D253,Vertices!$A$10:$F$203, 3, FALSE)</f>
        <v>0</v>
      </c>
      <c r="O253" s="10">
        <f>VLOOKUP($D253,Vertices!$A$10:$F$203, 4, FALSE)</f>
        <v>100</v>
      </c>
      <c r="P253" s="10">
        <f>VLOOKUP($D253,Vertices!$A$10:$F$203, 5, FALSE)</f>
        <v>70</v>
      </c>
      <c r="Q253" s="11">
        <f>VLOOKUP($D253,Vertices!$A$10:$F$203, 6, FALSE)</f>
        <v>40</v>
      </c>
    </row>
    <row r="254" spans="1:17" x14ac:dyDescent="0.25">
      <c r="A254">
        <v>244</v>
      </c>
      <c r="B254">
        <v>109</v>
      </c>
      <c r="C254">
        <v>141</v>
      </c>
      <c r="D254">
        <v>135</v>
      </c>
      <c r="F254" s="9">
        <f>VLOOKUP($B254,Vertices!$A$10:$F$203, 3, FALSE)</f>
        <v>0</v>
      </c>
      <c r="G254" s="10">
        <f>VLOOKUP($B254,Vertices!$A$10:$F$203, 4, FALSE)</f>
        <v>100</v>
      </c>
      <c r="H254" s="10">
        <f>VLOOKUP($B254,Vertices!$A$10:$F$203, 5, FALSE)</f>
        <v>70</v>
      </c>
      <c r="I254" s="11">
        <f>VLOOKUP($B254,Vertices!$A$10:$F$203, 6, FALSE)</f>
        <v>20</v>
      </c>
      <c r="J254" s="9">
        <f>VLOOKUP($C254,Vertices!$A$10:$F$203, 3, FALSE)</f>
        <v>0</v>
      </c>
      <c r="K254" s="10">
        <f>VLOOKUP($C254,Vertices!$A$10:$F$203, 4, FALSE)</f>
        <v>100</v>
      </c>
      <c r="L254" s="10">
        <f>VLOOKUP($C254,Vertices!$A$10:$F$203, 5, FALSE)</f>
        <v>100</v>
      </c>
      <c r="M254" s="11">
        <f>VLOOKUP($C254,Vertices!$A$10:$F$203, 6, FALSE)</f>
        <v>40</v>
      </c>
      <c r="N254" s="9">
        <f>VLOOKUP($D254,Vertices!$A$10:$F$203, 3, FALSE)</f>
        <v>0</v>
      </c>
      <c r="O254" s="10">
        <f>VLOOKUP($D254,Vertices!$A$10:$F$203, 4, FALSE)</f>
        <v>100</v>
      </c>
      <c r="P254" s="10">
        <f>VLOOKUP($D254,Vertices!$A$10:$F$203, 5, FALSE)</f>
        <v>70</v>
      </c>
      <c r="Q254" s="11">
        <f>VLOOKUP($D254,Vertices!$A$10:$F$203, 6, FALSE)</f>
        <v>40</v>
      </c>
    </row>
    <row r="255" spans="1:17" x14ac:dyDescent="0.25">
      <c r="A255">
        <v>245</v>
      </c>
      <c r="B255">
        <v>109</v>
      </c>
      <c r="C255">
        <v>116</v>
      </c>
      <c r="D255">
        <v>141</v>
      </c>
      <c r="F255" s="9">
        <f>VLOOKUP($B255,Vertices!$A$10:$F$203, 3, FALSE)</f>
        <v>0</v>
      </c>
      <c r="G255" s="10">
        <f>VLOOKUP($B255,Vertices!$A$10:$F$203, 4, FALSE)</f>
        <v>100</v>
      </c>
      <c r="H255" s="10">
        <f>VLOOKUP($B255,Vertices!$A$10:$F$203, 5, FALSE)</f>
        <v>70</v>
      </c>
      <c r="I255" s="11">
        <f>VLOOKUP($B255,Vertices!$A$10:$F$203, 6, FALSE)</f>
        <v>20</v>
      </c>
      <c r="J255" s="9">
        <f>VLOOKUP($C255,Vertices!$A$10:$F$203, 3, FALSE)</f>
        <v>0</v>
      </c>
      <c r="K255" s="10">
        <f>VLOOKUP($C255,Vertices!$A$10:$F$203, 4, FALSE)</f>
        <v>100</v>
      </c>
      <c r="L255" s="10">
        <f>VLOOKUP($C255,Vertices!$A$10:$F$203, 5, FALSE)</f>
        <v>100</v>
      </c>
      <c r="M255" s="11">
        <f>VLOOKUP($C255,Vertices!$A$10:$F$203, 6, FALSE)</f>
        <v>20</v>
      </c>
      <c r="N255" s="9">
        <f>VLOOKUP($D255,Vertices!$A$10:$F$203, 3, FALSE)</f>
        <v>0</v>
      </c>
      <c r="O255" s="10">
        <f>VLOOKUP($D255,Vertices!$A$10:$F$203, 4, FALSE)</f>
        <v>100</v>
      </c>
      <c r="P255" s="10">
        <f>VLOOKUP($D255,Vertices!$A$10:$F$203, 5, FALSE)</f>
        <v>100</v>
      </c>
      <c r="Q255" s="11">
        <f>VLOOKUP($D255,Vertices!$A$10:$F$203, 6, FALSE)</f>
        <v>40</v>
      </c>
    </row>
    <row r="256" spans="1:17" x14ac:dyDescent="0.25">
      <c r="A256">
        <v>246</v>
      </c>
      <c r="B256">
        <v>122</v>
      </c>
      <c r="C256">
        <v>155</v>
      </c>
      <c r="D256">
        <v>146</v>
      </c>
      <c r="F256" s="9">
        <f>VLOOKUP($B256,Vertices!$A$10:$F$203, 3, FALSE)</f>
        <v>0</v>
      </c>
      <c r="G256" s="10">
        <f>VLOOKUP($B256,Vertices!$A$10:$F$203, 4, FALSE)</f>
        <v>100</v>
      </c>
      <c r="H256" s="10">
        <f>VLOOKUP($B256,Vertices!$A$10:$F$203, 5, FALSE)</f>
        <v>0</v>
      </c>
      <c r="I256" s="11">
        <f>VLOOKUP($B256,Vertices!$A$10:$F$203, 6, FALSE)</f>
        <v>40</v>
      </c>
      <c r="J256" s="9">
        <f>VLOOKUP($C256,Vertices!$A$10:$F$203, 3, FALSE)</f>
        <v>0</v>
      </c>
      <c r="K256" s="10">
        <f>VLOOKUP($C256,Vertices!$A$10:$F$203, 4, FALSE)</f>
        <v>100</v>
      </c>
      <c r="L256" s="10">
        <f>VLOOKUP($C256,Vertices!$A$10:$F$203, 5, FALSE)</f>
        <v>20</v>
      </c>
      <c r="M256" s="11">
        <f>VLOOKUP($C256,Vertices!$A$10:$F$203, 6, FALSE)</f>
        <v>60</v>
      </c>
      <c r="N256" s="9">
        <f>VLOOKUP($D256,Vertices!$A$10:$F$203, 3, FALSE)</f>
        <v>0</v>
      </c>
      <c r="O256" s="10">
        <f>VLOOKUP($D256,Vertices!$A$10:$F$203, 4, FALSE)</f>
        <v>100</v>
      </c>
      <c r="P256" s="10">
        <f>VLOOKUP($D256,Vertices!$A$10:$F$203, 5, FALSE)</f>
        <v>0</v>
      </c>
      <c r="Q256" s="11">
        <f>VLOOKUP($D256,Vertices!$A$10:$F$203, 6, FALSE)</f>
        <v>60</v>
      </c>
    </row>
    <row r="257" spans="1:17" x14ac:dyDescent="0.25">
      <c r="A257">
        <v>247</v>
      </c>
      <c r="B257">
        <v>122</v>
      </c>
      <c r="C257">
        <v>131</v>
      </c>
      <c r="D257">
        <v>155</v>
      </c>
      <c r="F257" s="9">
        <f>VLOOKUP($B257,Vertices!$A$10:$F$203, 3, FALSE)</f>
        <v>0</v>
      </c>
      <c r="G257" s="10">
        <f>VLOOKUP($B257,Vertices!$A$10:$F$203, 4, FALSE)</f>
        <v>100</v>
      </c>
      <c r="H257" s="10">
        <f>VLOOKUP($B257,Vertices!$A$10:$F$203, 5, FALSE)</f>
        <v>0</v>
      </c>
      <c r="I257" s="11">
        <f>VLOOKUP($B257,Vertices!$A$10:$F$203, 6, FALSE)</f>
        <v>40</v>
      </c>
      <c r="J257" s="9">
        <f>VLOOKUP($C257,Vertices!$A$10:$F$203, 3, FALSE)</f>
        <v>0</v>
      </c>
      <c r="K257" s="10">
        <f>VLOOKUP($C257,Vertices!$A$10:$F$203, 4, FALSE)</f>
        <v>100</v>
      </c>
      <c r="L257" s="10">
        <f>VLOOKUP($C257,Vertices!$A$10:$F$203, 5, FALSE)</f>
        <v>20</v>
      </c>
      <c r="M257" s="11">
        <f>VLOOKUP($C257,Vertices!$A$10:$F$203, 6, FALSE)</f>
        <v>40</v>
      </c>
      <c r="N257" s="9">
        <f>VLOOKUP($D257,Vertices!$A$10:$F$203, 3, FALSE)</f>
        <v>0</v>
      </c>
      <c r="O257" s="10">
        <f>VLOOKUP($D257,Vertices!$A$10:$F$203, 4, FALSE)</f>
        <v>100</v>
      </c>
      <c r="P257" s="10">
        <f>VLOOKUP($D257,Vertices!$A$10:$F$203, 5, FALSE)</f>
        <v>20</v>
      </c>
      <c r="Q257" s="11">
        <f>VLOOKUP($D257,Vertices!$A$10:$F$203, 6, FALSE)</f>
        <v>60</v>
      </c>
    </row>
    <row r="258" spans="1:17" x14ac:dyDescent="0.25">
      <c r="A258">
        <v>248</v>
      </c>
      <c r="B258">
        <v>131</v>
      </c>
      <c r="C258">
        <v>157</v>
      </c>
      <c r="D258">
        <v>155</v>
      </c>
      <c r="F258" s="9">
        <f>VLOOKUP($B258,Vertices!$A$10:$F$203, 3, FALSE)</f>
        <v>0</v>
      </c>
      <c r="G258" s="10">
        <f>VLOOKUP($B258,Vertices!$A$10:$F$203, 4, FALSE)</f>
        <v>100</v>
      </c>
      <c r="H258" s="10">
        <f>VLOOKUP($B258,Vertices!$A$10:$F$203, 5, FALSE)</f>
        <v>20</v>
      </c>
      <c r="I258" s="11">
        <f>VLOOKUP($B258,Vertices!$A$10:$F$203, 6, FALSE)</f>
        <v>40</v>
      </c>
      <c r="J258" s="9">
        <f>VLOOKUP($C258,Vertices!$A$10:$F$203, 3, FALSE)</f>
        <v>0</v>
      </c>
      <c r="K258" s="10">
        <f>VLOOKUP($C258,Vertices!$A$10:$F$203, 4, FALSE)</f>
        <v>100</v>
      </c>
      <c r="L258" s="10">
        <f>VLOOKUP($C258,Vertices!$A$10:$F$203, 5, FALSE)</f>
        <v>40</v>
      </c>
      <c r="M258" s="11">
        <f>VLOOKUP($C258,Vertices!$A$10:$F$203, 6, FALSE)</f>
        <v>60</v>
      </c>
      <c r="N258" s="9">
        <f>VLOOKUP($D258,Vertices!$A$10:$F$203, 3, FALSE)</f>
        <v>0</v>
      </c>
      <c r="O258" s="10">
        <f>VLOOKUP($D258,Vertices!$A$10:$F$203, 4, FALSE)</f>
        <v>100</v>
      </c>
      <c r="P258" s="10">
        <f>VLOOKUP($D258,Vertices!$A$10:$F$203, 5, FALSE)</f>
        <v>20</v>
      </c>
      <c r="Q258" s="11">
        <f>VLOOKUP($D258,Vertices!$A$10:$F$203, 6, FALSE)</f>
        <v>60</v>
      </c>
    </row>
    <row r="259" spans="1:17" x14ac:dyDescent="0.25">
      <c r="A259">
        <v>249</v>
      </c>
      <c r="B259">
        <v>131</v>
      </c>
      <c r="C259">
        <v>133</v>
      </c>
      <c r="D259">
        <v>157</v>
      </c>
      <c r="F259" s="9">
        <f>VLOOKUP($B259,Vertices!$A$10:$F$203, 3, FALSE)</f>
        <v>0</v>
      </c>
      <c r="G259" s="10">
        <f>VLOOKUP($B259,Vertices!$A$10:$F$203, 4, FALSE)</f>
        <v>100</v>
      </c>
      <c r="H259" s="10">
        <f>VLOOKUP($B259,Vertices!$A$10:$F$203, 5, FALSE)</f>
        <v>20</v>
      </c>
      <c r="I259" s="11">
        <f>VLOOKUP($B259,Vertices!$A$10:$F$203, 6, FALSE)</f>
        <v>40</v>
      </c>
      <c r="J259" s="9">
        <f>VLOOKUP($C259,Vertices!$A$10:$F$203, 3, FALSE)</f>
        <v>0</v>
      </c>
      <c r="K259" s="10">
        <f>VLOOKUP($C259,Vertices!$A$10:$F$203, 4, FALSE)</f>
        <v>100</v>
      </c>
      <c r="L259" s="10">
        <f>VLOOKUP($C259,Vertices!$A$10:$F$203, 5, FALSE)</f>
        <v>40</v>
      </c>
      <c r="M259" s="11">
        <f>VLOOKUP($C259,Vertices!$A$10:$F$203, 6, FALSE)</f>
        <v>40</v>
      </c>
      <c r="N259" s="9">
        <f>VLOOKUP($D259,Vertices!$A$10:$F$203, 3, FALSE)</f>
        <v>0</v>
      </c>
      <c r="O259" s="10">
        <f>VLOOKUP($D259,Vertices!$A$10:$F$203, 4, FALSE)</f>
        <v>100</v>
      </c>
      <c r="P259" s="10">
        <f>VLOOKUP($D259,Vertices!$A$10:$F$203, 5, FALSE)</f>
        <v>40</v>
      </c>
      <c r="Q259" s="11">
        <f>VLOOKUP($D259,Vertices!$A$10:$F$203, 6, FALSE)</f>
        <v>60</v>
      </c>
    </row>
    <row r="260" spans="1:17" x14ac:dyDescent="0.25">
      <c r="A260">
        <v>250</v>
      </c>
      <c r="B260">
        <v>133</v>
      </c>
      <c r="C260">
        <v>159</v>
      </c>
      <c r="D260">
        <v>157</v>
      </c>
      <c r="F260" s="9">
        <f>VLOOKUP($B260,Vertices!$A$10:$F$203, 3, FALSE)</f>
        <v>0</v>
      </c>
      <c r="G260" s="10">
        <f>VLOOKUP($B260,Vertices!$A$10:$F$203, 4, FALSE)</f>
        <v>100</v>
      </c>
      <c r="H260" s="10">
        <f>VLOOKUP($B260,Vertices!$A$10:$F$203, 5, FALSE)</f>
        <v>40</v>
      </c>
      <c r="I260" s="11">
        <f>VLOOKUP($B260,Vertices!$A$10:$F$203, 6, FALSE)</f>
        <v>40</v>
      </c>
      <c r="J260" s="9">
        <f>VLOOKUP($C260,Vertices!$A$10:$F$203, 3, FALSE)</f>
        <v>0</v>
      </c>
      <c r="K260" s="10">
        <f>VLOOKUP($C260,Vertices!$A$10:$F$203, 4, FALSE)</f>
        <v>100</v>
      </c>
      <c r="L260" s="10">
        <f>VLOOKUP($C260,Vertices!$A$10:$F$203, 5, FALSE)</f>
        <v>70</v>
      </c>
      <c r="M260" s="11">
        <f>VLOOKUP($C260,Vertices!$A$10:$F$203, 6, FALSE)</f>
        <v>60</v>
      </c>
      <c r="N260" s="9">
        <f>VLOOKUP($D260,Vertices!$A$10:$F$203, 3, FALSE)</f>
        <v>0</v>
      </c>
      <c r="O260" s="10">
        <f>VLOOKUP($D260,Vertices!$A$10:$F$203, 4, FALSE)</f>
        <v>100</v>
      </c>
      <c r="P260" s="10">
        <f>VLOOKUP($D260,Vertices!$A$10:$F$203, 5, FALSE)</f>
        <v>40</v>
      </c>
      <c r="Q260" s="11">
        <f>VLOOKUP($D260,Vertices!$A$10:$F$203, 6, FALSE)</f>
        <v>60</v>
      </c>
    </row>
    <row r="261" spans="1:17" x14ac:dyDescent="0.25">
      <c r="A261">
        <v>251</v>
      </c>
      <c r="B261">
        <v>133</v>
      </c>
      <c r="C261">
        <v>135</v>
      </c>
      <c r="D261">
        <v>159</v>
      </c>
      <c r="F261" s="9">
        <f>VLOOKUP($B261,Vertices!$A$10:$F$203, 3, FALSE)</f>
        <v>0</v>
      </c>
      <c r="G261" s="10">
        <f>VLOOKUP($B261,Vertices!$A$10:$F$203, 4, FALSE)</f>
        <v>100</v>
      </c>
      <c r="H261" s="10">
        <f>VLOOKUP($B261,Vertices!$A$10:$F$203, 5, FALSE)</f>
        <v>40</v>
      </c>
      <c r="I261" s="11">
        <f>VLOOKUP($B261,Vertices!$A$10:$F$203, 6, FALSE)</f>
        <v>40</v>
      </c>
      <c r="J261" s="9">
        <f>VLOOKUP($C261,Vertices!$A$10:$F$203, 3, FALSE)</f>
        <v>0</v>
      </c>
      <c r="K261" s="10">
        <f>VLOOKUP($C261,Vertices!$A$10:$F$203, 4, FALSE)</f>
        <v>100</v>
      </c>
      <c r="L261" s="10">
        <f>VLOOKUP($C261,Vertices!$A$10:$F$203, 5, FALSE)</f>
        <v>70</v>
      </c>
      <c r="M261" s="11">
        <f>VLOOKUP($C261,Vertices!$A$10:$F$203, 6, FALSE)</f>
        <v>40</v>
      </c>
      <c r="N261" s="9">
        <f>VLOOKUP($D261,Vertices!$A$10:$F$203, 3, FALSE)</f>
        <v>0</v>
      </c>
      <c r="O261" s="10">
        <f>VLOOKUP($D261,Vertices!$A$10:$F$203, 4, FALSE)</f>
        <v>100</v>
      </c>
      <c r="P261" s="10">
        <f>VLOOKUP($D261,Vertices!$A$10:$F$203, 5, FALSE)</f>
        <v>70</v>
      </c>
      <c r="Q261" s="11">
        <f>VLOOKUP($D261,Vertices!$A$10:$F$203, 6, FALSE)</f>
        <v>60</v>
      </c>
    </row>
    <row r="262" spans="1:17" x14ac:dyDescent="0.25">
      <c r="A262">
        <v>252</v>
      </c>
      <c r="B262">
        <v>135</v>
      </c>
      <c r="C262">
        <v>165</v>
      </c>
      <c r="D262">
        <v>159</v>
      </c>
      <c r="F262" s="9">
        <f>VLOOKUP($B262,Vertices!$A$10:$F$203, 3, FALSE)</f>
        <v>0</v>
      </c>
      <c r="G262" s="10">
        <f>VLOOKUP($B262,Vertices!$A$10:$F$203, 4, FALSE)</f>
        <v>100</v>
      </c>
      <c r="H262" s="10">
        <f>VLOOKUP($B262,Vertices!$A$10:$F$203, 5, FALSE)</f>
        <v>70</v>
      </c>
      <c r="I262" s="11">
        <f>VLOOKUP($B262,Vertices!$A$10:$F$203, 6, FALSE)</f>
        <v>40</v>
      </c>
      <c r="J262" s="9">
        <f>VLOOKUP($C262,Vertices!$A$10:$F$203, 3, FALSE)</f>
        <v>0</v>
      </c>
      <c r="K262" s="10">
        <f>VLOOKUP($C262,Vertices!$A$10:$F$203, 4, FALSE)</f>
        <v>100</v>
      </c>
      <c r="L262" s="10">
        <f>VLOOKUP($C262,Vertices!$A$10:$F$203, 5, FALSE)</f>
        <v>100</v>
      </c>
      <c r="M262" s="11">
        <f>VLOOKUP($C262,Vertices!$A$10:$F$203, 6, FALSE)</f>
        <v>60</v>
      </c>
      <c r="N262" s="9">
        <f>VLOOKUP($D262,Vertices!$A$10:$F$203, 3, FALSE)</f>
        <v>0</v>
      </c>
      <c r="O262" s="10">
        <f>VLOOKUP($D262,Vertices!$A$10:$F$203, 4, FALSE)</f>
        <v>100</v>
      </c>
      <c r="P262" s="10">
        <f>VLOOKUP($D262,Vertices!$A$10:$F$203, 5, FALSE)</f>
        <v>70</v>
      </c>
      <c r="Q262" s="11">
        <f>VLOOKUP($D262,Vertices!$A$10:$F$203, 6, FALSE)</f>
        <v>60</v>
      </c>
    </row>
    <row r="263" spans="1:17" x14ac:dyDescent="0.25">
      <c r="A263">
        <v>253</v>
      </c>
      <c r="B263">
        <v>135</v>
      </c>
      <c r="C263">
        <v>141</v>
      </c>
      <c r="D263">
        <v>165</v>
      </c>
      <c r="F263" s="9">
        <f>VLOOKUP($B263,Vertices!$A$10:$F$203, 3, FALSE)</f>
        <v>0</v>
      </c>
      <c r="G263" s="10">
        <f>VLOOKUP($B263,Vertices!$A$10:$F$203, 4, FALSE)</f>
        <v>100</v>
      </c>
      <c r="H263" s="10">
        <f>VLOOKUP($B263,Vertices!$A$10:$F$203, 5, FALSE)</f>
        <v>70</v>
      </c>
      <c r="I263" s="11">
        <f>VLOOKUP($B263,Vertices!$A$10:$F$203, 6, FALSE)</f>
        <v>40</v>
      </c>
      <c r="J263" s="9">
        <f>VLOOKUP($C263,Vertices!$A$10:$F$203, 3, FALSE)</f>
        <v>0</v>
      </c>
      <c r="K263" s="10">
        <f>VLOOKUP($C263,Vertices!$A$10:$F$203, 4, FALSE)</f>
        <v>100</v>
      </c>
      <c r="L263" s="10">
        <f>VLOOKUP($C263,Vertices!$A$10:$F$203, 5, FALSE)</f>
        <v>100</v>
      </c>
      <c r="M263" s="11">
        <f>VLOOKUP($C263,Vertices!$A$10:$F$203, 6, FALSE)</f>
        <v>40</v>
      </c>
      <c r="N263" s="9">
        <f>VLOOKUP($D263,Vertices!$A$10:$F$203, 3, FALSE)</f>
        <v>0</v>
      </c>
      <c r="O263" s="10">
        <f>VLOOKUP($D263,Vertices!$A$10:$F$203, 4, FALSE)</f>
        <v>100</v>
      </c>
      <c r="P263" s="10">
        <f>VLOOKUP($D263,Vertices!$A$10:$F$203, 5, FALSE)</f>
        <v>100</v>
      </c>
      <c r="Q263" s="11">
        <f>VLOOKUP($D263,Vertices!$A$10:$F$203, 6, FALSE)</f>
        <v>60</v>
      </c>
    </row>
    <row r="264" spans="1:17" x14ac:dyDescent="0.25">
      <c r="A264">
        <v>254</v>
      </c>
      <c r="B264">
        <v>146</v>
      </c>
      <c r="C264">
        <v>155</v>
      </c>
      <c r="D264">
        <v>170</v>
      </c>
      <c r="F264" s="9">
        <f>VLOOKUP($B264,Vertices!$A$10:$F$203, 3, FALSE)</f>
        <v>0</v>
      </c>
      <c r="G264" s="10">
        <f>VLOOKUP($B264,Vertices!$A$10:$F$203, 4, FALSE)</f>
        <v>100</v>
      </c>
      <c r="H264" s="10">
        <f>VLOOKUP($B264,Vertices!$A$10:$F$203, 5, FALSE)</f>
        <v>0</v>
      </c>
      <c r="I264" s="11">
        <f>VLOOKUP($B264,Vertices!$A$10:$F$203, 6, FALSE)</f>
        <v>60</v>
      </c>
      <c r="J264" s="9">
        <f>VLOOKUP($C264,Vertices!$A$10:$F$203, 3, FALSE)</f>
        <v>0</v>
      </c>
      <c r="K264" s="10">
        <f>VLOOKUP($C264,Vertices!$A$10:$F$203, 4, FALSE)</f>
        <v>100</v>
      </c>
      <c r="L264" s="10">
        <f>VLOOKUP($C264,Vertices!$A$10:$F$203, 5, FALSE)</f>
        <v>20</v>
      </c>
      <c r="M264" s="11">
        <f>VLOOKUP($C264,Vertices!$A$10:$F$203, 6, FALSE)</f>
        <v>60</v>
      </c>
      <c r="N264" s="9">
        <f>VLOOKUP($D264,Vertices!$A$10:$F$203, 3, FALSE)</f>
        <v>0</v>
      </c>
      <c r="O264" s="10">
        <f>VLOOKUP($D264,Vertices!$A$10:$F$203, 4, FALSE)</f>
        <v>100</v>
      </c>
      <c r="P264" s="10">
        <f>VLOOKUP($D264,Vertices!$A$10:$F$203, 5, FALSE)</f>
        <v>0</v>
      </c>
      <c r="Q264" s="11">
        <f>VLOOKUP($D264,Vertices!$A$10:$F$203, 6, FALSE)</f>
        <v>80</v>
      </c>
    </row>
    <row r="265" spans="1:17" x14ac:dyDescent="0.25">
      <c r="A265">
        <v>255</v>
      </c>
      <c r="B265">
        <v>155</v>
      </c>
      <c r="C265">
        <v>177</v>
      </c>
      <c r="D265">
        <v>170</v>
      </c>
      <c r="F265" s="9">
        <f>VLOOKUP($B265,Vertices!$A$10:$F$203, 3, FALSE)</f>
        <v>0</v>
      </c>
      <c r="G265" s="10">
        <f>VLOOKUP($B265,Vertices!$A$10:$F$203, 4, FALSE)</f>
        <v>100</v>
      </c>
      <c r="H265" s="10">
        <f>VLOOKUP($B265,Vertices!$A$10:$F$203, 5, FALSE)</f>
        <v>20</v>
      </c>
      <c r="I265" s="11">
        <f>VLOOKUP($B265,Vertices!$A$10:$F$203, 6, FALSE)</f>
        <v>60</v>
      </c>
      <c r="J265" s="9">
        <f>VLOOKUP($C265,Vertices!$A$10:$F$203, 3, FALSE)</f>
        <v>0</v>
      </c>
      <c r="K265" s="10">
        <f>VLOOKUP($C265,Vertices!$A$10:$F$203, 4, FALSE)</f>
        <v>100</v>
      </c>
      <c r="L265" s="10">
        <f>VLOOKUP($C265,Vertices!$A$10:$F$203, 5, FALSE)</f>
        <v>40</v>
      </c>
      <c r="M265" s="11">
        <f>VLOOKUP($C265,Vertices!$A$10:$F$203, 6, FALSE)</f>
        <v>80</v>
      </c>
      <c r="N265" s="9">
        <f>VLOOKUP($D265,Vertices!$A$10:$F$203, 3, FALSE)</f>
        <v>0</v>
      </c>
      <c r="O265" s="10">
        <f>VLOOKUP($D265,Vertices!$A$10:$F$203, 4, FALSE)</f>
        <v>100</v>
      </c>
      <c r="P265" s="10">
        <f>VLOOKUP($D265,Vertices!$A$10:$F$203, 5, FALSE)</f>
        <v>0</v>
      </c>
      <c r="Q265" s="11">
        <f>VLOOKUP($D265,Vertices!$A$10:$F$203, 6, FALSE)</f>
        <v>80</v>
      </c>
    </row>
    <row r="266" spans="1:17" x14ac:dyDescent="0.25">
      <c r="A266">
        <v>256</v>
      </c>
      <c r="B266">
        <v>155</v>
      </c>
      <c r="C266">
        <v>157</v>
      </c>
      <c r="D266">
        <v>177</v>
      </c>
      <c r="F266" s="9">
        <f>VLOOKUP($B266,Vertices!$A$10:$F$203, 3, FALSE)</f>
        <v>0</v>
      </c>
      <c r="G266" s="10">
        <f>VLOOKUP($B266,Vertices!$A$10:$F$203, 4, FALSE)</f>
        <v>100</v>
      </c>
      <c r="H266" s="10">
        <f>VLOOKUP($B266,Vertices!$A$10:$F$203, 5, FALSE)</f>
        <v>20</v>
      </c>
      <c r="I266" s="11">
        <f>VLOOKUP($B266,Vertices!$A$10:$F$203, 6, FALSE)</f>
        <v>60</v>
      </c>
      <c r="J266" s="9">
        <f>VLOOKUP($C266,Vertices!$A$10:$F$203, 3, FALSE)</f>
        <v>0</v>
      </c>
      <c r="K266" s="10">
        <f>VLOOKUP($C266,Vertices!$A$10:$F$203, 4, FALSE)</f>
        <v>100</v>
      </c>
      <c r="L266" s="10">
        <f>VLOOKUP($C266,Vertices!$A$10:$F$203, 5, FALSE)</f>
        <v>40</v>
      </c>
      <c r="M266" s="11">
        <f>VLOOKUP($C266,Vertices!$A$10:$F$203, 6, FALSE)</f>
        <v>60</v>
      </c>
      <c r="N266" s="9">
        <f>VLOOKUP($D266,Vertices!$A$10:$F$203, 3, FALSE)</f>
        <v>0</v>
      </c>
      <c r="O266" s="10">
        <f>VLOOKUP($D266,Vertices!$A$10:$F$203, 4, FALSE)</f>
        <v>100</v>
      </c>
      <c r="P266" s="10">
        <f>VLOOKUP($D266,Vertices!$A$10:$F$203, 5, FALSE)</f>
        <v>40</v>
      </c>
      <c r="Q266" s="11">
        <f>VLOOKUP($D266,Vertices!$A$10:$F$203, 6, FALSE)</f>
        <v>80</v>
      </c>
    </row>
    <row r="267" spans="1:17" x14ac:dyDescent="0.25">
      <c r="A267">
        <v>257</v>
      </c>
      <c r="B267">
        <v>157</v>
      </c>
      <c r="C267">
        <v>179</v>
      </c>
      <c r="D267">
        <v>177</v>
      </c>
      <c r="F267" s="9">
        <f>VLOOKUP($B267,Vertices!$A$10:$F$203, 3, FALSE)</f>
        <v>0</v>
      </c>
      <c r="G267" s="10">
        <f>VLOOKUP($B267,Vertices!$A$10:$F$203, 4, FALSE)</f>
        <v>100</v>
      </c>
      <c r="H267" s="10">
        <f>VLOOKUP($B267,Vertices!$A$10:$F$203, 5, FALSE)</f>
        <v>40</v>
      </c>
      <c r="I267" s="11">
        <f>VLOOKUP($B267,Vertices!$A$10:$F$203, 6, FALSE)</f>
        <v>60</v>
      </c>
      <c r="J267" s="9">
        <f>VLOOKUP($C267,Vertices!$A$10:$F$203, 3, FALSE)</f>
        <v>0</v>
      </c>
      <c r="K267" s="10">
        <f>VLOOKUP($C267,Vertices!$A$10:$F$203, 4, FALSE)</f>
        <v>100</v>
      </c>
      <c r="L267" s="10">
        <f>VLOOKUP($C267,Vertices!$A$10:$F$203, 5, FALSE)</f>
        <v>70</v>
      </c>
      <c r="M267" s="11">
        <f>VLOOKUP($C267,Vertices!$A$10:$F$203, 6, FALSE)</f>
        <v>80</v>
      </c>
      <c r="N267" s="9">
        <f>VLOOKUP($D267,Vertices!$A$10:$F$203, 3, FALSE)</f>
        <v>0</v>
      </c>
      <c r="O267" s="10">
        <f>VLOOKUP($D267,Vertices!$A$10:$F$203, 4, FALSE)</f>
        <v>100</v>
      </c>
      <c r="P267" s="10">
        <f>VLOOKUP($D267,Vertices!$A$10:$F$203, 5, FALSE)</f>
        <v>40</v>
      </c>
      <c r="Q267" s="11">
        <f>VLOOKUP($D267,Vertices!$A$10:$F$203, 6, FALSE)</f>
        <v>80</v>
      </c>
    </row>
    <row r="268" spans="1:17" x14ac:dyDescent="0.25">
      <c r="A268">
        <v>258</v>
      </c>
      <c r="B268">
        <v>157</v>
      </c>
      <c r="C268">
        <v>159</v>
      </c>
      <c r="D268">
        <v>179</v>
      </c>
      <c r="F268" s="9">
        <f>VLOOKUP($B268,Vertices!$A$10:$F$203, 3, FALSE)</f>
        <v>0</v>
      </c>
      <c r="G268" s="10">
        <f>VLOOKUP($B268,Vertices!$A$10:$F$203, 4, FALSE)</f>
        <v>100</v>
      </c>
      <c r="H268" s="10">
        <f>VLOOKUP($B268,Vertices!$A$10:$F$203, 5, FALSE)</f>
        <v>40</v>
      </c>
      <c r="I268" s="11">
        <f>VLOOKUP($B268,Vertices!$A$10:$F$203, 6, FALSE)</f>
        <v>60</v>
      </c>
      <c r="J268" s="9">
        <f>VLOOKUP($C268,Vertices!$A$10:$F$203, 3, FALSE)</f>
        <v>0</v>
      </c>
      <c r="K268" s="10">
        <f>VLOOKUP($C268,Vertices!$A$10:$F$203, 4, FALSE)</f>
        <v>100</v>
      </c>
      <c r="L268" s="10">
        <f>VLOOKUP($C268,Vertices!$A$10:$F$203, 5, FALSE)</f>
        <v>70</v>
      </c>
      <c r="M268" s="11">
        <f>VLOOKUP($C268,Vertices!$A$10:$F$203, 6, FALSE)</f>
        <v>60</v>
      </c>
      <c r="N268" s="9">
        <f>VLOOKUP($D268,Vertices!$A$10:$F$203, 3, FALSE)</f>
        <v>0</v>
      </c>
      <c r="O268" s="10">
        <f>VLOOKUP($D268,Vertices!$A$10:$F$203, 4, FALSE)</f>
        <v>100</v>
      </c>
      <c r="P268" s="10">
        <f>VLOOKUP($D268,Vertices!$A$10:$F$203, 5, FALSE)</f>
        <v>70</v>
      </c>
      <c r="Q268" s="11">
        <f>VLOOKUP($D268,Vertices!$A$10:$F$203, 6, FALSE)</f>
        <v>80</v>
      </c>
    </row>
    <row r="269" spans="1:17" x14ac:dyDescent="0.25">
      <c r="A269">
        <v>259</v>
      </c>
      <c r="B269">
        <v>159</v>
      </c>
      <c r="C269">
        <v>184</v>
      </c>
      <c r="D269">
        <v>179</v>
      </c>
      <c r="F269" s="9">
        <f>VLOOKUP($B269,Vertices!$A$10:$F$203, 3, FALSE)</f>
        <v>0</v>
      </c>
      <c r="G269" s="10">
        <f>VLOOKUP($B269,Vertices!$A$10:$F$203, 4, FALSE)</f>
        <v>100</v>
      </c>
      <c r="H269" s="10">
        <f>VLOOKUP($B269,Vertices!$A$10:$F$203, 5, FALSE)</f>
        <v>70</v>
      </c>
      <c r="I269" s="11">
        <f>VLOOKUP($B269,Vertices!$A$10:$F$203, 6, FALSE)</f>
        <v>60</v>
      </c>
      <c r="J269" s="9">
        <f>VLOOKUP($C269,Vertices!$A$10:$F$203, 3, FALSE)</f>
        <v>0</v>
      </c>
      <c r="K269" s="10">
        <f>VLOOKUP($C269,Vertices!$A$10:$F$203, 4, FALSE)</f>
        <v>100</v>
      </c>
      <c r="L269" s="10">
        <f>VLOOKUP($C269,Vertices!$A$10:$F$203, 5, FALSE)</f>
        <v>100</v>
      </c>
      <c r="M269" s="11">
        <f>VLOOKUP($C269,Vertices!$A$10:$F$203, 6, FALSE)</f>
        <v>80</v>
      </c>
      <c r="N269" s="9">
        <f>VLOOKUP($D269,Vertices!$A$10:$F$203, 3, FALSE)</f>
        <v>0</v>
      </c>
      <c r="O269" s="10">
        <f>VLOOKUP($D269,Vertices!$A$10:$F$203, 4, FALSE)</f>
        <v>100</v>
      </c>
      <c r="P269" s="10">
        <f>VLOOKUP($D269,Vertices!$A$10:$F$203, 5, FALSE)</f>
        <v>70</v>
      </c>
      <c r="Q269" s="11">
        <f>VLOOKUP($D269,Vertices!$A$10:$F$203, 6, FALSE)</f>
        <v>80</v>
      </c>
    </row>
    <row r="270" spans="1:17" x14ac:dyDescent="0.25">
      <c r="A270">
        <v>260</v>
      </c>
      <c r="B270">
        <v>159</v>
      </c>
      <c r="C270">
        <v>165</v>
      </c>
      <c r="D270">
        <v>184</v>
      </c>
      <c r="F270" s="9">
        <f>VLOOKUP($B270,Vertices!$A$10:$F$203, 3, FALSE)</f>
        <v>0</v>
      </c>
      <c r="G270" s="10">
        <f>VLOOKUP($B270,Vertices!$A$10:$F$203, 4, FALSE)</f>
        <v>100</v>
      </c>
      <c r="H270" s="10">
        <f>VLOOKUP($B270,Vertices!$A$10:$F$203, 5, FALSE)</f>
        <v>70</v>
      </c>
      <c r="I270" s="11">
        <f>VLOOKUP($B270,Vertices!$A$10:$F$203, 6, FALSE)</f>
        <v>60</v>
      </c>
      <c r="J270" s="9">
        <f>VLOOKUP($C270,Vertices!$A$10:$F$203, 3, FALSE)</f>
        <v>0</v>
      </c>
      <c r="K270" s="10">
        <f>VLOOKUP($C270,Vertices!$A$10:$F$203, 4, FALSE)</f>
        <v>100</v>
      </c>
      <c r="L270" s="10">
        <f>VLOOKUP($C270,Vertices!$A$10:$F$203, 5, FALSE)</f>
        <v>100</v>
      </c>
      <c r="M270" s="11">
        <f>VLOOKUP($C270,Vertices!$A$10:$F$203, 6, FALSE)</f>
        <v>60</v>
      </c>
      <c r="N270" s="9">
        <f>VLOOKUP($D270,Vertices!$A$10:$F$203, 3, FALSE)</f>
        <v>0</v>
      </c>
      <c r="O270" s="10">
        <f>VLOOKUP($D270,Vertices!$A$10:$F$203, 4, FALSE)</f>
        <v>100</v>
      </c>
      <c r="P270" s="10">
        <f>VLOOKUP($D270,Vertices!$A$10:$F$203, 5, FALSE)</f>
        <v>100</v>
      </c>
      <c r="Q270" s="11">
        <f>VLOOKUP($D270,Vertices!$A$10:$F$203, 6, FALSE)</f>
        <v>80</v>
      </c>
    </row>
    <row r="271" spans="1:17" x14ac:dyDescent="0.25">
      <c r="A271">
        <v>261</v>
      </c>
      <c r="B271">
        <v>170</v>
      </c>
      <c r="C271">
        <v>177</v>
      </c>
      <c r="D271">
        <v>188</v>
      </c>
      <c r="F271" s="9">
        <f>VLOOKUP($B271,Vertices!$A$10:$F$203, 3, FALSE)</f>
        <v>0</v>
      </c>
      <c r="G271" s="10">
        <f>VLOOKUP($B271,Vertices!$A$10:$F$203, 4, FALSE)</f>
        <v>100</v>
      </c>
      <c r="H271" s="10">
        <f>VLOOKUP($B271,Vertices!$A$10:$F$203, 5, FALSE)</f>
        <v>0</v>
      </c>
      <c r="I271" s="11">
        <f>VLOOKUP($B271,Vertices!$A$10:$F$203, 6, FALSE)</f>
        <v>80</v>
      </c>
      <c r="J271" s="9">
        <f>VLOOKUP($C271,Vertices!$A$10:$F$203, 3, FALSE)</f>
        <v>0</v>
      </c>
      <c r="K271" s="10">
        <f>VLOOKUP($C271,Vertices!$A$10:$F$203, 4, FALSE)</f>
        <v>100</v>
      </c>
      <c r="L271" s="10">
        <f>VLOOKUP($C271,Vertices!$A$10:$F$203, 5, FALSE)</f>
        <v>40</v>
      </c>
      <c r="M271" s="11">
        <f>VLOOKUP($C271,Vertices!$A$10:$F$203, 6, FALSE)</f>
        <v>80</v>
      </c>
      <c r="N271" s="9">
        <f>VLOOKUP($D271,Vertices!$A$10:$F$203, 3, FALSE)</f>
        <v>0</v>
      </c>
      <c r="O271" s="10">
        <f>VLOOKUP($D271,Vertices!$A$10:$F$203, 4, FALSE)</f>
        <v>100</v>
      </c>
      <c r="P271" s="10">
        <f>VLOOKUP($D271,Vertices!$A$10:$F$203, 5, FALSE)</f>
        <v>0</v>
      </c>
      <c r="Q271" s="11">
        <f>VLOOKUP($D271,Vertices!$A$10:$F$203, 6, FALSE)</f>
        <v>100</v>
      </c>
    </row>
    <row r="272" spans="1:17" x14ac:dyDescent="0.25">
      <c r="A272">
        <v>262</v>
      </c>
      <c r="B272">
        <v>177</v>
      </c>
      <c r="C272">
        <v>192</v>
      </c>
      <c r="D272">
        <v>188</v>
      </c>
      <c r="F272" s="9">
        <f>VLOOKUP($B272,Vertices!$A$10:$F$203, 3, FALSE)</f>
        <v>0</v>
      </c>
      <c r="G272" s="10">
        <f>VLOOKUP($B272,Vertices!$A$10:$F$203, 4, FALSE)</f>
        <v>100</v>
      </c>
      <c r="H272" s="10">
        <f>VLOOKUP($B272,Vertices!$A$10:$F$203, 5, FALSE)</f>
        <v>40</v>
      </c>
      <c r="I272" s="11">
        <f>VLOOKUP($B272,Vertices!$A$10:$F$203, 6, FALSE)</f>
        <v>80</v>
      </c>
      <c r="J272" s="9">
        <f>VLOOKUP($C272,Vertices!$A$10:$F$203, 3, FALSE)</f>
        <v>0</v>
      </c>
      <c r="K272" s="10">
        <f>VLOOKUP($C272,Vertices!$A$10:$F$203, 4, FALSE)</f>
        <v>100</v>
      </c>
      <c r="L272" s="10">
        <f>VLOOKUP($C272,Vertices!$A$10:$F$203, 5, FALSE)</f>
        <v>100</v>
      </c>
      <c r="M272" s="11">
        <f>VLOOKUP($C272,Vertices!$A$10:$F$203, 6, FALSE)</f>
        <v>100</v>
      </c>
      <c r="N272" s="9">
        <f>VLOOKUP($D272,Vertices!$A$10:$F$203, 3, FALSE)</f>
        <v>0</v>
      </c>
      <c r="O272" s="10">
        <f>VLOOKUP($D272,Vertices!$A$10:$F$203, 4, FALSE)</f>
        <v>100</v>
      </c>
      <c r="P272" s="10">
        <f>VLOOKUP($D272,Vertices!$A$10:$F$203, 5, FALSE)</f>
        <v>0</v>
      </c>
      <c r="Q272" s="11">
        <f>VLOOKUP($D272,Vertices!$A$10:$F$203, 6, FALSE)</f>
        <v>100</v>
      </c>
    </row>
    <row r="273" spans="1:17" x14ac:dyDescent="0.25">
      <c r="A273">
        <v>263</v>
      </c>
      <c r="B273">
        <v>177</v>
      </c>
      <c r="C273">
        <v>179</v>
      </c>
      <c r="D273">
        <v>192</v>
      </c>
      <c r="F273" s="9">
        <f>VLOOKUP($B273,Vertices!$A$10:$F$203, 3, FALSE)</f>
        <v>0</v>
      </c>
      <c r="G273" s="10">
        <f>VLOOKUP($B273,Vertices!$A$10:$F$203, 4, FALSE)</f>
        <v>100</v>
      </c>
      <c r="H273" s="10">
        <f>VLOOKUP($B273,Vertices!$A$10:$F$203, 5, FALSE)</f>
        <v>40</v>
      </c>
      <c r="I273" s="11">
        <f>VLOOKUP($B273,Vertices!$A$10:$F$203, 6, FALSE)</f>
        <v>80</v>
      </c>
      <c r="J273" s="9">
        <f>VLOOKUP($C273,Vertices!$A$10:$F$203, 3, FALSE)</f>
        <v>0</v>
      </c>
      <c r="K273" s="10">
        <f>VLOOKUP($C273,Vertices!$A$10:$F$203, 4, FALSE)</f>
        <v>100</v>
      </c>
      <c r="L273" s="10">
        <f>VLOOKUP($C273,Vertices!$A$10:$F$203, 5, FALSE)</f>
        <v>70</v>
      </c>
      <c r="M273" s="11">
        <f>VLOOKUP($C273,Vertices!$A$10:$F$203, 6, FALSE)</f>
        <v>80</v>
      </c>
      <c r="N273" s="9">
        <f>VLOOKUP($D273,Vertices!$A$10:$F$203, 3, FALSE)</f>
        <v>0</v>
      </c>
      <c r="O273" s="10">
        <f>VLOOKUP($D273,Vertices!$A$10:$F$203, 4, FALSE)</f>
        <v>100</v>
      </c>
      <c r="P273" s="10">
        <f>VLOOKUP($D273,Vertices!$A$10:$F$203, 5, FALSE)</f>
        <v>100</v>
      </c>
      <c r="Q273" s="11">
        <f>VLOOKUP($D273,Vertices!$A$10:$F$203, 6, FALSE)</f>
        <v>100</v>
      </c>
    </row>
    <row r="274" spans="1:17" x14ac:dyDescent="0.25">
      <c r="A274">
        <v>264</v>
      </c>
      <c r="B274">
        <v>179</v>
      </c>
      <c r="C274">
        <v>184</v>
      </c>
      <c r="D274">
        <v>192</v>
      </c>
      <c r="F274" s="9">
        <f>VLOOKUP($B274,Vertices!$A$10:$F$203, 3, FALSE)</f>
        <v>0</v>
      </c>
      <c r="G274" s="10">
        <f>VLOOKUP($B274,Vertices!$A$10:$F$203, 4, FALSE)</f>
        <v>100</v>
      </c>
      <c r="H274" s="10">
        <f>VLOOKUP($B274,Vertices!$A$10:$F$203, 5, FALSE)</f>
        <v>70</v>
      </c>
      <c r="I274" s="11">
        <f>VLOOKUP($B274,Vertices!$A$10:$F$203, 6, FALSE)</f>
        <v>80</v>
      </c>
      <c r="J274" s="9">
        <f>VLOOKUP($C274,Vertices!$A$10:$F$203, 3, FALSE)</f>
        <v>0</v>
      </c>
      <c r="K274" s="10">
        <f>VLOOKUP($C274,Vertices!$A$10:$F$203, 4, FALSE)</f>
        <v>100</v>
      </c>
      <c r="L274" s="10">
        <f>VLOOKUP($C274,Vertices!$A$10:$F$203, 5, FALSE)</f>
        <v>100</v>
      </c>
      <c r="M274" s="11">
        <f>VLOOKUP($C274,Vertices!$A$10:$F$203, 6, FALSE)</f>
        <v>80</v>
      </c>
      <c r="N274" s="9">
        <f>VLOOKUP($D274,Vertices!$A$10:$F$203, 3, FALSE)</f>
        <v>0</v>
      </c>
      <c r="O274" s="10">
        <f>VLOOKUP($D274,Vertices!$A$10:$F$203, 4, FALSE)</f>
        <v>100</v>
      </c>
      <c r="P274" s="10">
        <f>VLOOKUP($D274,Vertices!$A$10:$F$203, 5, FALSE)</f>
        <v>100</v>
      </c>
      <c r="Q274" s="11">
        <f>VLOOKUP($D274,Vertices!$A$10:$F$203, 6, FALSE)</f>
        <v>100</v>
      </c>
    </row>
    <row r="275" spans="1:17" x14ac:dyDescent="0.25">
      <c r="A275">
        <v>265</v>
      </c>
      <c r="B275">
        <v>81</v>
      </c>
      <c r="C275">
        <v>111</v>
      </c>
      <c r="D275">
        <v>112</v>
      </c>
      <c r="F275" s="9">
        <f>VLOOKUP($B275,Vertices!$A$10:$F$203, 3, FALSE)</f>
        <v>0</v>
      </c>
      <c r="G275" s="10">
        <f>VLOOKUP($B275,Vertices!$A$10:$F$203, 4, FALSE)</f>
        <v>0</v>
      </c>
      <c r="H275" s="10">
        <f>VLOOKUP($B275,Vertices!$A$10:$F$203, 5, FALSE)</f>
        <v>100</v>
      </c>
      <c r="I275" s="11">
        <f>VLOOKUP($B275,Vertices!$A$10:$F$203, 6, FALSE)</f>
        <v>0</v>
      </c>
      <c r="J275" s="9">
        <f>VLOOKUP($C275,Vertices!$A$10:$F$203, 3, FALSE)</f>
        <v>0</v>
      </c>
      <c r="K275" s="10">
        <f>VLOOKUP($C275,Vertices!$A$10:$F$203, 4, FALSE)</f>
        <v>0</v>
      </c>
      <c r="L275" s="10">
        <f>VLOOKUP($C275,Vertices!$A$10:$F$203, 5, FALSE)</f>
        <v>100</v>
      </c>
      <c r="M275" s="11">
        <f>VLOOKUP($C275,Vertices!$A$10:$F$203, 6, FALSE)</f>
        <v>20</v>
      </c>
      <c r="N275" s="9">
        <f>VLOOKUP($D275,Vertices!$A$10:$F$203, 3, FALSE)</f>
        <v>0</v>
      </c>
      <c r="O275" s="10">
        <f>VLOOKUP($D275,Vertices!$A$10:$F$203, 4, FALSE)</f>
        <v>10</v>
      </c>
      <c r="P275" s="10">
        <f>VLOOKUP($D275,Vertices!$A$10:$F$203, 5, FALSE)</f>
        <v>100</v>
      </c>
      <c r="Q275" s="11">
        <f>VLOOKUP($D275,Vertices!$A$10:$F$203, 6, FALSE)</f>
        <v>20</v>
      </c>
    </row>
    <row r="276" spans="1:17" x14ac:dyDescent="0.25">
      <c r="A276">
        <v>266</v>
      </c>
      <c r="B276">
        <v>81</v>
      </c>
      <c r="C276">
        <v>112</v>
      </c>
      <c r="D276">
        <v>82</v>
      </c>
      <c r="F276" s="9">
        <f>VLOOKUP($B276,Vertices!$A$10:$F$203, 3, FALSE)</f>
        <v>0</v>
      </c>
      <c r="G276" s="10">
        <f>VLOOKUP($B276,Vertices!$A$10:$F$203, 4, FALSE)</f>
        <v>0</v>
      </c>
      <c r="H276" s="10">
        <f>VLOOKUP($B276,Vertices!$A$10:$F$203, 5, FALSE)</f>
        <v>100</v>
      </c>
      <c r="I276" s="11">
        <f>VLOOKUP($B276,Vertices!$A$10:$F$203, 6, FALSE)</f>
        <v>0</v>
      </c>
      <c r="J276" s="9">
        <f>VLOOKUP($C276,Vertices!$A$10:$F$203, 3, FALSE)</f>
        <v>0</v>
      </c>
      <c r="K276" s="10">
        <f>VLOOKUP($C276,Vertices!$A$10:$F$203, 4, FALSE)</f>
        <v>10</v>
      </c>
      <c r="L276" s="10">
        <f>VLOOKUP($C276,Vertices!$A$10:$F$203, 5, FALSE)</f>
        <v>100</v>
      </c>
      <c r="M276" s="11">
        <f>VLOOKUP($C276,Vertices!$A$10:$F$203, 6, FALSE)</f>
        <v>20</v>
      </c>
      <c r="N276" s="9">
        <f>VLOOKUP($D276,Vertices!$A$10:$F$203, 3, FALSE)</f>
        <v>0</v>
      </c>
      <c r="O276" s="10">
        <f>VLOOKUP($D276,Vertices!$A$10:$F$203, 4, FALSE)</f>
        <v>10</v>
      </c>
      <c r="P276" s="10">
        <f>VLOOKUP($D276,Vertices!$A$10:$F$203, 5, FALSE)</f>
        <v>100</v>
      </c>
      <c r="Q276" s="11">
        <f>VLOOKUP($D276,Vertices!$A$10:$F$203, 6, FALSE)</f>
        <v>0</v>
      </c>
    </row>
    <row r="277" spans="1:17" x14ac:dyDescent="0.25">
      <c r="A277">
        <v>267</v>
      </c>
      <c r="B277">
        <v>82</v>
      </c>
      <c r="C277">
        <v>112</v>
      </c>
      <c r="D277">
        <v>113</v>
      </c>
      <c r="F277" s="9">
        <f>VLOOKUP($B277,Vertices!$A$10:$F$203, 3, FALSE)</f>
        <v>0</v>
      </c>
      <c r="G277" s="10">
        <f>VLOOKUP($B277,Vertices!$A$10:$F$203, 4, FALSE)</f>
        <v>10</v>
      </c>
      <c r="H277" s="10">
        <f>VLOOKUP($B277,Vertices!$A$10:$F$203, 5, FALSE)</f>
        <v>100</v>
      </c>
      <c r="I277" s="11">
        <f>VLOOKUP($B277,Vertices!$A$10:$F$203, 6, FALSE)</f>
        <v>0</v>
      </c>
      <c r="J277" s="9">
        <f>VLOOKUP($C277,Vertices!$A$10:$F$203, 3, FALSE)</f>
        <v>0</v>
      </c>
      <c r="K277" s="10">
        <f>VLOOKUP($C277,Vertices!$A$10:$F$203, 4, FALSE)</f>
        <v>10</v>
      </c>
      <c r="L277" s="10">
        <f>VLOOKUP($C277,Vertices!$A$10:$F$203, 5, FALSE)</f>
        <v>100</v>
      </c>
      <c r="M277" s="11">
        <f>VLOOKUP($C277,Vertices!$A$10:$F$203, 6, FALSE)</f>
        <v>20</v>
      </c>
      <c r="N277" s="9">
        <f>VLOOKUP($D277,Vertices!$A$10:$F$203, 3, FALSE)</f>
        <v>0</v>
      </c>
      <c r="O277" s="10">
        <f>VLOOKUP($D277,Vertices!$A$10:$F$203, 4, FALSE)</f>
        <v>20</v>
      </c>
      <c r="P277" s="10">
        <f>VLOOKUP($D277,Vertices!$A$10:$F$203, 5, FALSE)</f>
        <v>100</v>
      </c>
      <c r="Q277" s="11">
        <f>VLOOKUP($D277,Vertices!$A$10:$F$203, 6, FALSE)</f>
        <v>20</v>
      </c>
    </row>
    <row r="278" spans="1:17" x14ac:dyDescent="0.25">
      <c r="A278">
        <v>268</v>
      </c>
      <c r="B278">
        <v>82</v>
      </c>
      <c r="C278">
        <v>113</v>
      </c>
      <c r="D278">
        <v>83</v>
      </c>
      <c r="F278" s="9">
        <f>VLOOKUP($B278,Vertices!$A$10:$F$203, 3, FALSE)</f>
        <v>0</v>
      </c>
      <c r="G278" s="10">
        <f>VLOOKUP($B278,Vertices!$A$10:$F$203, 4, FALSE)</f>
        <v>10</v>
      </c>
      <c r="H278" s="10">
        <f>VLOOKUP($B278,Vertices!$A$10:$F$203, 5, FALSE)</f>
        <v>100</v>
      </c>
      <c r="I278" s="11">
        <f>VLOOKUP($B278,Vertices!$A$10:$F$203, 6, FALSE)</f>
        <v>0</v>
      </c>
      <c r="J278" s="9">
        <f>VLOOKUP($C278,Vertices!$A$10:$F$203, 3, FALSE)</f>
        <v>0</v>
      </c>
      <c r="K278" s="10">
        <f>VLOOKUP($C278,Vertices!$A$10:$F$203, 4, FALSE)</f>
        <v>20</v>
      </c>
      <c r="L278" s="10">
        <f>VLOOKUP($C278,Vertices!$A$10:$F$203, 5, FALSE)</f>
        <v>100</v>
      </c>
      <c r="M278" s="11">
        <f>VLOOKUP($C278,Vertices!$A$10:$F$203, 6, FALSE)</f>
        <v>20</v>
      </c>
      <c r="N278" s="9">
        <f>VLOOKUP($D278,Vertices!$A$10:$F$203, 3, FALSE)</f>
        <v>0</v>
      </c>
      <c r="O278" s="10">
        <f>VLOOKUP($D278,Vertices!$A$10:$F$203, 4, FALSE)</f>
        <v>20</v>
      </c>
      <c r="P278" s="10">
        <f>VLOOKUP($D278,Vertices!$A$10:$F$203, 5, FALSE)</f>
        <v>100</v>
      </c>
      <c r="Q278" s="11">
        <f>VLOOKUP($D278,Vertices!$A$10:$F$203, 6, FALSE)</f>
        <v>0</v>
      </c>
    </row>
    <row r="279" spans="1:17" x14ac:dyDescent="0.25">
      <c r="A279">
        <v>269</v>
      </c>
      <c r="B279">
        <v>83</v>
      </c>
      <c r="C279">
        <v>113</v>
      </c>
      <c r="D279">
        <v>114</v>
      </c>
      <c r="F279" s="9">
        <f>VLOOKUP($B279,Vertices!$A$10:$F$203, 3, FALSE)</f>
        <v>0</v>
      </c>
      <c r="G279" s="10">
        <f>VLOOKUP($B279,Vertices!$A$10:$F$203, 4, FALSE)</f>
        <v>20</v>
      </c>
      <c r="H279" s="10">
        <f>VLOOKUP($B279,Vertices!$A$10:$F$203, 5, FALSE)</f>
        <v>100</v>
      </c>
      <c r="I279" s="11">
        <f>VLOOKUP($B279,Vertices!$A$10:$F$203, 6, FALSE)</f>
        <v>0</v>
      </c>
      <c r="J279" s="9">
        <f>VLOOKUP($C279,Vertices!$A$10:$F$203, 3, FALSE)</f>
        <v>0</v>
      </c>
      <c r="K279" s="10">
        <f>VLOOKUP($C279,Vertices!$A$10:$F$203, 4, FALSE)</f>
        <v>20</v>
      </c>
      <c r="L279" s="10">
        <f>VLOOKUP($C279,Vertices!$A$10:$F$203, 5, FALSE)</f>
        <v>100</v>
      </c>
      <c r="M279" s="11">
        <f>VLOOKUP($C279,Vertices!$A$10:$F$203, 6, FALSE)</f>
        <v>20</v>
      </c>
      <c r="N279" s="9">
        <f>VLOOKUP($D279,Vertices!$A$10:$F$203, 3, FALSE)</f>
        <v>0</v>
      </c>
      <c r="O279" s="10">
        <f>VLOOKUP($D279,Vertices!$A$10:$F$203, 4, FALSE)</f>
        <v>40</v>
      </c>
      <c r="P279" s="10">
        <f>VLOOKUP($D279,Vertices!$A$10:$F$203, 5, FALSE)</f>
        <v>100</v>
      </c>
      <c r="Q279" s="11">
        <f>VLOOKUP($D279,Vertices!$A$10:$F$203, 6, FALSE)</f>
        <v>20</v>
      </c>
    </row>
    <row r="280" spans="1:17" x14ac:dyDescent="0.25">
      <c r="A280">
        <v>270</v>
      </c>
      <c r="B280">
        <v>83</v>
      </c>
      <c r="C280">
        <v>114</v>
      </c>
      <c r="D280">
        <v>84</v>
      </c>
      <c r="F280" s="9">
        <f>VLOOKUP($B280,Vertices!$A$10:$F$203, 3, FALSE)</f>
        <v>0</v>
      </c>
      <c r="G280" s="10">
        <f>VLOOKUP($B280,Vertices!$A$10:$F$203, 4, FALSE)</f>
        <v>20</v>
      </c>
      <c r="H280" s="10">
        <f>VLOOKUP($B280,Vertices!$A$10:$F$203, 5, FALSE)</f>
        <v>100</v>
      </c>
      <c r="I280" s="11">
        <f>VLOOKUP($B280,Vertices!$A$10:$F$203, 6, FALSE)</f>
        <v>0</v>
      </c>
      <c r="J280" s="9">
        <f>VLOOKUP($C280,Vertices!$A$10:$F$203, 3, FALSE)</f>
        <v>0</v>
      </c>
      <c r="K280" s="10">
        <f>VLOOKUP($C280,Vertices!$A$10:$F$203, 4, FALSE)</f>
        <v>40</v>
      </c>
      <c r="L280" s="10">
        <f>VLOOKUP($C280,Vertices!$A$10:$F$203, 5, FALSE)</f>
        <v>100</v>
      </c>
      <c r="M280" s="11">
        <f>VLOOKUP($C280,Vertices!$A$10:$F$203, 6, FALSE)</f>
        <v>20</v>
      </c>
      <c r="N280" s="9">
        <f>VLOOKUP($D280,Vertices!$A$10:$F$203, 3, FALSE)</f>
        <v>0</v>
      </c>
      <c r="O280" s="10">
        <f>VLOOKUP($D280,Vertices!$A$10:$F$203, 4, FALSE)</f>
        <v>40</v>
      </c>
      <c r="P280" s="10">
        <f>VLOOKUP($D280,Vertices!$A$10:$F$203, 5, FALSE)</f>
        <v>100</v>
      </c>
      <c r="Q280" s="11">
        <f>VLOOKUP($D280,Vertices!$A$10:$F$203, 6, FALSE)</f>
        <v>0</v>
      </c>
    </row>
    <row r="281" spans="1:17" x14ac:dyDescent="0.25">
      <c r="A281">
        <v>271</v>
      </c>
      <c r="B281">
        <v>84</v>
      </c>
      <c r="C281">
        <v>114</v>
      </c>
      <c r="D281">
        <v>115</v>
      </c>
      <c r="F281" s="9">
        <f>VLOOKUP($B281,Vertices!$A$10:$F$203, 3, FALSE)</f>
        <v>0</v>
      </c>
      <c r="G281" s="10">
        <f>VLOOKUP($B281,Vertices!$A$10:$F$203, 4, FALSE)</f>
        <v>40</v>
      </c>
      <c r="H281" s="10">
        <f>VLOOKUP($B281,Vertices!$A$10:$F$203, 5, FALSE)</f>
        <v>100</v>
      </c>
      <c r="I281" s="11">
        <f>VLOOKUP($B281,Vertices!$A$10:$F$203, 6, FALSE)</f>
        <v>0</v>
      </c>
      <c r="J281" s="9">
        <f>VLOOKUP($C281,Vertices!$A$10:$F$203, 3, FALSE)</f>
        <v>0</v>
      </c>
      <c r="K281" s="10">
        <f>VLOOKUP($C281,Vertices!$A$10:$F$203, 4, FALSE)</f>
        <v>40</v>
      </c>
      <c r="L281" s="10">
        <f>VLOOKUP($C281,Vertices!$A$10:$F$203, 5, FALSE)</f>
        <v>100</v>
      </c>
      <c r="M281" s="11">
        <f>VLOOKUP($C281,Vertices!$A$10:$F$203, 6, FALSE)</f>
        <v>20</v>
      </c>
      <c r="N281" s="9">
        <f>VLOOKUP($D281,Vertices!$A$10:$F$203, 3, FALSE)</f>
        <v>0</v>
      </c>
      <c r="O281" s="10">
        <f>VLOOKUP($D281,Vertices!$A$10:$F$203, 4, FALSE)</f>
        <v>70</v>
      </c>
      <c r="P281" s="10">
        <f>VLOOKUP($D281,Vertices!$A$10:$F$203, 5, FALSE)</f>
        <v>100</v>
      </c>
      <c r="Q281" s="11">
        <f>VLOOKUP($D281,Vertices!$A$10:$F$203, 6, FALSE)</f>
        <v>20</v>
      </c>
    </row>
    <row r="282" spans="1:17" x14ac:dyDescent="0.25">
      <c r="A282">
        <v>272</v>
      </c>
      <c r="B282">
        <v>84</v>
      </c>
      <c r="C282">
        <v>115</v>
      </c>
      <c r="D282">
        <v>85</v>
      </c>
      <c r="F282" s="9">
        <f>VLOOKUP($B282,Vertices!$A$10:$F$203, 3, FALSE)</f>
        <v>0</v>
      </c>
      <c r="G282" s="10">
        <f>VLOOKUP($B282,Vertices!$A$10:$F$203, 4, FALSE)</f>
        <v>40</v>
      </c>
      <c r="H282" s="10">
        <f>VLOOKUP($B282,Vertices!$A$10:$F$203, 5, FALSE)</f>
        <v>100</v>
      </c>
      <c r="I282" s="11">
        <f>VLOOKUP($B282,Vertices!$A$10:$F$203, 6, FALSE)</f>
        <v>0</v>
      </c>
      <c r="J282" s="9">
        <f>VLOOKUP($C282,Vertices!$A$10:$F$203, 3, FALSE)</f>
        <v>0</v>
      </c>
      <c r="K282" s="10">
        <f>VLOOKUP($C282,Vertices!$A$10:$F$203, 4, FALSE)</f>
        <v>70</v>
      </c>
      <c r="L282" s="10">
        <f>VLOOKUP($C282,Vertices!$A$10:$F$203, 5, FALSE)</f>
        <v>100</v>
      </c>
      <c r="M282" s="11">
        <f>VLOOKUP($C282,Vertices!$A$10:$F$203, 6, FALSE)</f>
        <v>20</v>
      </c>
      <c r="N282" s="9">
        <f>VLOOKUP($D282,Vertices!$A$10:$F$203, 3, FALSE)</f>
        <v>0</v>
      </c>
      <c r="O282" s="10">
        <f>VLOOKUP($D282,Vertices!$A$10:$F$203, 4, FALSE)</f>
        <v>70</v>
      </c>
      <c r="P282" s="10">
        <f>VLOOKUP($D282,Vertices!$A$10:$F$203, 5, FALSE)</f>
        <v>100</v>
      </c>
      <c r="Q282" s="11">
        <f>VLOOKUP($D282,Vertices!$A$10:$F$203, 6, FALSE)</f>
        <v>0</v>
      </c>
    </row>
    <row r="283" spans="1:17" x14ac:dyDescent="0.25">
      <c r="A283">
        <v>273</v>
      </c>
      <c r="B283">
        <v>85</v>
      </c>
      <c r="C283">
        <v>115</v>
      </c>
      <c r="D283">
        <v>116</v>
      </c>
      <c r="F283" s="9">
        <f>VLOOKUP($B283,Vertices!$A$10:$F$203, 3, FALSE)</f>
        <v>0</v>
      </c>
      <c r="G283" s="10">
        <f>VLOOKUP($B283,Vertices!$A$10:$F$203, 4, FALSE)</f>
        <v>70</v>
      </c>
      <c r="H283" s="10">
        <f>VLOOKUP($B283,Vertices!$A$10:$F$203, 5, FALSE)</f>
        <v>100</v>
      </c>
      <c r="I283" s="11">
        <f>VLOOKUP($B283,Vertices!$A$10:$F$203, 6, FALSE)</f>
        <v>0</v>
      </c>
      <c r="J283" s="9">
        <f>VLOOKUP($C283,Vertices!$A$10:$F$203, 3, FALSE)</f>
        <v>0</v>
      </c>
      <c r="K283" s="10">
        <f>VLOOKUP($C283,Vertices!$A$10:$F$203, 4, FALSE)</f>
        <v>70</v>
      </c>
      <c r="L283" s="10">
        <f>VLOOKUP($C283,Vertices!$A$10:$F$203, 5, FALSE)</f>
        <v>100</v>
      </c>
      <c r="M283" s="11">
        <f>VLOOKUP($C283,Vertices!$A$10:$F$203, 6, FALSE)</f>
        <v>20</v>
      </c>
      <c r="N283" s="9">
        <f>VLOOKUP($D283,Vertices!$A$10:$F$203, 3, FALSE)</f>
        <v>0</v>
      </c>
      <c r="O283" s="10">
        <f>VLOOKUP($D283,Vertices!$A$10:$F$203, 4, FALSE)</f>
        <v>100</v>
      </c>
      <c r="P283" s="10">
        <f>VLOOKUP($D283,Vertices!$A$10:$F$203, 5, FALSE)</f>
        <v>100</v>
      </c>
      <c r="Q283" s="11">
        <f>VLOOKUP($D283,Vertices!$A$10:$F$203, 6, FALSE)</f>
        <v>20</v>
      </c>
    </row>
    <row r="284" spans="1:17" x14ac:dyDescent="0.25">
      <c r="A284">
        <v>274</v>
      </c>
      <c r="B284">
        <v>85</v>
      </c>
      <c r="C284">
        <v>116</v>
      </c>
      <c r="D284">
        <v>86</v>
      </c>
      <c r="F284" s="9">
        <f>VLOOKUP($B284,Vertices!$A$10:$F$203, 3, FALSE)</f>
        <v>0</v>
      </c>
      <c r="G284" s="10">
        <f>VLOOKUP($B284,Vertices!$A$10:$F$203, 4, FALSE)</f>
        <v>70</v>
      </c>
      <c r="H284" s="10">
        <f>VLOOKUP($B284,Vertices!$A$10:$F$203, 5, FALSE)</f>
        <v>100</v>
      </c>
      <c r="I284" s="11">
        <f>VLOOKUP($B284,Vertices!$A$10:$F$203, 6, FALSE)</f>
        <v>0</v>
      </c>
      <c r="J284" s="9">
        <f>VLOOKUP($C284,Vertices!$A$10:$F$203, 3, FALSE)</f>
        <v>0</v>
      </c>
      <c r="K284" s="10">
        <f>VLOOKUP($C284,Vertices!$A$10:$F$203, 4, FALSE)</f>
        <v>100</v>
      </c>
      <c r="L284" s="10">
        <f>VLOOKUP($C284,Vertices!$A$10:$F$203, 5, FALSE)</f>
        <v>100</v>
      </c>
      <c r="M284" s="11">
        <f>VLOOKUP($C284,Vertices!$A$10:$F$203, 6, FALSE)</f>
        <v>20</v>
      </c>
      <c r="N284" s="9">
        <f>VLOOKUP($D284,Vertices!$A$10:$F$203, 3, FALSE)</f>
        <v>0</v>
      </c>
      <c r="O284" s="10">
        <f>VLOOKUP($D284,Vertices!$A$10:$F$203, 4, FALSE)</f>
        <v>100</v>
      </c>
      <c r="P284" s="10">
        <f>VLOOKUP($D284,Vertices!$A$10:$F$203, 5, FALSE)</f>
        <v>100</v>
      </c>
      <c r="Q284" s="11">
        <f>VLOOKUP($D284,Vertices!$A$10:$F$203, 6, FALSE)</f>
        <v>0</v>
      </c>
    </row>
    <row r="285" spans="1:17" x14ac:dyDescent="0.25">
      <c r="A285">
        <v>275</v>
      </c>
      <c r="B285">
        <v>111</v>
      </c>
      <c r="C285">
        <v>137</v>
      </c>
      <c r="D285">
        <v>112</v>
      </c>
      <c r="F285" s="9">
        <f>VLOOKUP($B285,Vertices!$A$10:$F$203, 3, FALSE)</f>
        <v>0</v>
      </c>
      <c r="G285" s="10">
        <f>VLOOKUP($B285,Vertices!$A$10:$F$203, 4, FALSE)</f>
        <v>0</v>
      </c>
      <c r="H285" s="10">
        <f>VLOOKUP($B285,Vertices!$A$10:$F$203, 5, FALSE)</f>
        <v>100</v>
      </c>
      <c r="I285" s="11">
        <f>VLOOKUP($B285,Vertices!$A$10:$F$203, 6, FALSE)</f>
        <v>20</v>
      </c>
      <c r="J285" s="9">
        <f>VLOOKUP($C285,Vertices!$A$10:$F$203, 3, FALSE)</f>
        <v>0</v>
      </c>
      <c r="K285" s="10">
        <f>VLOOKUP($C285,Vertices!$A$10:$F$203, 4, FALSE)</f>
        <v>0</v>
      </c>
      <c r="L285" s="10">
        <f>VLOOKUP($C285,Vertices!$A$10:$F$203, 5, FALSE)</f>
        <v>100</v>
      </c>
      <c r="M285" s="11">
        <f>VLOOKUP($C285,Vertices!$A$10:$F$203, 6, FALSE)</f>
        <v>40</v>
      </c>
      <c r="N285" s="9">
        <f>VLOOKUP($D285,Vertices!$A$10:$F$203, 3, FALSE)</f>
        <v>0</v>
      </c>
      <c r="O285" s="10">
        <f>VLOOKUP($D285,Vertices!$A$10:$F$203, 4, FALSE)</f>
        <v>10</v>
      </c>
      <c r="P285" s="10">
        <f>VLOOKUP($D285,Vertices!$A$10:$F$203, 5, FALSE)</f>
        <v>100</v>
      </c>
      <c r="Q285" s="11">
        <f>VLOOKUP($D285,Vertices!$A$10:$F$203, 6, FALSE)</f>
        <v>20</v>
      </c>
    </row>
    <row r="286" spans="1:17" x14ac:dyDescent="0.25">
      <c r="A286">
        <v>276</v>
      </c>
      <c r="B286">
        <v>137</v>
      </c>
      <c r="C286">
        <v>138</v>
      </c>
      <c r="D286">
        <v>112</v>
      </c>
      <c r="F286" s="9">
        <f>VLOOKUP($B286,Vertices!$A$10:$F$203, 3, FALSE)</f>
        <v>0</v>
      </c>
      <c r="G286" s="10">
        <f>VLOOKUP($B286,Vertices!$A$10:$F$203, 4, FALSE)</f>
        <v>0</v>
      </c>
      <c r="H286" s="10">
        <f>VLOOKUP($B286,Vertices!$A$10:$F$203, 5, FALSE)</f>
        <v>100</v>
      </c>
      <c r="I286" s="11">
        <f>VLOOKUP($B286,Vertices!$A$10:$F$203, 6, FALSE)</f>
        <v>40</v>
      </c>
      <c r="J286" s="9">
        <f>VLOOKUP($C286,Vertices!$A$10:$F$203, 3, FALSE)</f>
        <v>0</v>
      </c>
      <c r="K286" s="10">
        <f>VLOOKUP($C286,Vertices!$A$10:$F$203, 4, FALSE)</f>
        <v>20</v>
      </c>
      <c r="L286" s="10">
        <f>VLOOKUP($C286,Vertices!$A$10:$F$203, 5, FALSE)</f>
        <v>100</v>
      </c>
      <c r="M286" s="11">
        <f>VLOOKUP($C286,Vertices!$A$10:$F$203, 6, FALSE)</f>
        <v>40</v>
      </c>
      <c r="N286" s="9">
        <f>VLOOKUP($D286,Vertices!$A$10:$F$203, 3, FALSE)</f>
        <v>0</v>
      </c>
      <c r="O286" s="10">
        <f>VLOOKUP($D286,Vertices!$A$10:$F$203, 4, FALSE)</f>
        <v>10</v>
      </c>
      <c r="P286" s="10">
        <f>VLOOKUP($D286,Vertices!$A$10:$F$203, 5, FALSE)</f>
        <v>100</v>
      </c>
      <c r="Q286" s="11">
        <f>VLOOKUP($D286,Vertices!$A$10:$F$203, 6, FALSE)</f>
        <v>20</v>
      </c>
    </row>
    <row r="287" spans="1:17" x14ac:dyDescent="0.25">
      <c r="A287">
        <v>277</v>
      </c>
      <c r="B287">
        <v>112</v>
      </c>
      <c r="C287">
        <v>138</v>
      </c>
      <c r="D287">
        <v>113</v>
      </c>
      <c r="F287" s="9">
        <f>VLOOKUP($B287,Vertices!$A$10:$F$203, 3, FALSE)</f>
        <v>0</v>
      </c>
      <c r="G287" s="10">
        <f>VLOOKUP($B287,Vertices!$A$10:$F$203, 4, FALSE)</f>
        <v>10</v>
      </c>
      <c r="H287" s="10">
        <f>VLOOKUP($B287,Vertices!$A$10:$F$203, 5, FALSE)</f>
        <v>100</v>
      </c>
      <c r="I287" s="11">
        <f>VLOOKUP($B287,Vertices!$A$10:$F$203, 6, FALSE)</f>
        <v>20</v>
      </c>
      <c r="J287" s="9">
        <f>VLOOKUP($C287,Vertices!$A$10:$F$203, 3, FALSE)</f>
        <v>0</v>
      </c>
      <c r="K287" s="10">
        <f>VLOOKUP($C287,Vertices!$A$10:$F$203, 4, FALSE)</f>
        <v>20</v>
      </c>
      <c r="L287" s="10">
        <f>VLOOKUP($C287,Vertices!$A$10:$F$203, 5, FALSE)</f>
        <v>100</v>
      </c>
      <c r="M287" s="11">
        <f>VLOOKUP($C287,Vertices!$A$10:$F$203, 6, FALSE)</f>
        <v>40</v>
      </c>
      <c r="N287" s="9">
        <f>VLOOKUP($D287,Vertices!$A$10:$F$203, 3, FALSE)</f>
        <v>0</v>
      </c>
      <c r="O287" s="10">
        <f>VLOOKUP($D287,Vertices!$A$10:$F$203, 4, FALSE)</f>
        <v>20</v>
      </c>
      <c r="P287" s="10">
        <f>VLOOKUP($D287,Vertices!$A$10:$F$203, 5, FALSE)</f>
        <v>100</v>
      </c>
      <c r="Q287" s="11">
        <f>VLOOKUP($D287,Vertices!$A$10:$F$203, 6, FALSE)</f>
        <v>20</v>
      </c>
    </row>
    <row r="288" spans="1:17" x14ac:dyDescent="0.25">
      <c r="A288">
        <v>278</v>
      </c>
      <c r="B288">
        <v>113</v>
      </c>
      <c r="C288">
        <v>138</v>
      </c>
      <c r="D288">
        <v>139</v>
      </c>
      <c r="F288" s="9">
        <f>VLOOKUP($B288,Vertices!$A$10:$F$203, 3, FALSE)</f>
        <v>0</v>
      </c>
      <c r="G288" s="10">
        <f>VLOOKUP($B288,Vertices!$A$10:$F$203, 4, FALSE)</f>
        <v>20</v>
      </c>
      <c r="H288" s="10">
        <f>VLOOKUP($B288,Vertices!$A$10:$F$203, 5, FALSE)</f>
        <v>100</v>
      </c>
      <c r="I288" s="11">
        <f>VLOOKUP($B288,Vertices!$A$10:$F$203, 6, FALSE)</f>
        <v>20</v>
      </c>
      <c r="J288" s="9">
        <f>VLOOKUP($C288,Vertices!$A$10:$F$203, 3, FALSE)</f>
        <v>0</v>
      </c>
      <c r="K288" s="10">
        <f>VLOOKUP($C288,Vertices!$A$10:$F$203, 4, FALSE)</f>
        <v>20</v>
      </c>
      <c r="L288" s="10">
        <f>VLOOKUP($C288,Vertices!$A$10:$F$203, 5, FALSE)</f>
        <v>100</v>
      </c>
      <c r="M288" s="11">
        <f>VLOOKUP($C288,Vertices!$A$10:$F$203, 6, FALSE)</f>
        <v>40</v>
      </c>
      <c r="N288" s="9">
        <f>VLOOKUP($D288,Vertices!$A$10:$F$203, 3, FALSE)</f>
        <v>0</v>
      </c>
      <c r="O288" s="10">
        <f>VLOOKUP($D288,Vertices!$A$10:$F$203, 4, FALSE)</f>
        <v>40</v>
      </c>
      <c r="P288" s="10">
        <f>VLOOKUP($D288,Vertices!$A$10:$F$203, 5, FALSE)</f>
        <v>100</v>
      </c>
      <c r="Q288" s="11">
        <f>VLOOKUP($D288,Vertices!$A$10:$F$203, 6, FALSE)</f>
        <v>40</v>
      </c>
    </row>
    <row r="289" spans="1:17" x14ac:dyDescent="0.25">
      <c r="A289">
        <v>279</v>
      </c>
      <c r="B289">
        <v>113</v>
      </c>
      <c r="C289">
        <v>139</v>
      </c>
      <c r="D289">
        <v>114</v>
      </c>
      <c r="F289" s="9">
        <f>VLOOKUP($B289,Vertices!$A$10:$F$203, 3, FALSE)</f>
        <v>0</v>
      </c>
      <c r="G289" s="10">
        <f>VLOOKUP($B289,Vertices!$A$10:$F$203, 4, FALSE)</f>
        <v>20</v>
      </c>
      <c r="H289" s="10">
        <f>VLOOKUP($B289,Vertices!$A$10:$F$203, 5, FALSE)</f>
        <v>100</v>
      </c>
      <c r="I289" s="11">
        <f>VLOOKUP($B289,Vertices!$A$10:$F$203, 6, FALSE)</f>
        <v>20</v>
      </c>
      <c r="J289" s="9">
        <f>VLOOKUP($C289,Vertices!$A$10:$F$203, 3, FALSE)</f>
        <v>0</v>
      </c>
      <c r="K289" s="10">
        <f>VLOOKUP($C289,Vertices!$A$10:$F$203, 4, FALSE)</f>
        <v>40</v>
      </c>
      <c r="L289" s="10">
        <f>VLOOKUP($C289,Vertices!$A$10:$F$203, 5, FALSE)</f>
        <v>100</v>
      </c>
      <c r="M289" s="11">
        <f>VLOOKUP($C289,Vertices!$A$10:$F$203, 6, FALSE)</f>
        <v>40</v>
      </c>
      <c r="N289" s="9">
        <f>VLOOKUP($D289,Vertices!$A$10:$F$203, 3, FALSE)</f>
        <v>0</v>
      </c>
      <c r="O289" s="10">
        <f>VLOOKUP($D289,Vertices!$A$10:$F$203, 4, FALSE)</f>
        <v>40</v>
      </c>
      <c r="P289" s="10">
        <f>VLOOKUP($D289,Vertices!$A$10:$F$203, 5, FALSE)</f>
        <v>100</v>
      </c>
      <c r="Q289" s="11">
        <f>VLOOKUP($D289,Vertices!$A$10:$F$203, 6, FALSE)</f>
        <v>20</v>
      </c>
    </row>
    <row r="290" spans="1:17" x14ac:dyDescent="0.25">
      <c r="A290">
        <v>280</v>
      </c>
      <c r="B290">
        <v>114</v>
      </c>
      <c r="C290">
        <v>139</v>
      </c>
      <c r="D290">
        <v>140</v>
      </c>
      <c r="F290" s="9">
        <f>VLOOKUP($B290,Vertices!$A$10:$F$203, 3, FALSE)</f>
        <v>0</v>
      </c>
      <c r="G290" s="10">
        <f>VLOOKUP($B290,Vertices!$A$10:$F$203, 4, FALSE)</f>
        <v>40</v>
      </c>
      <c r="H290" s="10">
        <f>VLOOKUP($B290,Vertices!$A$10:$F$203, 5, FALSE)</f>
        <v>100</v>
      </c>
      <c r="I290" s="11">
        <f>VLOOKUP($B290,Vertices!$A$10:$F$203, 6, FALSE)</f>
        <v>20</v>
      </c>
      <c r="J290" s="9">
        <f>VLOOKUP($C290,Vertices!$A$10:$F$203, 3, FALSE)</f>
        <v>0</v>
      </c>
      <c r="K290" s="10">
        <f>VLOOKUP($C290,Vertices!$A$10:$F$203, 4, FALSE)</f>
        <v>40</v>
      </c>
      <c r="L290" s="10">
        <f>VLOOKUP($C290,Vertices!$A$10:$F$203, 5, FALSE)</f>
        <v>100</v>
      </c>
      <c r="M290" s="11">
        <f>VLOOKUP($C290,Vertices!$A$10:$F$203, 6, FALSE)</f>
        <v>40</v>
      </c>
      <c r="N290" s="9">
        <f>VLOOKUP($D290,Vertices!$A$10:$F$203, 3, FALSE)</f>
        <v>0</v>
      </c>
      <c r="O290" s="10">
        <f>VLOOKUP($D290,Vertices!$A$10:$F$203, 4, FALSE)</f>
        <v>70</v>
      </c>
      <c r="P290" s="10">
        <f>VLOOKUP($D290,Vertices!$A$10:$F$203, 5, FALSE)</f>
        <v>100</v>
      </c>
      <c r="Q290" s="11">
        <f>VLOOKUP($D290,Vertices!$A$10:$F$203, 6, FALSE)</f>
        <v>40</v>
      </c>
    </row>
    <row r="291" spans="1:17" x14ac:dyDescent="0.25">
      <c r="A291">
        <v>281</v>
      </c>
      <c r="B291">
        <v>114</v>
      </c>
      <c r="C291">
        <v>140</v>
      </c>
      <c r="D291">
        <v>115</v>
      </c>
      <c r="F291" s="9">
        <f>VLOOKUP($B291,Vertices!$A$10:$F$203, 3, FALSE)</f>
        <v>0</v>
      </c>
      <c r="G291" s="10">
        <f>VLOOKUP($B291,Vertices!$A$10:$F$203, 4, FALSE)</f>
        <v>40</v>
      </c>
      <c r="H291" s="10">
        <f>VLOOKUP($B291,Vertices!$A$10:$F$203, 5, FALSE)</f>
        <v>100</v>
      </c>
      <c r="I291" s="11">
        <f>VLOOKUP($B291,Vertices!$A$10:$F$203, 6, FALSE)</f>
        <v>20</v>
      </c>
      <c r="J291" s="9">
        <f>VLOOKUP($C291,Vertices!$A$10:$F$203, 3, FALSE)</f>
        <v>0</v>
      </c>
      <c r="K291" s="10">
        <f>VLOOKUP($C291,Vertices!$A$10:$F$203, 4, FALSE)</f>
        <v>70</v>
      </c>
      <c r="L291" s="10">
        <f>VLOOKUP($C291,Vertices!$A$10:$F$203, 5, FALSE)</f>
        <v>100</v>
      </c>
      <c r="M291" s="11">
        <f>VLOOKUP($C291,Vertices!$A$10:$F$203, 6, FALSE)</f>
        <v>40</v>
      </c>
      <c r="N291" s="9">
        <f>VLOOKUP($D291,Vertices!$A$10:$F$203, 3, FALSE)</f>
        <v>0</v>
      </c>
      <c r="O291" s="10">
        <f>VLOOKUP($D291,Vertices!$A$10:$F$203, 4, FALSE)</f>
        <v>70</v>
      </c>
      <c r="P291" s="10">
        <f>VLOOKUP($D291,Vertices!$A$10:$F$203, 5, FALSE)</f>
        <v>100</v>
      </c>
      <c r="Q291" s="11">
        <f>VLOOKUP($D291,Vertices!$A$10:$F$203, 6, FALSE)</f>
        <v>20</v>
      </c>
    </row>
    <row r="292" spans="1:17" x14ac:dyDescent="0.25">
      <c r="A292">
        <v>282</v>
      </c>
      <c r="B292">
        <v>115</v>
      </c>
      <c r="C292">
        <v>140</v>
      </c>
      <c r="D292">
        <v>141</v>
      </c>
      <c r="F292" s="9">
        <f>VLOOKUP($B292,Vertices!$A$10:$F$203, 3, FALSE)</f>
        <v>0</v>
      </c>
      <c r="G292" s="10">
        <f>VLOOKUP($B292,Vertices!$A$10:$F$203, 4, FALSE)</f>
        <v>70</v>
      </c>
      <c r="H292" s="10">
        <f>VLOOKUP($B292,Vertices!$A$10:$F$203, 5, FALSE)</f>
        <v>100</v>
      </c>
      <c r="I292" s="11">
        <f>VLOOKUP($B292,Vertices!$A$10:$F$203, 6, FALSE)</f>
        <v>20</v>
      </c>
      <c r="J292" s="9">
        <f>VLOOKUP($C292,Vertices!$A$10:$F$203, 3, FALSE)</f>
        <v>0</v>
      </c>
      <c r="K292" s="10">
        <f>VLOOKUP($C292,Vertices!$A$10:$F$203, 4, FALSE)</f>
        <v>70</v>
      </c>
      <c r="L292" s="10">
        <f>VLOOKUP($C292,Vertices!$A$10:$F$203, 5, FALSE)</f>
        <v>100</v>
      </c>
      <c r="M292" s="11">
        <f>VLOOKUP($C292,Vertices!$A$10:$F$203, 6, FALSE)</f>
        <v>40</v>
      </c>
      <c r="N292" s="9">
        <f>VLOOKUP($D292,Vertices!$A$10:$F$203, 3, FALSE)</f>
        <v>0</v>
      </c>
      <c r="O292" s="10">
        <f>VLOOKUP($D292,Vertices!$A$10:$F$203, 4, FALSE)</f>
        <v>100</v>
      </c>
      <c r="P292" s="10">
        <f>VLOOKUP($D292,Vertices!$A$10:$F$203, 5, FALSE)</f>
        <v>100</v>
      </c>
      <c r="Q292" s="11">
        <f>VLOOKUP($D292,Vertices!$A$10:$F$203, 6, FALSE)</f>
        <v>40</v>
      </c>
    </row>
    <row r="293" spans="1:17" x14ac:dyDescent="0.25">
      <c r="A293">
        <v>283</v>
      </c>
      <c r="B293">
        <v>115</v>
      </c>
      <c r="C293">
        <v>141</v>
      </c>
      <c r="D293">
        <v>116</v>
      </c>
      <c r="F293" s="9">
        <f>VLOOKUP($B293,Vertices!$A$10:$F$203, 3, FALSE)</f>
        <v>0</v>
      </c>
      <c r="G293" s="10">
        <f>VLOOKUP($B293,Vertices!$A$10:$F$203, 4, FALSE)</f>
        <v>70</v>
      </c>
      <c r="H293" s="10">
        <f>VLOOKUP($B293,Vertices!$A$10:$F$203, 5, FALSE)</f>
        <v>100</v>
      </c>
      <c r="I293" s="11">
        <f>VLOOKUP($B293,Vertices!$A$10:$F$203, 6, FALSE)</f>
        <v>20</v>
      </c>
      <c r="J293" s="9">
        <f>VLOOKUP($C293,Vertices!$A$10:$F$203, 3, FALSE)</f>
        <v>0</v>
      </c>
      <c r="K293" s="10">
        <f>VLOOKUP($C293,Vertices!$A$10:$F$203, 4, FALSE)</f>
        <v>100</v>
      </c>
      <c r="L293" s="10">
        <f>VLOOKUP($C293,Vertices!$A$10:$F$203, 5, FALSE)</f>
        <v>100</v>
      </c>
      <c r="M293" s="11">
        <f>VLOOKUP($C293,Vertices!$A$10:$F$203, 6, FALSE)</f>
        <v>40</v>
      </c>
      <c r="N293" s="9">
        <f>VLOOKUP($D293,Vertices!$A$10:$F$203, 3, FALSE)</f>
        <v>0</v>
      </c>
      <c r="O293" s="10">
        <f>VLOOKUP($D293,Vertices!$A$10:$F$203, 4, FALSE)</f>
        <v>100</v>
      </c>
      <c r="P293" s="10">
        <f>VLOOKUP($D293,Vertices!$A$10:$F$203, 5, FALSE)</f>
        <v>100</v>
      </c>
      <c r="Q293" s="11">
        <f>VLOOKUP($D293,Vertices!$A$10:$F$203, 6, FALSE)</f>
        <v>20</v>
      </c>
    </row>
    <row r="294" spans="1:17" x14ac:dyDescent="0.25">
      <c r="A294">
        <v>284</v>
      </c>
      <c r="B294">
        <v>137</v>
      </c>
      <c r="C294">
        <v>161</v>
      </c>
      <c r="D294">
        <v>162</v>
      </c>
      <c r="F294" s="9">
        <f>VLOOKUP($B294,Vertices!$A$10:$F$203, 3, FALSE)</f>
        <v>0</v>
      </c>
      <c r="G294" s="10">
        <f>VLOOKUP($B294,Vertices!$A$10:$F$203, 4, FALSE)</f>
        <v>0</v>
      </c>
      <c r="H294" s="10">
        <f>VLOOKUP($B294,Vertices!$A$10:$F$203, 5, FALSE)</f>
        <v>100</v>
      </c>
      <c r="I294" s="11">
        <f>VLOOKUP($B294,Vertices!$A$10:$F$203, 6, FALSE)</f>
        <v>40</v>
      </c>
      <c r="J294" s="9">
        <f>VLOOKUP($C294,Vertices!$A$10:$F$203, 3, FALSE)</f>
        <v>0</v>
      </c>
      <c r="K294" s="10">
        <f>VLOOKUP($C294,Vertices!$A$10:$F$203, 4, FALSE)</f>
        <v>0</v>
      </c>
      <c r="L294" s="10">
        <f>VLOOKUP($C294,Vertices!$A$10:$F$203, 5, FALSE)</f>
        <v>100</v>
      </c>
      <c r="M294" s="11">
        <f>VLOOKUP($C294,Vertices!$A$10:$F$203, 6, FALSE)</f>
        <v>60</v>
      </c>
      <c r="N294" s="9">
        <f>VLOOKUP($D294,Vertices!$A$10:$F$203, 3, FALSE)</f>
        <v>0</v>
      </c>
      <c r="O294" s="10">
        <f>VLOOKUP($D294,Vertices!$A$10:$F$203, 4, FALSE)</f>
        <v>20</v>
      </c>
      <c r="P294" s="10">
        <f>VLOOKUP($D294,Vertices!$A$10:$F$203, 5, FALSE)</f>
        <v>100</v>
      </c>
      <c r="Q294" s="11">
        <f>VLOOKUP($D294,Vertices!$A$10:$F$203, 6, FALSE)</f>
        <v>60</v>
      </c>
    </row>
    <row r="295" spans="1:17" x14ac:dyDescent="0.25">
      <c r="A295">
        <v>285</v>
      </c>
      <c r="B295">
        <v>137</v>
      </c>
      <c r="C295">
        <v>162</v>
      </c>
      <c r="D295">
        <v>138</v>
      </c>
      <c r="F295" s="9">
        <f>VLOOKUP($B295,Vertices!$A$10:$F$203, 3, FALSE)</f>
        <v>0</v>
      </c>
      <c r="G295" s="10">
        <f>VLOOKUP($B295,Vertices!$A$10:$F$203, 4, FALSE)</f>
        <v>0</v>
      </c>
      <c r="H295" s="10">
        <f>VLOOKUP($B295,Vertices!$A$10:$F$203, 5, FALSE)</f>
        <v>100</v>
      </c>
      <c r="I295" s="11">
        <f>VLOOKUP($B295,Vertices!$A$10:$F$203, 6, FALSE)</f>
        <v>40</v>
      </c>
      <c r="J295" s="9">
        <f>VLOOKUP($C295,Vertices!$A$10:$F$203, 3, FALSE)</f>
        <v>0</v>
      </c>
      <c r="K295" s="10">
        <f>VLOOKUP($C295,Vertices!$A$10:$F$203, 4, FALSE)</f>
        <v>20</v>
      </c>
      <c r="L295" s="10">
        <f>VLOOKUP($C295,Vertices!$A$10:$F$203, 5, FALSE)</f>
        <v>100</v>
      </c>
      <c r="M295" s="11">
        <f>VLOOKUP($C295,Vertices!$A$10:$F$203, 6, FALSE)</f>
        <v>60</v>
      </c>
      <c r="N295" s="9">
        <f>VLOOKUP($D295,Vertices!$A$10:$F$203, 3, FALSE)</f>
        <v>0</v>
      </c>
      <c r="O295" s="10">
        <f>VLOOKUP($D295,Vertices!$A$10:$F$203, 4, FALSE)</f>
        <v>20</v>
      </c>
      <c r="P295" s="10">
        <f>VLOOKUP($D295,Vertices!$A$10:$F$203, 5, FALSE)</f>
        <v>100</v>
      </c>
      <c r="Q295" s="11">
        <f>VLOOKUP($D295,Vertices!$A$10:$F$203, 6, FALSE)</f>
        <v>40</v>
      </c>
    </row>
    <row r="296" spans="1:17" x14ac:dyDescent="0.25">
      <c r="A296">
        <v>286</v>
      </c>
      <c r="B296">
        <v>138</v>
      </c>
      <c r="C296">
        <v>162</v>
      </c>
      <c r="D296">
        <v>163</v>
      </c>
      <c r="F296" s="9">
        <f>VLOOKUP($B296,Vertices!$A$10:$F$203, 3, FALSE)</f>
        <v>0</v>
      </c>
      <c r="G296" s="10">
        <f>VLOOKUP($B296,Vertices!$A$10:$F$203, 4, FALSE)</f>
        <v>20</v>
      </c>
      <c r="H296" s="10">
        <f>VLOOKUP($B296,Vertices!$A$10:$F$203, 5, FALSE)</f>
        <v>100</v>
      </c>
      <c r="I296" s="11">
        <f>VLOOKUP($B296,Vertices!$A$10:$F$203, 6, FALSE)</f>
        <v>40</v>
      </c>
      <c r="J296" s="9">
        <f>VLOOKUP($C296,Vertices!$A$10:$F$203, 3, FALSE)</f>
        <v>0</v>
      </c>
      <c r="K296" s="10">
        <f>VLOOKUP($C296,Vertices!$A$10:$F$203, 4, FALSE)</f>
        <v>20</v>
      </c>
      <c r="L296" s="10">
        <f>VLOOKUP($C296,Vertices!$A$10:$F$203, 5, FALSE)</f>
        <v>100</v>
      </c>
      <c r="M296" s="11">
        <f>VLOOKUP($C296,Vertices!$A$10:$F$203, 6, FALSE)</f>
        <v>60</v>
      </c>
      <c r="N296" s="9">
        <f>VLOOKUP($D296,Vertices!$A$10:$F$203, 3, FALSE)</f>
        <v>0</v>
      </c>
      <c r="O296" s="10">
        <f>VLOOKUP($D296,Vertices!$A$10:$F$203, 4, FALSE)</f>
        <v>40</v>
      </c>
      <c r="P296" s="10">
        <f>VLOOKUP($D296,Vertices!$A$10:$F$203, 5, FALSE)</f>
        <v>100</v>
      </c>
      <c r="Q296" s="11">
        <f>VLOOKUP($D296,Vertices!$A$10:$F$203, 6, FALSE)</f>
        <v>60</v>
      </c>
    </row>
    <row r="297" spans="1:17" x14ac:dyDescent="0.25">
      <c r="A297">
        <v>287</v>
      </c>
      <c r="B297">
        <v>138</v>
      </c>
      <c r="C297">
        <v>163</v>
      </c>
      <c r="D297">
        <v>139</v>
      </c>
      <c r="F297" s="9">
        <f>VLOOKUP($B297,Vertices!$A$10:$F$203, 3, FALSE)</f>
        <v>0</v>
      </c>
      <c r="G297" s="10">
        <f>VLOOKUP($B297,Vertices!$A$10:$F$203, 4, FALSE)</f>
        <v>20</v>
      </c>
      <c r="H297" s="10">
        <f>VLOOKUP($B297,Vertices!$A$10:$F$203, 5, FALSE)</f>
        <v>100</v>
      </c>
      <c r="I297" s="11">
        <f>VLOOKUP($B297,Vertices!$A$10:$F$203, 6, FALSE)</f>
        <v>40</v>
      </c>
      <c r="J297" s="9">
        <f>VLOOKUP($C297,Vertices!$A$10:$F$203, 3, FALSE)</f>
        <v>0</v>
      </c>
      <c r="K297" s="10">
        <f>VLOOKUP($C297,Vertices!$A$10:$F$203, 4, FALSE)</f>
        <v>40</v>
      </c>
      <c r="L297" s="10">
        <f>VLOOKUP($C297,Vertices!$A$10:$F$203, 5, FALSE)</f>
        <v>100</v>
      </c>
      <c r="M297" s="11">
        <f>VLOOKUP($C297,Vertices!$A$10:$F$203, 6, FALSE)</f>
        <v>60</v>
      </c>
      <c r="N297" s="9">
        <f>VLOOKUP($D297,Vertices!$A$10:$F$203, 3, FALSE)</f>
        <v>0</v>
      </c>
      <c r="O297" s="10">
        <f>VLOOKUP($D297,Vertices!$A$10:$F$203, 4, FALSE)</f>
        <v>40</v>
      </c>
      <c r="P297" s="10">
        <f>VLOOKUP($D297,Vertices!$A$10:$F$203, 5, FALSE)</f>
        <v>100</v>
      </c>
      <c r="Q297" s="11">
        <f>VLOOKUP($D297,Vertices!$A$10:$F$203, 6, FALSE)</f>
        <v>40</v>
      </c>
    </row>
    <row r="298" spans="1:17" x14ac:dyDescent="0.25">
      <c r="A298">
        <v>288</v>
      </c>
      <c r="B298">
        <v>139</v>
      </c>
      <c r="C298">
        <v>163</v>
      </c>
      <c r="D298">
        <v>164</v>
      </c>
      <c r="F298" s="9">
        <f>VLOOKUP($B298,Vertices!$A$10:$F$203, 3, FALSE)</f>
        <v>0</v>
      </c>
      <c r="G298" s="10">
        <f>VLOOKUP($B298,Vertices!$A$10:$F$203, 4, FALSE)</f>
        <v>40</v>
      </c>
      <c r="H298" s="10">
        <f>VLOOKUP($B298,Vertices!$A$10:$F$203, 5, FALSE)</f>
        <v>100</v>
      </c>
      <c r="I298" s="11">
        <f>VLOOKUP($B298,Vertices!$A$10:$F$203, 6, FALSE)</f>
        <v>40</v>
      </c>
      <c r="J298" s="9">
        <f>VLOOKUP($C298,Vertices!$A$10:$F$203, 3, FALSE)</f>
        <v>0</v>
      </c>
      <c r="K298" s="10">
        <f>VLOOKUP($C298,Vertices!$A$10:$F$203, 4, FALSE)</f>
        <v>40</v>
      </c>
      <c r="L298" s="10">
        <f>VLOOKUP($C298,Vertices!$A$10:$F$203, 5, FALSE)</f>
        <v>100</v>
      </c>
      <c r="M298" s="11">
        <f>VLOOKUP($C298,Vertices!$A$10:$F$203, 6, FALSE)</f>
        <v>60</v>
      </c>
      <c r="N298" s="9">
        <f>VLOOKUP($D298,Vertices!$A$10:$F$203, 3, FALSE)</f>
        <v>0</v>
      </c>
      <c r="O298" s="10">
        <f>VLOOKUP($D298,Vertices!$A$10:$F$203, 4, FALSE)</f>
        <v>70</v>
      </c>
      <c r="P298" s="10">
        <f>VLOOKUP($D298,Vertices!$A$10:$F$203, 5, FALSE)</f>
        <v>100</v>
      </c>
      <c r="Q298" s="11">
        <f>VLOOKUP($D298,Vertices!$A$10:$F$203, 6, FALSE)</f>
        <v>60</v>
      </c>
    </row>
    <row r="299" spans="1:17" x14ac:dyDescent="0.25">
      <c r="A299">
        <v>289</v>
      </c>
      <c r="B299">
        <v>139</v>
      </c>
      <c r="C299">
        <v>164</v>
      </c>
      <c r="D299">
        <v>140</v>
      </c>
      <c r="F299" s="9">
        <f>VLOOKUP($B299,Vertices!$A$10:$F$203, 3, FALSE)</f>
        <v>0</v>
      </c>
      <c r="G299" s="10">
        <f>VLOOKUP($B299,Vertices!$A$10:$F$203, 4, FALSE)</f>
        <v>40</v>
      </c>
      <c r="H299" s="10">
        <f>VLOOKUP($B299,Vertices!$A$10:$F$203, 5, FALSE)</f>
        <v>100</v>
      </c>
      <c r="I299" s="11">
        <f>VLOOKUP($B299,Vertices!$A$10:$F$203, 6, FALSE)</f>
        <v>40</v>
      </c>
      <c r="J299" s="9">
        <f>VLOOKUP($C299,Vertices!$A$10:$F$203, 3, FALSE)</f>
        <v>0</v>
      </c>
      <c r="K299" s="10">
        <f>VLOOKUP($C299,Vertices!$A$10:$F$203, 4, FALSE)</f>
        <v>70</v>
      </c>
      <c r="L299" s="10">
        <f>VLOOKUP($C299,Vertices!$A$10:$F$203, 5, FALSE)</f>
        <v>100</v>
      </c>
      <c r="M299" s="11">
        <f>VLOOKUP($C299,Vertices!$A$10:$F$203, 6, FALSE)</f>
        <v>60</v>
      </c>
      <c r="N299" s="9">
        <f>VLOOKUP($D299,Vertices!$A$10:$F$203, 3, FALSE)</f>
        <v>0</v>
      </c>
      <c r="O299" s="10">
        <f>VLOOKUP($D299,Vertices!$A$10:$F$203, 4, FALSE)</f>
        <v>70</v>
      </c>
      <c r="P299" s="10">
        <f>VLOOKUP($D299,Vertices!$A$10:$F$203, 5, FALSE)</f>
        <v>100</v>
      </c>
      <c r="Q299" s="11">
        <f>VLOOKUP($D299,Vertices!$A$10:$F$203, 6, FALSE)</f>
        <v>40</v>
      </c>
    </row>
    <row r="300" spans="1:17" x14ac:dyDescent="0.25">
      <c r="A300">
        <v>290</v>
      </c>
      <c r="B300">
        <v>140</v>
      </c>
      <c r="C300">
        <v>164</v>
      </c>
      <c r="D300">
        <v>165</v>
      </c>
      <c r="F300" s="9">
        <f>VLOOKUP($B300,Vertices!$A$10:$F$203, 3, FALSE)</f>
        <v>0</v>
      </c>
      <c r="G300" s="10">
        <f>VLOOKUP($B300,Vertices!$A$10:$F$203, 4, FALSE)</f>
        <v>70</v>
      </c>
      <c r="H300" s="10">
        <f>VLOOKUP($B300,Vertices!$A$10:$F$203, 5, FALSE)</f>
        <v>100</v>
      </c>
      <c r="I300" s="11">
        <f>VLOOKUP($B300,Vertices!$A$10:$F$203, 6, FALSE)</f>
        <v>40</v>
      </c>
      <c r="J300" s="9">
        <f>VLOOKUP($C300,Vertices!$A$10:$F$203, 3, FALSE)</f>
        <v>0</v>
      </c>
      <c r="K300" s="10">
        <f>VLOOKUP($C300,Vertices!$A$10:$F$203, 4, FALSE)</f>
        <v>70</v>
      </c>
      <c r="L300" s="10">
        <f>VLOOKUP($C300,Vertices!$A$10:$F$203, 5, FALSE)</f>
        <v>100</v>
      </c>
      <c r="M300" s="11">
        <f>VLOOKUP($C300,Vertices!$A$10:$F$203, 6, FALSE)</f>
        <v>60</v>
      </c>
      <c r="N300" s="9">
        <f>VLOOKUP($D300,Vertices!$A$10:$F$203, 3, FALSE)</f>
        <v>0</v>
      </c>
      <c r="O300" s="10">
        <f>VLOOKUP($D300,Vertices!$A$10:$F$203, 4, FALSE)</f>
        <v>100</v>
      </c>
      <c r="P300" s="10">
        <f>VLOOKUP($D300,Vertices!$A$10:$F$203, 5, FALSE)</f>
        <v>100</v>
      </c>
      <c r="Q300" s="11">
        <f>VLOOKUP($D300,Vertices!$A$10:$F$203, 6, FALSE)</f>
        <v>60</v>
      </c>
    </row>
    <row r="301" spans="1:17" x14ac:dyDescent="0.25">
      <c r="A301">
        <v>291</v>
      </c>
      <c r="B301">
        <v>140</v>
      </c>
      <c r="C301">
        <v>165</v>
      </c>
      <c r="D301">
        <v>141</v>
      </c>
      <c r="F301" s="9">
        <f>VLOOKUP($B301,Vertices!$A$10:$F$203, 3, FALSE)</f>
        <v>0</v>
      </c>
      <c r="G301" s="10">
        <f>VLOOKUP($B301,Vertices!$A$10:$F$203, 4, FALSE)</f>
        <v>70</v>
      </c>
      <c r="H301" s="10">
        <f>VLOOKUP($B301,Vertices!$A$10:$F$203, 5, FALSE)</f>
        <v>100</v>
      </c>
      <c r="I301" s="11">
        <f>VLOOKUP($B301,Vertices!$A$10:$F$203, 6, FALSE)</f>
        <v>40</v>
      </c>
      <c r="J301" s="9">
        <f>VLOOKUP($C301,Vertices!$A$10:$F$203, 3, FALSE)</f>
        <v>0</v>
      </c>
      <c r="K301" s="10">
        <f>VLOOKUP($C301,Vertices!$A$10:$F$203, 4, FALSE)</f>
        <v>100</v>
      </c>
      <c r="L301" s="10">
        <f>VLOOKUP($C301,Vertices!$A$10:$F$203, 5, FALSE)</f>
        <v>100</v>
      </c>
      <c r="M301" s="11">
        <f>VLOOKUP($C301,Vertices!$A$10:$F$203, 6, FALSE)</f>
        <v>60</v>
      </c>
      <c r="N301" s="9">
        <f>VLOOKUP($D301,Vertices!$A$10:$F$203, 3, FALSE)</f>
        <v>0</v>
      </c>
      <c r="O301" s="10">
        <f>VLOOKUP($D301,Vertices!$A$10:$F$203, 4, FALSE)</f>
        <v>100</v>
      </c>
      <c r="P301" s="10">
        <f>VLOOKUP($D301,Vertices!$A$10:$F$203, 5, FALSE)</f>
        <v>100</v>
      </c>
      <c r="Q301" s="11">
        <f>VLOOKUP($D301,Vertices!$A$10:$F$203, 6, FALSE)</f>
        <v>40</v>
      </c>
    </row>
    <row r="302" spans="1:17" x14ac:dyDescent="0.25">
      <c r="A302">
        <v>292</v>
      </c>
      <c r="B302">
        <v>161</v>
      </c>
      <c r="C302">
        <v>181</v>
      </c>
      <c r="D302">
        <v>162</v>
      </c>
      <c r="F302" s="9">
        <f>VLOOKUP($B302,Vertices!$A$10:$F$203, 3, FALSE)</f>
        <v>0</v>
      </c>
      <c r="G302" s="10">
        <f>VLOOKUP($B302,Vertices!$A$10:$F$203, 4, FALSE)</f>
        <v>0</v>
      </c>
      <c r="H302" s="10">
        <f>VLOOKUP($B302,Vertices!$A$10:$F$203, 5, FALSE)</f>
        <v>100</v>
      </c>
      <c r="I302" s="11">
        <f>VLOOKUP($B302,Vertices!$A$10:$F$203, 6, FALSE)</f>
        <v>60</v>
      </c>
      <c r="J302" s="9">
        <f>VLOOKUP($C302,Vertices!$A$10:$F$203, 3, FALSE)</f>
        <v>0</v>
      </c>
      <c r="K302" s="10">
        <f>VLOOKUP($C302,Vertices!$A$10:$F$203, 4, FALSE)</f>
        <v>0</v>
      </c>
      <c r="L302" s="10">
        <f>VLOOKUP($C302,Vertices!$A$10:$F$203, 5, FALSE)</f>
        <v>100</v>
      </c>
      <c r="M302" s="11">
        <f>VLOOKUP($C302,Vertices!$A$10:$F$203, 6, FALSE)</f>
        <v>80</v>
      </c>
      <c r="N302" s="9">
        <f>VLOOKUP($D302,Vertices!$A$10:$F$203, 3, FALSE)</f>
        <v>0</v>
      </c>
      <c r="O302" s="10">
        <f>VLOOKUP($D302,Vertices!$A$10:$F$203, 4, FALSE)</f>
        <v>20</v>
      </c>
      <c r="P302" s="10">
        <f>VLOOKUP($D302,Vertices!$A$10:$F$203, 5, FALSE)</f>
        <v>100</v>
      </c>
      <c r="Q302" s="11">
        <f>VLOOKUP($D302,Vertices!$A$10:$F$203, 6, FALSE)</f>
        <v>60</v>
      </c>
    </row>
    <row r="303" spans="1:17" x14ac:dyDescent="0.25">
      <c r="A303">
        <v>293</v>
      </c>
      <c r="B303">
        <v>162</v>
      </c>
      <c r="C303">
        <v>181</v>
      </c>
      <c r="D303">
        <v>182</v>
      </c>
      <c r="F303" s="9">
        <f>VLOOKUP($B303,Vertices!$A$10:$F$203, 3, FALSE)</f>
        <v>0</v>
      </c>
      <c r="G303" s="10">
        <f>VLOOKUP($B303,Vertices!$A$10:$F$203, 4, FALSE)</f>
        <v>20</v>
      </c>
      <c r="H303" s="10">
        <f>VLOOKUP($B303,Vertices!$A$10:$F$203, 5, FALSE)</f>
        <v>100</v>
      </c>
      <c r="I303" s="11">
        <f>VLOOKUP($B303,Vertices!$A$10:$F$203, 6, FALSE)</f>
        <v>60</v>
      </c>
      <c r="J303" s="9">
        <f>VLOOKUP($C303,Vertices!$A$10:$F$203, 3, FALSE)</f>
        <v>0</v>
      </c>
      <c r="K303" s="10">
        <f>VLOOKUP($C303,Vertices!$A$10:$F$203, 4, FALSE)</f>
        <v>0</v>
      </c>
      <c r="L303" s="10">
        <f>VLOOKUP($C303,Vertices!$A$10:$F$203, 5, FALSE)</f>
        <v>100</v>
      </c>
      <c r="M303" s="11">
        <f>VLOOKUP($C303,Vertices!$A$10:$F$203, 6, FALSE)</f>
        <v>80</v>
      </c>
      <c r="N303" s="9">
        <f>VLOOKUP($D303,Vertices!$A$10:$F$203, 3, FALSE)</f>
        <v>0</v>
      </c>
      <c r="O303" s="10">
        <f>VLOOKUP($D303,Vertices!$A$10:$F$203, 4, FALSE)</f>
        <v>40</v>
      </c>
      <c r="P303" s="10">
        <f>VLOOKUP($D303,Vertices!$A$10:$F$203, 5, FALSE)</f>
        <v>100</v>
      </c>
      <c r="Q303" s="11">
        <f>VLOOKUP($D303,Vertices!$A$10:$F$203, 6, FALSE)</f>
        <v>80</v>
      </c>
    </row>
    <row r="304" spans="1:17" x14ac:dyDescent="0.25">
      <c r="A304">
        <v>294</v>
      </c>
      <c r="B304">
        <v>162</v>
      </c>
      <c r="C304">
        <v>182</v>
      </c>
      <c r="D304">
        <v>163</v>
      </c>
      <c r="F304" s="9">
        <f>VLOOKUP($B304,Vertices!$A$10:$F$203, 3, FALSE)</f>
        <v>0</v>
      </c>
      <c r="G304" s="10">
        <f>VLOOKUP($B304,Vertices!$A$10:$F$203, 4, FALSE)</f>
        <v>20</v>
      </c>
      <c r="H304" s="10">
        <f>VLOOKUP($B304,Vertices!$A$10:$F$203, 5, FALSE)</f>
        <v>100</v>
      </c>
      <c r="I304" s="11">
        <f>VLOOKUP($B304,Vertices!$A$10:$F$203, 6, FALSE)</f>
        <v>60</v>
      </c>
      <c r="J304" s="9">
        <f>VLOOKUP($C304,Vertices!$A$10:$F$203, 3, FALSE)</f>
        <v>0</v>
      </c>
      <c r="K304" s="10">
        <f>VLOOKUP($C304,Vertices!$A$10:$F$203, 4, FALSE)</f>
        <v>40</v>
      </c>
      <c r="L304" s="10">
        <f>VLOOKUP($C304,Vertices!$A$10:$F$203, 5, FALSE)</f>
        <v>100</v>
      </c>
      <c r="M304" s="11">
        <f>VLOOKUP($C304,Vertices!$A$10:$F$203, 6, FALSE)</f>
        <v>80</v>
      </c>
      <c r="N304" s="9">
        <f>VLOOKUP($D304,Vertices!$A$10:$F$203, 3, FALSE)</f>
        <v>0</v>
      </c>
      <c r="O304" s="10">
        <f>VLOOKUP($D304,Vertices!$A$10:$F$203, 4, FALSE)</f>
        <v>40</v>
      </c>
      <c r="P304" s="10">
        <f>VLOOKUP($D304,Vertices!$A$10:$F$203, 5, FALSE)</f>
        <v>100</v>
      </c>
      <c r="Q304" s="11">
        <f>VLOOKUP($D304,Vertices!$A$10:$F$203, 6, FALSE)</f>
        <v>60</v>
      </c>
    </row>
    <row r="305" spans="1:17" x14ac:dyDescent="0.25">
      <c r="A305">
        <v>295</v>
      </c>
      <c r="B305">
        <v>163</v>
      </c>
      <c r="C305">
        <v>182</v>
      </c>
      <c r="D305">
        <v>183</v>
      </c>
      <c r="F305" s="9">
        <f>VLOOKUP($B305,Vertices!$A$10:$F$203, 3, FALSE)</f>
        <v>0</v>
      </c>
      <c r="G305" s="10">
        <f>VLOOKUP($B305,Vertices!$A$10:$F$203, 4, FALSE)</f>
        <v>40</v>
      </c>
      <c r="H305" s="10">
        <f>VLOOKUP($B305,Vertices!$A$10:$F$203, 5, FALSE)</f>
        <v>100</v>
      </c>
      <c r="I305" s="11">
        <f>VLOOKUP($B305,Vertices!$A$10:$F$203, 6, FALSE)</f>
        <v>60</v>
      </c>
      <c r="J305" s="9">
        <f>VLOOKUP($C305,Vertices!$A$10:$F$203, 3, FALSE)</f>
        <v>0</v>
      </c>
      <c r="K305" s="10">
        <f>VLOOKUP($C305,Vertices!$A$10:$F$203, 4, FALSE)</f>
        <v>40</v>
      </c>
      <c r="L305" s="10">
        <f>VLOOKUP($C305,Vertices!$A$10:$F$203, 5, FALSE)</f>
        <v>100</v>
      </c>
      <c r="M305" s="11">
        <f>VLOOKUP($C305,Vertices!$A$10:$F$203, 6, FALSE)</f>
        <v>80</v>
      </c>
      <c r="N305" s="9">
        <f>VLOOKUP($D305,Vertices!$A$10:$F$203, 3, FALSE)</f>
        <v>0</v>
      </c>
      <c r="O305" s="10">
        <f>VLOOKUP($D305,Vertices!$A$10:$F$203, 4, FALSE)</f>
        <v>70</v>
      </c>
      <c r="P305" s="10">
        <f>VLOOKUP($D305,Vertices!$A$10:$F$203, 5, FALSE)</f>
        <v>100</v>
      </c>
      <c r="Q305" s="11">
        <f>VLOOKUP($D305,Vertices!$A$10:$F$203, 6, FALSE)</f>
        <v>80</v>
      </c>
    </row>
    <row r="306" spans="1:17" x14ac:dyDescent="0.25">
      <c r="A306">
        <v>296</v>
      </c>
      <c r="B306">
        <v>163</v>
      </c>
      <c r="C306">
        <v>183</v>
      </c>
      <c r="D306">
        <v>164</v>
      </c>
      <c r="F306" s="9">
        <f>VLOOKUP($B306,Vertices!$A$10:$F$203, 3, FALSE)</f>
        <v>0</v>
      </c>
      <c r="G306" s="10">
        <f>VLOOKUP($B306,Vertices!$A$10:$F$203, 4, FALSE)</f>
        <v>40</v>
      </c>
      <c r="H306" s="10">
        <f>VLOOKUP($B306,Vertices!$A$10:$F$203, 5, FALSE)</f>
        <v>100</v>
      </c>
      <c r="I306" s="11">
        <f>VLOOKUP($B306,Vertices!$A$10:$F$203, 6, FALSE)</f>
        <v>60</v>
      </c>
      <c r="J306" s="9">
        <f>VLOOKUP($C306,Vertices!$A$10:$F$203, 3, FALSE)</f>
        <v>0</v>
      </c>
      <c r="K306" s="10">
        <f>VLOOKUP($C306,Vertices!$A$10:$F$203, 4, FALSE)</f>
        <v>70</v>
      </c>
      <c r="L306" s="10">
        <f>VLOOKUP($C306,Vertices!$A$10:$F$203, 5, FALSE)</f>
        <v>100</v>
      </c>
      <c r="M306" s="11">
        <f>VLOOKUP($C306,Vertices!$A$10:$F$203, 6, FALSE)</f>
        <v>80</v>
      </c>
      <c r="N306" s="9">
        <f>VLOOKUP($D306,Vertices!$A$10:$F$203, 3, FALSE)</f>
        <v>0</v>
      </c>
      <c r="O306" s="10">
        <f>VLOOKUP($D306,Vertices!$A$10:$F$203, 4, FALSE)</f>
        <v>70</v>
      </c>
      <c r="P306" s="10">
        <f>VLOOKUP($D306,Vertices!$A$10:$F$203, 5, FALSE)</f>
        <v>100</v>
      </c>
      <c r="Q306" s="11">
        <f>VLOOKUP($D306,Vertices!$A$10:$F$203, 6, FALSE)</f>
        <v>60</v>
      </c>
    </row>
    <row r="307" spans="1:17" x14ac:dyDescent="0.25">
      <c r="A307">
        <v>297</v>
      </c>
      <c r="B307">
        <v>164</v>
      </c>
      <c r="C307">
        <v>183</v>
      </c>
      <c r="D307">
        <v>184</v>
      </c>
      <c r="F307" s="9">
        <f>VLOOKUP($B307,Vertices!$A$10:$F$203, 3, FALSE)</f>
        <v>0</v>
      </c>
      <c r="G307" s="10">
        <f>VLOOKUP($B307,Vertices!$A$10:$F$203, 4, FALSE)</f>
        <v>70</v>
      </c>
      <c r="H307" s="10">
        <f>VLOOKUP($B307,Vertices!$A$10:$F$203, 5, FALSE)</f>
        <v>100</v>
      </c>
      <c r="I307" s="11">
        <f>VLOOKUP($B307,Vertices!$A$10:$F$203, 6, FALSE)</f>
        <v>60</v>
      </c>
      <c r="J307" s="9">
        <f>VLOOKUP($C307,Vertices!$A$10:$F$203, 3, FALSE)</f>
        <v>0</v>
      </c>
      <c r="K307" s="10">
        <f>VLOOKUP($C307,Vertices!$A$10:$F$203, 4, FALSE)</f>
        <v>70</v>
      </c>
      <c r="L307" s="10">
        <f>VLOOKUP($C307,Vertices!$A$10:$F$203, 5, FALSE)</f>
        <v>100</v>
      </c>
      <c r="M307" s="11">
        <f>VLOOKUP($C307,Vertices!$A$10:$F$203, 6, FALSE)</f>
        <v>80</v>
      </c>
      <c r="N307" s="9">
        <f>VLOOKUP($D307,Vertices!$A$10:$F$203, 3, FALSE)</f>
        <v>0</v>
      </c>
      <c r="O307" s="10">
        <f>VLOOKUP($D307,Vertices!$A$10:$F$203, 4, FALSE)</f>
        <v>100</v>
      </c>
      <c r="P307" s="10">
        <f>VLOOKUP($D307,Vertices!$A$10:$F$203, 5, FALSE)</f>
        <v>100</v>
      </c>
      <c r="Q307" s="11">
        <f>VLOOKUP($D307,Vertices!$A$10:$F$203, 6, FALSE)</f>
        <v>80</v>
      </c>
    </row>
    <row r="308" spans="1:17" x14ac:dyDescent="0.25">
      <c r="A308">
        <v>298</v>
      </c>
      <c r="B308">
        <v>164</v>
      </c>
      <c r="C308">
        <v>184</v>
      </c>
      <c r="D308">
        <v>165</v>
      </c>
      <c r="F308" s="9">
        <f>VLOOKUP($B308,Vertices!$A$10:$F$203, 3, FALSE)</f>
        <v>0</v>
      </c>
      <c r="G308" s="10">
        <f>VLOOKUP($B308,Vertices!$A$10:$F$203, 4, FALSE)</f>
        <v>70</v>
      </c>
      <c r="H308" s="10">
        <f>VLOOKUP($B308,Vertices!$A$10:$F$203, 5, FALSE)</f>
        <v>100</v>
      </c>
      <c r="I308" s="11">
        <f>VLOOKUP($B308,Vertices!$A$10:$F$203, 6, FALSE)</f>
        <v>60</v>
      </c>
      <c r="J308" s="9">
        <f>VLOOKUP($C308,Vertices!$A$10:$F$203, 3, FALSE)</f>
        <v>0</v>
      </c>
      <c r="K308" s="10">
        <f>VLOOKUP($C308,Vertices!$A$10:$F$203, 4, FALSE)</f>
        <v>100</v>
      </c>
      <c r="L308" s="10">
        <f>VLOOKUP($C308,Vertices!$A$10:$F$203, 5, FALSE)</f>
        <v>100</v>
      </c>
      <c r="M308" s="11">
        <f>VLOOKUP($C308,Vertices!$A$10:$F$203, 6, FALSE)</f>
        <v>80</v>
      </c>
      <c r="N308" s="9">
        <f>VLOOKUP($D308,Vertices!$A$10:$F$203, 3, FALSE)</f>
        <v>0</v>
      </c>
      <c r="O308" s="10">
        <f>VLOOKUP($D308,Vertices!$A$10:$F$203, 4, FALSE)</f>
        <v>100</v>
      </c>
      <c r="P308" s="10">
        <f>VLOOKUP($D308,Vertices!$A$10:$F$203, 5, FALSE)</f>
        <v>100</v>
      </c>
      <c r="Q308" s="11">
        <f>VLOOKUP($D308,Vertices!$A$10:$F$203, 6, FALSE)</f>
        <v>60</v>
      </c>
    </row>
    <row r="309" spans="1:17" x14ac:dyDescent="0.25">
      <c r="A309">
        <v>299</v>
      </c>
      <c r="B309">
        <v>181</v>
      </c>
      <c r="C309">
        <v>191</v>
      </c>
      <c r="D309">
        <v>182</v>
      </c>
      <c r="F309" s="9">
        <f>VLOOKUP($B309,Vertices!$A$10:$F$203, 3, FALSE)</f>
        <v>0</v>
      </c>
      <c r="G309" s="10">
        <f>VLOOKUP($B309,Vertices!$A$10:$F$203, 4, FALSE)</f>
        <v>0</v>
      </c>
      <c r="H309" s="10">
        <f>VLOOKUP($B309,Vertices!$A$10:$F$203, 5, FALSE)</f>
        <v>100</v>
      </c>
      <c r="I309" s="11">
        <f>VLOOKUP($B309,Vertices!$A$10:$F$203, 6, FALSE)</f>
        <v>80</v>
      </c>
      <c r="J309" s="9">
        <f>VLOOKUP($C309,Vertices!$A$10:$F$203, 3, FALSE)</f>
        <v>0</v>
      </c>
      <c r="K309" s="10">
        <f>VLOOKUP($C309,Vertices!$A$10:$F$203, 4, FALSE)</f>
        <v>0</v>
      </c>
      <c r="L309" s="10">
        <f>VLOOKUP($C309,Vertices!$A$10:$F$203, 5, FALSE)</f>
        <v>100</v>
      </c>
      <c r="M309" s="11">
        <f>VLOOKUP($C309,Vertices!$A$10:$F$203, 6, FALSE)</f>
        <v>100</v>
      </c>
      <c r="N309" s="9">
        <f>VLOOKUP($D309,Vertices!$A$10:$F$203, 3, FALSE)</f>
        <v>0</v>
      </c>
      <c r="O309" s="10">
        <f>VLOOKUP($D309,Vertices!$A$10:$F$203, 4, FALSE)</f>
        <v>40</v>
      </c>
      <c r="P309" s="10">
        <f>VLOOKUP($D309,Vertices!$A$10:$F$203, 5, FALSE)</f>
        <v>100</v>
      </c>
      <c r="Q309" s="11">
        <f>VLOOKUP($D309,Vertices!$A$10:$F$203, 6, FALSE)</f>
        <v>80</v>
      </c>
    </row>
    <row r="310" spans="1:17" x14ac:dyDescent="0.25">
      <c r="A310">
        <v>300</v>
      </c>
      <c r="B310">
        <v>182</v>
      </c>
      <c r="C310">
        <v>191</v>
      </c>
      <c r="D310">
        <v>192</v>
      </c>
      <c r="F310" s="9">
        <f>VLOOKUP($B310,Vertices!$A$10:$F$203, 3, FALSE)</f>
        <v>0</v>
      </c>
      <c r="G310" s="10">
        <f>VLOOKUP($B310,Vertices!$A$10:$F$203, 4, FALSE)</f>
        <v>40</v>
      </c>
      <c r="H310" s="10">
        <f>VLOOKUP($B310,Vertices!$A$10:$F$203, 5, FALSE)</f>
        <v>100</v>
      </c>
      <c r="I310" s="11">
        <f>VLOOKUP($B310,Vertices!$A$10:$F$203, 6, FALSE)</f>
        <v>80</v>
      </c>
      <c r="J310" s="9">
        <f>VLOOKUP($C310,Vertices!$A$10:$F$203, 3, FALSE)</f>
        <v>0</v>
      </c>
      <c r="K310" s="10">
        <f>VLOOKUP($C310,Vertices!$A$10:$F$203, 4, FALSE)</f>
        <v>0</v>
      </c>
      <c r="L310" s="10">
        <f>VLOOKUP($C310,Vertices!$A$10:$F$203, 5, FALSE)</f>
        <v>100</v>
      </c>
      <c r="M310" s="11">
        <f>VLOOKUP($C310,Vertices!$A$10:$F$203, 6, FALSE)</f>
        <v>100</v>
      </c>
      <c r="N310" s="9">
        <f>VLOOKUP($D310,Vertices!$A$10:$F$203, 3, FALSE)</f>
        <v>0</v>
      </c>
      <c r="O310" s="10">
        <f>VLOOKUP($D310,Vertices!$A$10:$F$203, 4, FALSE)</f>
        <v>100</v>
      </c>
      <c r="P310" s="10">
        <f>VLOOKUP($D310,Vertices!$A$10:$F$203, 5, FALSE)</f>
        <v>100</v>
      </c>
      <c r="Q310" s="11">
        <f>VLOOKUP($D310,Vertices!$A$10:$F$203, 6, FALSE)</f>
        <v>100</v>
      </c>
    </row>
    <row r="311" spans="1:17" x14ac:dyDescent="0.25">
      <c r="A311">
        <v>301</v>
      </c>
      <c r="B311">
        <v>182</v>
      </c>
      <c r="C311">
        <v>192</v>
      </c>
      <c r="D311">
        <v>183</v>
      </c>
      <c r="F311" s="9">
        <f>VLOOKUP($B311,Vertices!$A$10:$F$203, 3, FALSE)</f>
        <v>0</v>
      </c>
      <c r="G311" s="10">
        <f>VLOOKUP($B311,Vertices!$A$10:$F$203, 4, FALSE)</f>
        <v>40</v>
      </c>
      <c r="H311" s="10">
        <f>VLOOKUP($B311,Vertices!$A$10:$F$203, 5, FALSE)</f>
        <v>100</v>
      </c>
      <c r="I311" s="11">
        <f>VLOOKUP($B311,Vertices!$A$10:$F$203, 6, FALSE)</f>
        <v>80</v>
      </c>
      <c r="J311" s="9">
        <f>VLOOKUP($C311,Vertices!$A$10:$F$203, 3, FALSE)</f>
        <v>0</v>
      </c>
      <c r="K311" s="10">
        <f>VLOOKUP($C311,Vertices!$A$10:$F$203, 4, FALSE)</f>
        <v>100</v>
      </c>
      <c r="L311" s="10">
        <f>VLOOKUP($C311,Vertices!$A$10:$F$203, 5, FALSE)</f>
        <v>100</v>
      </c>
      <c r="M311" s="11">
        <f>VLOOKUP($C311,Vertices!$A$10:$F$203, 6, FALSE)</f>
        <v>100</v>
      </c>
      <c r="N311" s="9">
        <f>VLOOKUP($D311,Vertices!$A$10:$F$203, 3, FALSE)</f>
        <v>0</v>
      </c>
      <c r="O311" s="10">
        <f>VLOOKUP($D311,Vertices!$A$10:$F$203, 4, FALSE)</f>
        <v>70</v>
      </c>
      <c r="P311" s="10">
        <f>VLOOKUP($D311,Vertices!$A$10:$F$203, 5, FALSE)</f>
        <v>100</v>
      </c>
      <c r="Q311" s="11">
        <f>VLOOKUP($D311,Vertices!$A$10:$F$203, 6, FALSE)</f>
        <v>80</v>
      </c>
    </row>
    <row r="312" spans="1:17" x14ac:dyDescent="0.25">
      <c r="A312">
        <v>302</v>
      </c>
      <c r="B312">
        <v>183</v>
      </c>
      <c r="C312">
        <v>192</v>
      </c>
      <c r="D312">
        <v>184</v>
      </c>
      <c r="F312" s="9">
        <f>VLOOKUP($B312,Vertices!$A$10:$F$203, 3, FALSE)</f>
        <v>0</v>
      </c>
      <c r="G312" s="10">
        <f>VLOOKUP($B312,Vertices!$A$10:$F$203, 4, FALSE)</f>
        <v>70</v>
      </c>
      <c r="H312" s="10">
        <f>VLOOKUP($B312,Vertices!$A$10:$F$203, 5, FALSE)</f>
        <v>100</v>
      </c>
      <c r="I312" s="11">
        <f>VLOOKUP($B312,Vertices!$A$10:$F$203, 6, FALSE)</f>
        <v>80</v>
      </c>
      <c r="J312" s="9">
        <f>VLOOKUP($C312,Vertices!$A$10:$F$203, 3, FALSE)</f>
        <v>0</v>
      </c>
      <c r="K312" s="10">
        <f>VLOOKUP($C312,Vertices!$A$10:$F$203, 4, FALSE)</f>
        <v>100</v>
      </c>
      <c r="L312" s="10">
        <f>VLOOKUP($C312,Vertices!$A$10:$F$203, 5, FALSE)</f>
        <v>100</v>
      </c>
      <c r="M312" s="11">
        <f>VLOOKUP($C312,Vertices!$A$10:$F$203, 6, FALSE)</f>
        <v>100</v>
      </c>
      <c r="N312" s="9">
        <f>VLOOKUP($D312,Vertices!$A$10:$F$203, 3, FALSE)</f>
        <v>0</v>
      </c>
      <c r="O312" s="10">
        <f>VLOOKUP($D312,Vertices!$A$10:$F$203, 4, FALSE)</f>
        <v>100</v>
      </c>
      <c r="P312" s="10">
        <f>VLOOKUP($D312,Vertices!$A$10:$F$203, 5, FALSE)</f>
        <v>100</v>
      </c>
      <c r="Q312" s="11">
        <f>VLOOKUP($D312,Vertices!$A$10:$F$203, 6, FALSE)</f>
        <v>80</v>
      </c>
    </row>
    <row r="313" spans="1:17" x14ac:dyDescent="0.25">
      <c r="A313">
        <v>303</v>
      </c>
      <c r="B313">
        <v>81</v>
      </c>
      <c r="C313">
        <v>117</v>
      </c>
      <c r="D313">
        <v>111</v>
      </c>
      <c r="F313" s="9">
        <f>VLOOKUP($B313,Vertices!$A$10:$F$203, 3, FALSE)</f>
        <v>0</v>
      </c>
      <c r="G313" s="10">
        <f>VLOOKUP($B313,Vertices!$A$10:$F$203, 4, FALSE)</f>
        <v>0</v>
      </c>
      <c r="H313" s="10">
        <f>VLOOKUP($B313,Vertices!$A$10:$F$203, 5, FALSE)</f>
        <v>100</v>
      </c>
      <c r="I313" s="11">
        <f>VLOOKUP($B313,Vertices!$A$10:$F$203, 6, FALSE)</f>
        <v>0</v>
      </c>
      <c r="J313" s="9">
        <f>VLOOKUP($C313,Vertices!$A$10:$F$203, 3, FALSE)</f>
        <v>10</v>
      </c>
      <c r="K313" s="10">
        <f>VLOOKUP($C313,Vertices!$A$10:$F$203, 4, FALSE)</f>
        <v>0</v>
      </c>
      <c r="L313" s="10">
        <f>VLOOKUP($C313,Vertices!$A$10:$F$203, 5, FALSE)</f>
        <v>100</v>
      </c>
      <c r="M313" s="11">
        <f>VLOOKUP($C313,Vertices!$A$10:$F$203, 6, FALSE)</f>
        <v>20</v>
      </c>
      <c r="N313" s="9">
        <f>VLOOKUP($D313,Vertices!$A$10:$F$203, 3, FALSE)</f>
        <v>0</v>
      </c>
      <c r="O313" s="10">
        <f>VLOOKUP($D313,Vertices!$A$10:$F$203, 4, FALSE)</f>
        <v>0</v>
      </c>
      <c r="P313" s="10">
        <f>VLOOKUP($D313,Vertices!$A$10:$F$203, 5, FALSE)</f>
        <v>100</v>
      </c>
      <c r="Q313" s="11">
        <f>VLOOKUP($D313,Vertices!$A$10:$F$203, 6, FALSE)</f>
        <v>20</v>
      </c>
    </row>
    <row r="314" spans="1:17" x14ac:dyDescent="0.25">
      <c r="A314">
        <v>304</v>
      </c>
      <c r="B314">
        <v>81</v>
      </c>
      <c r="C314">
        <v>87</v>
      </c>
      <c r="D314">
        <v>117</v>
      </c>
      <c r="F314" s="9">
        <f>VLOOKUP($B314,Vertices!$A$10:$F$203, 3, FALSE)</f>
        <v>0</v>
      </c>
      <c r="G314" s="10">
        <f>VLOOKUP($B314,Vertices!$A$10:$F$203, 4, FALSE)</f>
        <v>0</v>
      </c>
      <c r="H314" s="10">
        <f>VLOOKUP($B314,Vertices!$A$10:$F$203, 5, FALSE)</f>
        <v>100</v>
      </c>
      <c r="I314" s="11">
        <f>VLOOKUP($B314,Vertices!$A$10:$F$203, 6, FALSE)</f>
        <v>0</v>
      </c>
      <c r="J314" s="9">
        <f>VLOOKUP($C314,Vertices!$A$10:$F$203, 3, FALSE)</f>
        <v>10</v>
      </c>
      <c r="K314" s="10">
        <f>VLOOKUP($C314,Vertices!$A$10:$F$203, 4, FALSE)</f>
        <v>0</v>
      </c>
      <c r="L314" s="10">
        <f>VLOOKUP($C314,Vertices!$A$10:$F$203, 5, FALSE)</f>
        <v>100</v>
      </c>
      <c r="M314" s="11">
        <f>VLOOKUP($C314,Vertices!$A$10:$F$203, 6, FALSE)</f>
        <v>0</v>
      </c>
      <c r="N314" s="9">
        <f>VLOOKUP($D314,Vertices!$A$10:$F$203, 3, FALSE)</f>
        <v>10</v>
      </c>
      <c r="O314" s="10">
        <f>VLOOKUP($D314,Vertices!$A$10:$F$203, 4, FALSE)</f>
        <v>0</v>
      </c>
      <c r="P314" s="10">
        <f>VLOOKUP($D314,Vertices!$A$10:$F$203, 5, FALSE)</f>
        <v>100</v>
      </c>
      <c r="Q314" s="11">
        <f>VLOOKUP($D314,Vertices!$A$10:$F$203, 6, FALSE)</f>
        <v>20</v>
      </c>
    </row>
    <row r="315" spans="1:17" x14ac:dyDescent="0.25">
      <c r="A315">
        <v>305</v>
      </c>
      <c r="B315">
        <v>87</v>
      </c>
      <c r="C315">
        <v>118</v>
      </c>
      <c r="D315">
        <v>117</v>
      </c>
      <c r="F315" s="9">
        <f>VLOOKUP($B315,Vertices!$A$10:$F$203, 3, FALSE)</f>
        <v>10</v>
      </c>
      <c r="G315" s="10">
        <f>VLOOKUP($B315,Vertices!$A$10:$F$203, 4, FALSE)</f>
        <v>0</v>
      </c>
      <c r="H315" s="10">
        <f>VLOOKUP($B315,Vertices!$A$10:$F$203, 5, FALSE)</f>
        <v>100</v>
      </c>
      <c r="I315" s="11">
        <f>VLOOKUP($B315,Vertices!$A$10:$F$203, 6, FALSE)</f>
        <v>0</v>
      </c>
      <c r="J315" s="9">
        <f>VLOOKUP($C315,Vertices!$A$10:$F$203, 3, FALSE)</f>
        <v>20</v>
      </c>
      <c r="K315" s="10">
        <f>VLOOKUP($C315,Vertices!$A$10:$F$203, 4, FALSE)</f>
        <v>0</v>
      </c>
      <c r="L315" s="10">
        <f>VLOOKUP($C315,Vertices!$A$10:$F$203, 5, FALSE)</f>
        <v>100</v>
      </c>
      <c r="M315" s="11">
        <f>VLOOKUP($C315,Vertices!$A$10:$F$203, 6, FALSE)</f>
        <v>20</v>
      </c>
      <c r="N315" s="9">
        <f>VLOOKUP($D315,Vertices!$A$10:$F$203, 3, FALSE)</f>
        <v>10</v>
      </c>
      <c r="O315" s="10">
        <f>VLOOKUP($D315,Vertices!$A$10:$F$203, 4, FALSE)</f>
        <v>0</v>
      </c>
      <c r="P315" s="10">
        <f>VLOOKUP($D315,Vertices!$A$10:$F$203, 5, FALSE)</f>
        <v>100</v>
      </c>
      <c r="Q315" s="11">
        <f>VLOOKUP($D315,Vertices!$A$10:$F$203, 6, FALSE)</f>
        <v>20</v>
      </c>
    </row>
    <row r="316" spans="1:17" x14ac:dyDescent="0.25">
      <c r="A316">
        <v>306</v>
      </c>
      <c r="B316">
        <v>87</v>
      </c>
      <c r="C316">
        <v>88</v>
      </c>
      <c r="D316">
        <v>118</v>
      </c>
      <c r="F316" s="9">
        <f>VLOOKUP($B316,Vertices!$A$10:$F$203, 3, FALSE)</f>
        <v>10</v>
      </c>
      <c r="G316" s="10">
        <f>VLOOKUP($B316,Vertices!$A$10:$F$203, 4, FALSE)</f>
        <v>0</v>
      </c>
      <c r="H316" s="10">
        <f>VLOOKUP($B316,Vertices!$A$10:$F$203, 5, FALSE)</f>
        <v>100</v>
      </c>
      <c r="I316" s="11">
        <f>VLOOKUP($B316,Vertices!$A$10:$F$203, 6, FALSE)</f>
        <v>0</v>
      </c>
      <c r="J316" s="9">
        <f>VLOOKUP($C316,Vertices!$A$10:$F$203, 3, FALSE)</f>
        <v>20</v>
      </c>
      <c r="K316" s="10">
        <f>VLOOKUP($C316,Vertices!$A$10:$F$203, 4, FALSE)</f>
        <v>0</v>
      </c>
      <c r="L316" s="10">
        <f>VLOOKUP($C316,Vertices!$A$10:$F$203, 5, FALSE)</f>
        <v>100</v>
      </c>
      <c r="M316" s="11">
        <f>VLOOKUP($C316,Vertices!$A$10:$F$203, 6, FALSE)</f>
        <v>0</v>
      </c>
      <c r="N316" s="9">
        <f>VLOOKUP($D316,Vertices!$A$10:$F$203, 3, FALSE)</f>
        <v>20</v>
      </c>
      <c r="O316" s="10">
        <f>VLOOKUP($D316,Vertices!$A$10:$F$203, 4, FALSE)</f>
        <v>0</v>
      </c>
      <c r="P316" s="10">
        <f>VLOOKUP($D316,Vertices!$A$10:$F$203, 5, FALSE)</f>
        <v>100</v>
      </c>
      <c r="Q316" s="11">
        <f>VLOOKUP($D316,Vertices!$A$10:$F$203, 6, FALSE)</f>
        <v>20</v>
      </c>
    </row>
    <row r="317" spans="1:17" x14ac:dyDescent="0.25">
      <c r="A317">
        <v>307</v>
      </c>
      <c r="B317">
        <v>88</v>
      </c>
      <c r="C317">
        <v>119</v>
      </c>
      <c r="D317">
        <v>118</v>
      </c>
      <c r="F317" s="9">
        <f>VLOOKUP($B317,Vertices!$A$10:$F$203, 3, FALSE)</f>
        <v>20</v>
      </c>
      <c r="G317" s="10">
        <f>VLOOKUP($B317,Vertices!$A$10:$F$203, 4, FALSE)</f>
        <v>0</v>
      </c>
      <c r="H317" s="10">
        <f>VLOOKUP($B317,Vertices!$A$10:$F$203, 5, FALSE)</f>
        <v>100</v>
      </c>
      <c r="I317" s="11">
        <f>VLOOKUP($B317,Vertices!$A$10:$F$203, 6, FALSE)</f>
        <v>0</v>
      </c>
      <c r="J317" s="9">
        <f>VLOOKUP($C317,Vertices!$A$10:$F$203, 3, FALSE)</f>
        <v>40</v>
      </c>
      <c r="K317" s="10">
        <f>VLOOKUP($C317,Vertices!$A$10:$F$203, 4, FALSE)</f>
        <v>0</v>
      </c>
      <c r="L317" s="10">
        <f>VLOOKUP($C317,Vertices!$A$10:$F$203, 5, FALSE)</f>
        <v>100</v>
      </c>
      <c r="M317" s="11">
        <f>VLOOKUP($C317,Vertices!$A$10:$F$203, 6, FALSE)</f>
        <v>20</v>
      </c>
      <c r="N317" s="9">
        <f>VLOOKUP($D317,Vertices!$A$10:$F$203, 3, FALSE)</f>
        <v>20</v>
      </c>
      <c r="O317" s="10">
        <f>VLOOKUP($D317,Vertices!$A$10:$F$203, 4, FALSE)</f>
        <v>0</v>
      </c>
      <c r="P317" s="10">
        <f>VLOOKUP($D317,Vertices!$A$10:$F$203, 5, FALSE)</f>
        <v>100</v>
      </c>
      <c r="Q317" s="11">
        <f>VLOOKUP($D317,Vertices!$A$10:$F$203, 6, FALSE)</f>
        <v>20</v>
      </c>
    </row>
    <row r="318" spans="1:17" x14ac:dyDescent="0.25">
      <c r="A318">
        <v>308</v>
      </c>
      <c r="B318">
        <v>88</v>
      </c>
      <c r="C318">
        <v>89</v>
      </c>
      <c r="D318">
        <v>119</v>
      </c>
      <c r="F318" s="9">
        <f>VLOOKUP($B318,Vertices!$A$10:$F$203, 3, FALSE)</f>
        <v>20</v>
      </c>
      <c r="G318" s="10">
        <f>VLOOKUP($B318,Vertices!$A$10:$F$203, 4, FALSE)</f>
        <v>0</v>
      </c>
      <c r="H318" s="10">
        <f>VLOOKUP($B318,Vertices!$A$10:$F$203, 5, FALSE)</f>
        <v>100</v>
      </c>
      <c r="I318" s="11">
        <f>VLOOKUP($B318,Vertices!$A$10:$F$203, 6, FALSE)</f>
        <v>0</v>
      </c>
      <c r="J318" s="9">
        <f>VLOOKUP($C318,Vertices!$A$10:$F$203, 3, FALSE)</f>
        <v>40</v>
      </c>
      <c r="K318" s="10">
        <f>VLOOKUP($C318,Vertices!$A$10:$F$203, 4, FALSE)</f>
        <v>0</v>
      </c>
      <c r="L318" s="10">
        <f>VLOOKUP($C318,Vertices!$A$10:$F$203, 5, FALSE)</f>
        <v>100</v>
      </c>
      <c r="M318" s="11">
        <f>VLOOKUP($C318,Vertices!$A$10:$F$203, 6, FALSE)</f>
        <v>0</v>
      </c>
      <c r="N318" s="9">
        <f>VLOOKUP($D318,Vertices!$A$10:$F$203, 3, FALSE)</f>
        <v>40</v>
      </c>
      <c r="O318" s="10">
        <f>VLOOKUP($D318,Vertices!$A$10:$F$203, 4, FALSE)</f>
        <v>0</v>
      </c>
      <c r="P318" s="10">
        <f>VLOOKUP($D318,Vertices!$A$10:$F$203, 5, FALSE)</f>
        <v>100</v>
      </c>
      <c r="Q318" s="11">
        <f>VLOOKUP($D318,Vertices!$A$10:$F$203, 6, FALSE)</f>
        <v>20</v>
      </c>
    </row>
    <row r="319" spans="1:17" x14ac:dyDescent="0.25">
      <c r="A319">
        <v>309</v>
      </c>
      <c r="B319">
        <v>89</v>
      </c>
      <c r="C319">
        <v>120</v>
      </c>
      <c r="D319">
        <v>119</v>
      </c>
      <c r="F319" s="9">
        <f>VLOOKUP($B319,Vertices!$A$10:$F$203, 3, FALSE)</f>
        <v>40</v>
      </c>
      <c r="G319" s="10">
        <f>VLOOKUP($B319,Vertices!$A$10:$F$203, 4, FALSE)</f>
        <v>0</v>
      </c>
      <c r="H319" s="10">
        <f>VLOOKUP($B319,Vertices!$A$10:$F$203, 5, FALSE)</f>
        <v>100</v>
      </c>
      <c r="I319" s="11">
        <f>VLOOKUP($B319,Vertices!$A$10:$F$203, 6, FALSE)</f>
        <v>0</v>
      </c>
      <c r="J319" s="9">
        <f>VLOOKUP($C319,Vertices!$A$10:$F$203, 3, FALSE)</f>
        <v>70</v>
      </c>
      <c r="K319" s="10">
        <f>VLOOKUP($C319,Vertices!$A$10:$F$203, 4, FALSE)</f>
        <v>0</v>
      </c>
      <c r="L319" s="10">
        <f>VLOOKUP($C319,Vertices!$A$10:$F$203, 5, FALSE)</f>
        <v>100</v>
      </c>
      <c r="M319" s="11">
        <f>VLOOKUP($C319,Vertices!$A$10:$F$203, 6, FALSE)</f>
        <v>20</v>
      </c>
      <c r="N319" s="9">
        <f>VLOOKUP($D319,Vertices!$A$10:$F$203, 3, FALSE)</f>
        <v>40</v>
      </c>
      <c r="O319" s="10">
        <f>VLOOKUP($D319,Vertices!$A$10:$F$203, 4, FALSE)</f>
        <v>0</v>
      </c>
      <c r="P319" s="10">
        <f>VLOOKUP($D319,Vertices!$A$10:$F$203, 5, FALSE)</f>
        <v>100</v>
      </c>
      <c r="Q319" s="11">
        <f>VLOOKUP($D319,Vertices!$A$10:$F$203, 6, FALSE)</f>
        <v>20</v>
      </c>
    </row>
    <row r="320" spans="1:17" x14ac:dyDescent="0.25">
      <c r="A320">
        <v>310</v>
      </c>
      <c r="B320">
        <v>89</v>
      </c>
      <c r="C320">
        <v>90</v>
      </c>
      <c r="D320">
        <v>120</v>
      </c>
      <c r="F320" s="9">
        <f>VLOOKUP($B320,Vertices!$A$10:$F$203, 3, FALSE)</f>
        <v>40</v>
      </c>
      <c r="G320" s="10">
        <f>VLOOKUP($B320,Vertices!$A$10:$F$203, 4, FALSE)</f>
        <v>0</v>
      </c>
      <c r="H320" s="10">
        <f>VLOOKUP($B320,Vertices!$A$10:$F$203, 5, FALSE)</f>
        <v>100</v>
      </c>
      <c r="I320" s="11">
        <f>VLOOKUP($B320,Vertices!$A$10:$F$203, 6, FALSE)</f>
        <v>0</v>
      </c>
      <c r="J320" s="9">
        <f>VLOOKUP($C320,Vertices!$A$10:$F$203, 3, FALSE)</f>
        <v>70</v>
      </c>
      <c r="K320" s="10">
        <f>VLOOKUP($C320,Vertices!$A$10:$F$203, 4, FALSE)</f>
        <v>0</v>
      </c>
      <c r="L320" s="10">
        <f>VLOOKUP($C320,Vertices!$A$10:$F$203, 5, FALSE)</f>
        <v>100</v>
      </c>
      <c r="M320" s="11">
        <f>VLOOKUP($C320,Vertices!$A$10:$F$203, 6, FALSE)</f>
        <v>0</v>
      </c>
      <c r="N320" s="9">
        <f>VLOOKUP($D320,Vertices!$A$10:$F$203, 3, FALSE)</f>
        <v>70</v>
      </c>
      <c r="O320" s="10">
        <f>VLOOKUP($D320,Vertices!$A$10:$F$203, 4, FALSE)</f>
        <v>0</v>
      </c>
      <c r="P320" s="10">
        <f>VLOOKUP($D320,Vertices!$A$10:$F$203, 5, FALSE)</f>
        <v>100</v>
      </c>
      <c r="Q320" s="11">
        <f>VLOOKUP($D320,Vertices!$A$10:$F$203, 6, FALSE)</f>
        <v>20</v>
      </c>
    </row>
    <row r="321" spans="1:17" x14ac:dyDescent="0.25">
      <c r="A321">
        <v>311</v>
      </c>
      <c r="B321">
        <v>90</v>
      </c>
      <c r="C321">
        <v>121</v>
      </c>
      <c r="D321">
        <v>120</v>
      </c>
      <c r="F321" s="9">
        <f>VLOOKUP($B321,Vertices!$A$10:$F$203, 3, FALSE)</f>
        <v>70</v>
      </c>
      <c r="G321" s="10">
        <f>VLOOKUP($B321,Vertices!$A$10:$F$203, 4, FALSE)</f>
        <v>0</v>
      </c>
      <c r="H321" s="10">
        <f>VLOOKUP($B321,Vertices!$A$10:$F$203, 5, FALSE)</f>
        <v>100</v>
      </c>
      <c r="I321" s="11">
        <f>VLOOKUP($B321,Vertices!$A$10:$F$203, 6, FALSE)</f>
        <v>0</v>
      </c>
      <c r="J321" s="9">
        <f>VLOOKUP($C321,Vertices!$A$10:$F$203, 3, FALSE)</f>
        <v>100</v>
      </c>
      <c r="K321" s="10">
        <f>VLOOKUP($C321,Vertices!$A$10:$F$203, 4, FALSE)</f>
        <v>0</v>
      </c>
      <c r="L321" s="10">
        <f>VLOOKUP($C321,Vertices!$A$10:$F$203, 5, FALSE)</f>
        <v>100</v>
      </c>
      <c r="M321" s="11">
        <f>VLOOKUP($C321,Vertices!$A$10:$F$203, 6, FALSE)</f>
        <v>20</v>
      </c>
      <c r="N321" s="9">
        <f>VLOOKUP($D321,Vertices!$A$10:$F$203, 3, FALSE)</f>
        <v>70</v>
      </c>
      <c r="O321" s="10">
        <f>VLOOKUP($D321,Vertices!$A$10:$F$203, 4, FALSE)</f>
        <v>0</v>
      </c>
      <c r="P321" s="10">
        <f>VLOOKUP($D321,Vertices!$A$10:$F$203, 5, FALSE)</f>
        <v>100</v>
      </c>
      <c r="Q321" s="11">
        <f>VLOOKUP($D321,Vertices!$A$10:$F$203, 6, FALSE)</f>
        <v>20</v>
      </c>
    </row>
    <row r="322" spans="1:17" x14ac:dyDescent="0.25">
      <c r="A322">
        <v>312</v>
      </c>
      <c r="B322">
        <v>90</v>
      </c>
      <c r="C322">
        <v>91</v>
      </c>
      <c r="D322">
        <v>121</v>
      </c>
      <c r="F322" s="9">
        <f>VLOOKUP($B322,Vertices!$A$10:$F$203, 3, FALSE)</f>
        <v>70</v>
      </c>
      <c r="G322" s="10">
        <f>VLOOKUP($B322,Vertices!$A$10:$F$203, 4, FALSE)</f>
        <v>0</v>
      </c>
      <c r="H322" s="10">
        <f>VLOOKUP($B322,Vertices!$A$10:$F$203, 5, FALSE)</f>
        <v>100</v>
      </c>
      <c r="I322" s="11">
        <f>VLOOKUP($B322,Vertices!$A$10:$F$203, 6, FALSE)</f>
        <v>0</v>
      </c>
      <c r="J322" s="9">
        <f>VLOOKUP($C322,Vertices!$A$10:$F$203, 3, FALSE)</f>
        <v>100</v>
      </c>
      <c r="K322" s="10">
        <f>VLOOKUP($C322,Vertices!$A$10:$F$203, 4, FALSE)</f>
        <v>0</v>
      </c>
      <c r="L322" s="10">
        <f>VLOOKUP($C322,Vertices!$A$10:$F$203, 5, FALSE)</f>
        <v>100</v>
      </c>
      <c r="M322" s="11">
        <f>VLOOKUP($C322,Vertices!$A$10:$F$203, 6, FALSE)</f>
        <v>0</v>
      </c>
      <c r="N322" s="9">
        <f>VLOOKUP($D322,Vertices!$A$10:$F$203, 3, FALSE)</f>
        <v>100</v>
      </c>
      <c r="O322" s="10">
        <f>VLOOKUP($D322,Vertices!$A$10:$F$203, 4, FALSE)</f>
        <v>0</v>
      </c>
      <c r="P322" s="10">
        <f>VLOOKUP($D322,Vertices!$A$10:$F$203, 5, FALSE)</f>
        <v>100</v>
      </c>
      <c r="Q322" s="11">
        <f>VLOOKUP($D322,Vertices!$A$10:$F$203, 6, FALSE)</f>
        <v>20</v>
      </c>
    </row>
    <row r="323" spans="1:17" x14ac:dyDescent="0.25">
      <c r="A323">
        <v>313</v>
      </c>
      <c r="B323">
        <v>111</v>
      </c>
      <c r="C323">
        <v>117</v>
      </c>
      <c r="D323">
        <v>137</v>
      </c>
      <c r="F323" s="9">
        <f>VLOOKUP($B323,Vertices!$A$10:$F$203, 3, FALSE)</f>
        <v>0</v>
      </c>
      <c r="G323" s="10">
        <f>VLOOKUP($B323,Vertices!$A$10:$F$203, 4, FALSE)</f>
        <v>0</v>
      </c>
      <c r="H323" s="10">
        <f>VLOOKUP($B323,Vertices!$A$10:$F$203, 5, FALSE)</f>
        <v>100</v>
      </c>
      <c r="I323" s="11">
        <f>VLOOKUP($B323,Vertices!$A$10:$F$203, 6, FALSE)</f>
        <v>20</v>
      </c>
      <c r="J323" s="9">
        <f>VLOOKUP($C323,Vertices!$A$10:$F$203, 3, FALSE)</f>
        <v>10</v>
      </c>
      <c r="K323" s="10">
        <f>VLOOKUP($C323,Vertices!$A$10:$F$203, 4, FALSE)</f>
        <v>0</v>
      </c>
      <c r="L323" s="10">
        <f>VLOOKUP($C323,Vertices!$A$10:$F$203, 5, FALSE)</f>
        <v>100</v>
      </c>
      <c r="M323" s="11">
        <f>VLOOKUP($C323,Vertices!$A$10:$F$203, 6, FALSE)</f>
        <v>20</v>
      </c>
      <c r="N323" s="9">
        <f>VLOOKUP($D323,Vertices!$A$10:$F$203, 3, FALSE)</f>
        <v>0</v>
      </c>
      <c r="O323" s="10">
        <f>VLOOKUP($D323,Vertices!$A$10:$F$203, 4, FALSE)</f>
        <v>0</v>
      </c>
      <c r="P323" s="10">
        <f>VLOOKUP($D323,Vertices!$A$10:$F$203, 5, FALSE)</f>
        <v>100</v>
      </c>
      <c r="Q323" s="11">
        <f>VLOOKUP($D323,Vertices!$A$10:$F$203, 6, FALSE)</f>
        <v>40</v>
      </c>
    </row>
    <row r="324" spans="1:17" x14ac:dyDescent="0.25">
      <c r="A324">
        <v>314</v>
      </c>
      <c r="B324">
        <v>137</v>
      </c>
      <c r="C324">
        <v>117</v>
      </c>
      <c r="D324">
        <v>142</v>
      </c>
      <c r="F324" s="9">
        <f>VLOOKUP($B324,Vertices!$A$10:$F$203, 3, FALSE)</f>
        <v>0</v>
      </c>
      <c r="G324" s="10">
        <f>VLOOKUP($B324,Vertices!$A$10:$F$203, 4, FALSE)</f>
        <v>0</v>
      </c>
      <c r="H324" s="10">
        <f>VLOOKUP($B324,Vertices!$A$10:$F$203, 5, FALSE)</f>
        <v>100</v>
      </c>
      <c r="I324" s="11">
        <f>VLOOKUP($B324,Vertices!$A$10:$F$203, 6, FALSE)</f>
        <v>40</v>
      </c>
      <c r="J324" s="9">
        <f>VLOOKUP($C324,Vertices!$A$10:$F$203, 3, FALSE)</f>
        <v>10</v>
      </c>
      <c r="K324" s="10">
        <f>VLOOKUP($C324,Vertices!$A$10:$F$203, 4, FALSE)</f>
        <v>0</v>
      </c>
      <c r="L324" s="10">
        <f>VLOOKUP($C324,Vertices!$A$10:$F$203, 5, FALSE)</f>
        <v>100</v>
      </c>
      <c r="M324" s="11">
        <f>VLOOKUP($C324,Vertices!$A$10:$F$203, 6, FALSE)</f>
        <v>20</v>
      </c>
      <c r="N324" s="9">
        <f>VLOOKUP($D324,Vertices!$A$10:$F$203, 3, FALSE)</f>
        <v>20</v>
      </c>
      <c r="O324" s="10">
        <f>VLOOKUP($D324,Vertices!$A$10:$F$203, 4, FALSE)</f>
        <v>0</v>
      </c>
      <c r="P324" s="10">
        <f>VLOOKUP($D324,Vertices!$A$10:$F$203, 5, FALSE)</f>
        <v>100</v>
      </c>
      <c r="Q324" s="11">
        <f>VLOOKUP($D324,Vertices!$A$10:$F$203, 6, FALSE)</f>
        <v>40</v>
      </c>
    </row>
    <row r="325" spans="1:17" x14ac:dyDescent="0.25">
      <c r="A325">
        <v>315</v>
      </c>
      <c r="B325">
        <v>117</v>
      </c>
      <c r="C325">
        <v>118</v>
      </c>
      <c r="D325">
        <v>142</v>
      </c>
      <c r="F325" s="9">
        <f>VLOOKUP($B325,Vertices!$A$10:$F$203, 3, FALSE)</f>
        <v>10</v>
      </c>
      <c r="G325" s="10">
        <f>VLOOKUP($B325,Vertices!$A$10:$F$203, 4, FALSE)</f>
        <v>0</v>
      </c>
      <c r="H325" s="10">
        <f>VLOOKUP($B325,Vertices!$A$10:$F$203, 5, FALSE)</f>
        <v>100</v>
      </c>
      <c r="I325" s="11">
        <f>VLOOKUP($B325,Vertices!$A$10:$F$203, 6, FALSE)</f>
        <v>20</v>
      </c>
      <c r="J325" s="9">
        <f>VLOOKUP($C325,Vertices!$A$10:$F$203, 3, FALSE)</f>
        <v>20</v>
      </c>
      <c r="K325" s="10">
        <f>VLOOKUP($C325,Vertices!$A$10:$F$203, 4, FALSE)</f>
        <v>0</v>
      </c>
      <c r="L325" s="10">
        <f>VLOOKUP($C325,Vertices!$A$10:$F$203, 5, FALSE)</f>
        <v>100</v>
      </c>
      <c r="M325" s="11">
        <f>VLOOKUP($C325,Vertices!$A$10:$F$203, 6, FALSE)</f>
        <v>20</v>
      </c>
      <c r="N325" s="9">
        <f>VLOOKUP($D325,Vertices!$A$10:$F$203, 3, FALSE)</f>
        <v>20</v>
      </c>
      <c r="O325" s="10">
        <f>VLOOKUP($D325,Vertices!$A$10:$F$203, 4, FALSE)</f>
        <v>0</v>
      </c>
      <c r="P325" s="10">
        <f>VLOOKUP($D325,Vertices!$A$10:$F$203, 5, FALSE)</f>
        <v>100</v>
      </c>
      <c r="Q325" s="11">
        <f>VLOOKUP($D325,Vertices!$A$10:$F$203, 6, FALSE)</f>
        <v>40</v>
      </c>
    </row>
    <row r="326" spans="1:17" x14ac:dyDescent="0.25">
      <c r="A326">
        <v>316</v>
      </c>
      <c r="B326">
        <v>118</v>
      </c>
      <c r="C326">
        <v>143</v>
      </c>
      <c r="D326">
        <v>142</v>
      </c>
      <c r="F326" s="9">
        <f>VLOOKUP($B326,Vertices!$A$10:$F$203, 3, FALSE)</f>
        <v>20</v>
      </c>
      <c r="G326" s="10">
        <f>VLOOKUP($B326,Vertices!$A$10:$F$203, 4, FALSE)</f>
        <v>0</v>
      </c>
      <c r="H326" s="10">
        <f>VLOOKUP($B326,Vertices!$A$10:$F$203, 5, FALSE)</f>
        <v>100</v>
      </c>
      <c r="I326" s="11">
        <f>VLOOKUP($B326,Vertices!$A$10:$F$203, 6, FALSE)</f>
        <v>20</v>
      </c>
      <c r="J326" s="9">
        <f>VLOOKUP($C326,Vertices!$A$10:$F$203, 3, FALSE)</f>
        <v>40</v>
      </c>
      <c r="K326" s="10">
        <f>VLOOKUP($C326,Vertices!$A$10:$F$203, 4, FALSE)</f>
        <v>0</v>
      </c>
      <c r="L326" s="10">
        <f>VLOOKUP($C326,Vertices!$A$10:$F$203, 5, FALSE)</f>
        <v>100</v>
      </c>
      <c r="M326" s="11">
        <f>VLOOKUP($C326,Vertices!$A$10:$F$203, 6, FALSE)</f>
        <v>40</v>
      </c>
      <c r="N326" s="9">
        <f>VLOOKUP($D326,Vertices!$A$10:$F$203, 3, FALSE)</f>
        <v>20</v>
      </c>
      <c r="O326" s="10">
        <f>VLOOKUP($D326,Vertices!$A$10:$F$203, 4, FALSE)</f>
        <v>0</v>
      </c>
      <c r="P326" s="10">
        <f>VLOOKUP($D326,Vertices!$A$10:$F$203, 5, FALSE)</f>
        <v>100</v>
      </c>
      <c r="Q326" s="11">
        <f>VLOOKUP($D326,Vertices!$A$10:$F$203, 6, FALSE)</f>
        <v>40</v>
      </c>
    </row>
    <row r="327" spans="1:17" x14ac:dyDescent="0.25">
      <c r="A327">
        <v>317</v>
      </c>
      <c r="B327">
        <v>118</v>
      </c>
      <c r="C327">
        <v>119</v>
      </c>
      <c r="D327">
        <v>143</v>
      </c>
      <c r="F327" s="9">
        <f>VLOOKUP($B327,Vertices!$A$10:$F$203, 3, FALSE)</f>
        <v>20</v>
      </c>
      <c r="G327" s="10">
        <f>VLOOKUP($B327,Vertices!$A$10:$F$203, 4, FALSE)</f>
        <v>0</v>
      </c>
      <c r="H327" s="10">
        <f>VLOOKUP($B327,Vertices!$A$10:$F$203, 5, FALSE)</f>
        <v>100</v>
      </c>
      <c r="I327" s="11">
        <f>VLOOKUP($B327,Vertices!$A$10:$F$203, 6, FALSE)</f>
        <v>20</v>
      </c>
      <c r="J327" s="9">
        <f>VLOOKUP($C327,Vertices!$A$10:$F$203, 3, FALSE)</f>
        <v>40</v>
      </c>
      <c r="K327" s="10">
        <f>VLOOKUP($C327,Vertices!$A$10:$F$203, 4, FALSE)</f>
        <v>0</v>
      </c>
      <c r="L327" s="10">
        <f>VLOOKUP($C327,Vertices!$A$10:$F$203, 5, FALSE)</f>
        <v>100</v>
      </c>
      <c r="M327" s="11">
        <f>VLOOKUP($C327,Vertices!$A$10:$F$203, 6, FALSE)</f>
        <v>20</v>
      </c>
      <c r="N327" s="9">
        <f>VLOOKUP($D327,Vertices!$A$10:$F$203, 3, FALSE)</f>
        <v>40</v>
      </c>
      <c r="O327" s="10">
        <f>VLOOKUP($D327,Vertices!$A$10:$F$203, 4, FALSE)</f>
        <v>0</v>
      </c>
      <c r="P327" s="10">
        <f>VLOOKUP($D327,Vertices!$A$10:$F$203, 5, FALSE)</f>
        <v>100</v>
      </c>
      <c r="Q327" s="11">
        <f>VLOOKUP($D327,Vertices!$A$10:$F$203, 6, FALSE)</f>
        <v>40</v>
      </c>
    </row>
    <row r="328" spans="1:17" x14ac:dyDescent="0.25">
      <c r="A328">
        <v>318</v>
      </c>
      <c r="B328">
        <v>119</v>
      </c>
      <c r="C328">
        <v>144</v>
      </c>
      <c r="D328">
        <v>143</v>
      </c>
      <c r="F328" s="9">
        <f>VLOOKUP($B328,Vertices!$A$10:$F$203, 3, FALSE)</f>
        <v>40</v>
      </c>
      <c r="G328" s="10">
        <f>VLOOKUP($B328,Vertices!$A$10:$F$203, 4, FALSE)</f>
        <v>0</v>
      </c>
      <c r="H328" s="10">
        <f>VLOOKUP($B328,Vertices!$A$10:$F$203, 5, FALSE)</f>
        <v>100</v>
      </c>
      <c r="I328" s="11">
        <f>VLOOKUP($B328,Vertices!$A$10:$F$203, 6, FALSE)</f>
        <v>20</v>
      </c>
      <c r="J328" s="9">
        <f>VLOOKUP($C328,Vertices!$A$10:$F$203, 3, FALSE)</f>
        <v>70</v>
      </c>
      <c r="K328" s="10">
        <f>VLOOKUP($C328,Vertices!$A$10:$F$203, 4, FALSE)</f>
        <v>0</v>
      </c>
      <c r="L328" s="10">
        <f>VLOOKUP($C328,Vertices!$A$10:$F$203, 5, FALSE)</f>
        <v>100</v>
      </c>
      <c r="M328" s="11">
        <f>VLOOKUP($C328,Vertices!$A$10:$F$203, 6, FALSE)</f>
        <v>40</v>
      </c>
      <c r="N328" s="9">
        <f>VLOOKUP($D328,Vertices!$A$10:$F$203, 3, FALSE)</f>
        <v>40</v>
      </c>
      <c r="O328" s="10">
        <f>VLOOKUP($D328,Vertices!$A$10:$F$203, 4, FALSE)</f>
        <v>0</v>
      </c>
      <c r="P328" s="10">
        <f>VLOOKUP($D328,Vertices!$A$10:$F$203, 5, FALSE)</f>
        <v>100</v>
      </c>
      <c r="Q328" s="11">
        <f>VLOOKUP($D328,Vertices!$A$10:$F$203, 6, FALSE)</f>
        <v>40</v>
      </c>
    </row>
    <row r="329" spans="1:17" x14ac:dyDescent="0.25">
      <c r="A329">
        <v>319</v>
      </c>
      <c r="B329">
        <v>119</v>
      </c>
      <c r="C329">
        <v>120</v>
      </c>
      <c r="D329">
        <v>144</v>
      </c>
      <c r="F329" s="9">
        <f>VLOOKUP($B329,Vertices!$A$10:$F$203, 3, FALSE)</f>
        <v>40</v>
      </c>
      <c r="G329" s="10">
        <f>VLOOKUP($B329,Vertices!$A$10:$F$203, 4, FALSE)</f>
        <v>0</v>
      </c>
      <c r="H329" s="10">
        <f>VLOOKUP($B329,Vertices!$A$10:$F$203, 5, FALSE)</f>
        <v>100</v>
      </c>
      <c r="I329" s="11">
        <f>VLOOKUP($B329,Vertices!$A$10:$F$203, 6, FALSE)</f>
        <v>20</v>
      </c>
      <c r="J329" s="9">
        <f>VLOOKUP($C329,Vertices!$A$10:$F$203, 3, FALSE)</f>
        <v>70</v>
      </c>
      <c r="K329" s="10">
        <f>VLOOKUP($C329,Vertices!$A$10:$F$203, 4, FALSE)</f>
        <v>0</v>
      </c>
      <c r="L329" s="10">
        <f>VLOOKUP($C329,Vertices!$A$10:$F$203, 5, FALSE)</f>
        <v>100</v>
      </c>
      <c r="M329" s="11">
        <f>VLOOKUP($C329,Vertices!$A$10:$F$203, 6, FALSE)</f>
        <v>20</v>
      </c>
      <c r="N329" s="9">
        <f>VLOOKUP($D329,Vertices!$A$10:$F$203, 3, FALSE)</f>
        <v>70</v>
      </c>
      <c r="O329" s="10">
        <f>VLOOKUP($D329,Vertices!$A$10:$F$203, 4, FALSE)</f>
        <v>0</v>
      </c>
      <c r="P329" s="10">
        <f>VLOOKUP($D329,Vertices!$A$10:$F$203, 5, FALSE)</f>
        <v>100</v>
      </c>
      <c r="Q329" s="11">
        <f>VLOOKUP($D329,Vertices!$A$10:$F$203, 6, FALSE)</f>
        <v>40</v>
      </c>
    </row>
    <row r="330" spans="1:17" x14ac:dyDescent="0.25">
      <c r="A330">
        <v>320</v>
      </c>
      <c r="B330">
        <v>120</v>
      </c>
      <c r="C330">
        <v>145</v>
      </c>
      <c r="D330">
        <v>144</v>
      </c>
      <c r="F330" s="9">
        <f>VLOOKUP($B330,Vertices!$A$10:$F$203, 3, FALSE)</f>
        <v>70</v>
      </c>
      <c r="G330" s="10">
        <f>VLOOKUP($B330,Vertices!$A$10:$F$203, 4, FALSE)</f>
        <v>0</v>
      </c>
      <c r="H330" s="10">
        <f>VLOOKUP($B330,Vertices!$A$10:$F$203, 5, FALSE)</f>
        <v>100</v>
      </c>
      <c r="I330" s="11">
        <f>VLOOKUP($B330,Vertices!$A$10:$F$203, 6, FALSE)</f>
        <v>20</v>
      </c>
      <c r="J330" s="9">
        <f>VLOOKUP($C330,Vertices!$A$10:$F$203, 3, FALSE)</f>
        <v>100</v>
      </c>
      <c r="K330" s="10">
        <f>VLOOKUP($C330,Vertices!$A$10:$F$203, 4, FALSE)</f>
        <v>0</v>
      </c>
      <c r="L330" s="10">
        <f>VLOOKUP($C330,Vertices!$A$10:$F$203, 5, FALSE)</f>
        <v>100</v>
      </c>
      <c r="M330" s="11">
        <f>VLOOKUP($C330,Vertices!$A$10:$F$203, 6, FALSE)</f>
        <v>40</v>
      </c>
      <c r="N330" s="9">
        <f>VLOOKUP($D330,Vertices!$A$10:$F$203, 3, FALSE)</f>
        <v>70</v>
      </c>
      <c r="O330" s="10">
        <f>VLOOKUP($D330,Vertices!$A$10:$F$203, 4, FALSE)</f>
        <v>0</v>
      </c>
      <c r="P330" s="10">
        <f>VLOOKUP($D330,Vertices!$A$10:$F$203, 5, FALSE)</f>
        <v>100</v>
      </c>
      <c r="Q330" s="11">
        <f>VLOOKUP($D330,Vertices!$A$10:$F$203, 6, FALSE)</f>
        <v>40</v>
      </c>
    </row>
    <row r="331" spans="1:17" x14ac:dyDescent="0.25">
      <c r="A331">
        <v>321</v>
      </c>
      <c r="B331">
        <v>120</v>
      </c>
      <c r="C331">
        <v>121</v>
      </c>
      <c r="D331">
        <v>145</v>
      </c>
      <c r="F331" s="9">
        <f>VLOOKUP($B331,Vertices!$A$10:$F$203, 3, FALSE)</f>
        <v>70</v>
      </c>
      <c r="G331" s="10">
        <f>VLOOKUP($B331,Vertices!$A$10:$F$203, 4, FALSE)</f>
        <v>0</v>
      </c>
      <c r="H331" s="10">
        <f>VLOOKUP($B331,Vertices!$A$10:$F$203, 5, FALSE)</f>
        <v>100</v>
      </c>
      <c r="I331" s="11">
        <f>VLOOKUP($B331,Vertices!$A$10:$F$203, 6, FALSE)</f>
        <v>20</v>
      </c>
      <c r="J331" s="9">
        <f>VLOOKUP($C331,Vertices!$A$10:$F$203, 3, FALSE)</f>
        <v>100</v>
      </c>
      <c r="K331" s="10">
        <f>VLOOKUP($C331,Vertices!$A$10:$F$203, 4, FALSE)</f>
        <v>0</v>
      </c>
      <c r="L331" s="10">
        <f>VLOOKUP($C331,Vertices!$A$10:$F$203, 5, FALSE)</f>
        <v>100</v>
      </c>
      <c r="M331" s="11">
        <f>VLOOKUP($C331,Vertices!$A$10:$F$203, 6, FALSE)</f>
        <v>20</v>
      </c>
      <c r="N331" s="9">
        <f>VLOOKUP($D331,Vertices!$A$10:$F$203, 3, FALSE)</f>
        <v>100</v>
      </c>
      <c r="O331" s="10">
        <f>VLOOKUP($D331,Vertices!$A$10:$F$203, 4, FALSE)</f>
        <v>0</v>
      </c>
      <c r="P331" s="10">
        <f>VLOOKUP($D331,Vertices!$A$10:$F$203, 5, FALSE)</f>
        <v>100</v>
      </c>
      <c r="Q331" s="11">
        <f>VLOOKUP($D331,Vertices!$A$10:$F$203, 6, FALSE)</f>
        <v>40</v>
      </c>
    </row>
    <row r="332" spans="1:17" x14ac:dyDescent="0.25">
      <c r="A332">
        <v>322</v>
      </c>
      <c r="B332">
        <v>137</v>
      </c>
      <c r="C332">
        <v>166</v>
      </c>
      <c r="D332">
        <v>161</v>
      </c>
      <c r="F332" s="9">
        <f>VLOOKUP($B332,Vertices!$A$10:$F$203, 3, FALSE)</f>
        <v>0</v>
      </c>
      <c r="G332" s="10">
        <f>VLOOKUP($B332,Vertices!$A$10:$F$203, 4, FALSE)</f>
        <v>0</v>
      </c>
      <c r="H332" s="10">
        <f>VLOOKUP($B332,Vertices!$A$10:$F$203, 5, FALSE)</f>
        <v>100</v>
      </c>
      <c r="I332" s="11">
        <f>VLOOKUP($B332,Vertices!$A$10:$F$203, 6, FALSE)</f>
        <v>40</v>
      </c>
      <c r="J332" s="9">
        <f>VLOOKUP($C332,Vertices!$A$10:$F$203, 3, FALSE)</f>
        <v>20</v>
      </c>
      <c r="K332" s="10">
        <f>VLOOKUP($C332,Vertices!$A$10:$F$203, 4, FALSE)</f>
        <v>0</v>
      </c>
      <c r="L332" s="10">
        <f>VLOOKUP($C332,Vertices!$A$10:$F$203, 5, FALSE)</f>
        <v>100</v>
      </c>
      <c r="M332" s="11">
        <f>VLOOKUP($C332,Vertices!$A$10:$F$203, 6, FALSE)</f>
        <v>60</v>
      </c>
      <c r="N332" s="9">
        <f>VLOOKUP($D332,Vertices!$A$10:$F$203, 3, FALSE)</f>
        <v>0</v>
      </c>
      <c r="O332" s="10">
        <f>VLOOKUP($D332,Vertices!$A$10:$F$203, 4, FALSE)</f>
        <v>0</v>
      </c>
      <c r="P332" s="10">
        <f>VLOOKUP($D332,Vertices!$A$10:$F$203, 5, FALSE)</f>
        <v>100</v>
      </c>
      <c r="Q332" s="11">
        <f>VLOOKUP($D332,Vertices!$A$10:$F$203, 6, FALSE)</f>
        <v>60</v>
      </c>
    </row>
    <row r="333" spans="1:17" x14ac:dyDescent="0.25">
      <c r="A333">
        <v>323</v>
      </c>
      <c r="B333">
        <v>137</v>
      </c>
      <c r="C333">
        <v>142</v>
      </c>
      <c r="D333">
        <v>166</v>
      </c>
      <c r="F333" s="9">
        <f>VLOOKUP($B333,Vertices!$A$10:$F$203, 3, FALSE)</f>
        <v>0</v>
      </c>
      <c r="G333" s="10">
        <f>VLOOKUP($B333,Vertices!$A$10:$F$203, 4, FALSE)</f>
        <v>0</v>
      </c>
      <c r="H333" s="10">
        <f>VLOOKUP($B333,Vertices!$A$10:$F$203, 5, FALSE)</f>
        <v>100</v>
      </c>
      <c r="I333" s="11">
        <f>VLOOKUP($B333,Vertices!$A$10:$F$203, 6, FALSE)</f>
        <v>40</v>
      </c>
      <c r="J333" s="9">
        <f>VLOOKUP($C333,Vertices!$A$10:$F$203, 3, FALSE)</f>
        <v>20</v>
      </c>
      <c r="K333" s="10">
        <f>VLOOKUP($C333,Vertices!$A$10:$F$203, 4, FALSE)</f>
        <v>0</v>
      </c>
      <c r="L333" s="10">
        <f>VLOOKUP($C333,Vertices!$A$10:$F$203, 5, FALSE)</f>
        <v>100</v>
      </c>
      <c r="M333" s="11">
        <f>VLOOKUP($C333,Vertices!$A$10:$F$203, 6, FALSE)</f>
        <v>40</v>
      </c>
      <c r="N333" s="9">
        <f>VLOOKUP($D333,Vertices!$A$10:$F$203, 3, FALSE)</f>
        <v>20</v>
      </c>
      <c r="O333" s="10">
        <f>VLOOKUP($D333,Vertices!$A$10:$F$203, 4, FALSE)</f>
        <v>0</v>
      </c>
      <c r="P333" s="10">
        <f>VLOOKUP($D333,Vertices!$A$10:$F$203, 5, FALSE)</f>
        <v>100</v>
      </c>
      <c r="Q333" s="11">
        <f>VLOOKUP($D333,Vertices!$A$10:$F$203, 6, FALSE)</f>
        <v>60</v>
      </c>
    </row>
    <row r="334" spans="1:17" x14ac:dyDescent="0.25">
      <c r="A334">
        <v>324</v>
      </c>
      <c r="B334">
        <v>142</v>
      </c>
      <c r="C334">
        <v>167</v>
      </c>
      <c r="D334">
        <v>166</v>
      </c>
      <c r="F334" s="9">
        <f>VLOOKUP($B334,Vertices!$A$10:$F$203, 3, FALSE)</f>
        <v>20</v>
      </c>
      <c r="G334" s="10">
        <f>VLOOKUP($B334,Vertices!$A$10:$F$203, 4, FALSE)</f>
        <v>0</v>
      </c>
      <c r="H334" s="10">
        <f>VLOOKUP($B334,Vertices!$A$10:$F$203, 5, FALSE)</f>
        <v>100</v>
      </c>
      <c r="I334" s="11">
        <f>VLOOKUP($B334,Vertices!$A$10:$F$203, 6, FALSE)</f>
        <v>40</v>
      </c>
      <c r="J334" s="9">
        <f>VLOOKUP($C334,Vertices!$A$10:$F$203, 3, FALSE)</f>
        <v>40</v>
      </c>
      <c r="K334" s="10">
        <f>VLOOKUP($C334,Vertices!$A$10:$F$203, 4, FALSE)</f>
        <v>0</v>
      </c>
      <c r="L334" s="10">
        <f>VLOOKUP($C334,Vertices!$A$10:$F$203, 5, FALSE)</f>
        <v>100</v>
      </c>
      <c r="M334" s="11">
        <f>VLOOKUP($C334,Vertices!$A$10:$F$203, 6, FALSE)</f>
        <v>60</v>
      </c>
      <c r="N334" s="9">
        <f>VLOOKUP($D334,Vertices!$A$10:$F$203, 3, FALSE)</f>
        <v>20</v>
      </c>
      <c r="O334" s="10">
        <f>VLOOKUP($D334,Vertices!$A$10:$F$203, 4, FALSE)</f>
        <v>0</v>
      </c>
      <c r="P334" s="10">
        <f>VLOOKUP($D334,Vertices!$A$10:$F$203, 5, FALSE)</f>
        <v>100</v>
      </c>
      <c r="Q334" s="11">
        <f>VLOOKUP($D334,Vertices!$A$10:$F$203, 6, FALSE)</f>
        <v>60</v>
      </c>
    </row>
    <row r="335" spans="1:17" x14ac:dyDescent="0.25">
      <c r="A335">
        <v>325</v>
      </c>
      <c r="B335">
        <v>142</v>
      </c>
      <c r="C335">
        <v>143</v>
      </c>
      <c r="D335">
        <v>167</v>
      </c>
      <c r="F335" s="9">
        <f>VLOOKUP($B335,Vertices!$A$10:$F$203, 3, FALSE)</f>
        <v>20</v>
      </c>
      <c r="G335" s="10">
        <f>VLOOKUP($B335,Vertices!$A$10:$F$203, 4, FALSE)</f>
        <v>0</v>
      </c>
      <c r="H335" s="10">
        <f>VLOOKUP($B335,Vertices!$A$10:$F$203, 5, FALSE)</f>
        <v>100</v>
      </c>
      <c r="I335" s="11">
        <f>VLOOKUP($B335,Vertices!$A$10:$F$203, 6, FALSE)</f>
        <v>40</v>
      </c>
      <c r="J335" s="9">
        <f>VLOOKUP($C335,Vertices!$A$10:$F$203, 3, FALSE)</f>
        <v>40</v>
      </c>
      <c r="K335" s="10">
        <f>VLOOKUP($C335,Vertices!$A$10:$F$203, 4, FALSE)</f>
        <v>0</v>
      </c>
      <c r="L335" s="10">
        <f>VLOOKUP($C335,Vertices!$A$10:$F$203, 5, FALSE)</f>
        <v>100</v>
      </c>
      <c r="M335" s="11">
        <f>VLOOKUP($C335,Vertices!$A$10:$F$203, 6, FALSE)</f>
        <v>40</v>
      </c>
      <c r="N335" s="9">
        <f>VLOOKUP($D335,Vertices!$A$10:$F$203, 3, FALSE)</f>
        <v>40</v>
      </c>
      <c r="O335" s="10">
        <f>VLOOKUP($D335,Vertices!$A$10:$F$203, 4, FALSE)</f>
        <v>0</v>
      </c>
      <c r="P335" s="10">
        <f>VLOOKUP($D335,Vertices!$A$10:$F$203, 5, FALSE)</f>
        <v>100</v>
      </c>
      <c r="Q335" s="11">
        <f>VLOOKUP($D335,Vertices!$A$10:$F$203, 6, FALSE)</f>
        <v>60</v>
      </c>
    </row>
    <row r="336" spans="1:17" x14ac:dyDescent="0.25">
      <c r="A336">
        <v>326</v>
      </c>
      <c r="B336">
        <v>143</v>
      </c>
      <c r="C336">
        <v>168</v>
      </c>
      <c r="D336">
        <v>167</v>
      </c>
      <c r="F336" s="9">
        <f>VLOOKUP($B336,Vertices!$A$10:$F$203, 3, FALSE)</f>
        <v>40</v>
      </c>
      <c r="G336" s="10">
        <f>VLOOKUP($B336,Vertices!$A$10:$F$203, 4, FALSE)</f>
        <v>0</v>
      </c>
      <c r="H336" s="10">
        <f>VLOOKUP($B336,Vertices!$A$10:$F$203, 5, FALSE)</f>
        <v>100</v>
      </c>
      <c r="I336" s="11">
        <f>VLOOKUP($B336,Vertices!$A$10:$F$203, 6, FALSE)</f>
        <v>40</v>
      </c>
      <c r="J336" s="9">
        <f>VLOOKUP($C336,Vertices!$A$10:$F$203, 3, FALSE)</f>
        <v>70</v>
      </c>
      <c r="K336" s="10">
        <f>VLOOKUP($C336,Vertices!$A$10:$F$203, 4, FALSE)</f>
        <v>0</v>
      </c>
      <c r="L336" s="10">
        <f>VLOOKUP($C336,Vertices!$A$10:$F$203, 5, FALSE)</f>
        <v>100</v>
      </c>
      <c r="M336" s="11">
        <f>VLOOKUP($C336,Vertices!$A$10:$F$203, 6, FALSE)</f>
        <v>60</v>
      </c>
      <c r="N336" s="9">
        <f>VLOOKUP($D336,Vertices!$A$10:$F$203, 3, FALSE)</f>
        <v>40</v>
      </c>
      <c r="O336" s="10">
        <f>VLOOKUP($D336,Vertices!$A$10:$F$203, 4, FALSE)</f>
        <v>0</v>
      </c>
      <c r="P336" s="10">
        <f>VLOOKUP($D336,Vertices!$A$10:$F$203, 5, FALSE)</f>
        <v>100</v>
      </c>
      <c r="Q336" s="11">
        <f>VLOOKUP($D336,Vertices!$A$10:$F$203, 6, FALSE)</f>
        <v>60</v>
      </c>
    </row>
    <row r="337" spans="1:17" x14ac:dyDescent="0.25">
      <c r="A337">
        <v>327</v>
      </c>
      <c r="B337">
        <v>143</v>
      </c>
      <c r="C337">
        <v>144</v>
      </c>
      <c r="D337">
        <v>168</v>
      </c>
      <c r="F337" s="9">
        <f>VLOOKUP($B337,Vertices!$A$10:$F$203, 3, FALSE)</f>
        <v>40</v>
      </c>
      <c r="G337" s="10">
        <f>VLOOKUP($B337,Vertices!$A$10:$F$203, 4, FALSE)</f>
        <v>0</v>
      </c>
      <c r="H337" s="10">
        <f>VLOOKUP($B337,Vertices!$A$10:$F$203, 5, FALSE)</f>
        <v>100</v>
      </c>
      <c r="I337" s="11">
        <f>VLOOKUP($B337,Vertices!$A$10:$F$203, 6, FALSE)</f>
        <v>40</v>
      </c>
      <c r="J337" s="9">
        <f>VLOOKUP($C337,Vertices!$A$10:$F$203, 3, FALSE)</f>
        <v>70</v>
      </c>
      <c r="K337" s="10">
        <f>VLOOKUP($C337,Vertices!$A$10:$F$203, 4, FALSE)</f>
        <v>0</v>
      </c>
      <c r="L337" s="10">
        <f>VLOOKUP($C337,Vertices!$A$10:$F$203, 5, FALSE)</f>
        <v>100</v>
      </c>
      <c r="M337" s="11">
        <f>VLOOKUP($C337,Vertices!$A$10:$F$203, 6, FALSE)</f>
        <v>40</v>
      </c>
      <c r="N337" s="9">
        <f>VLOOKUP($D337,Vertices!$A$10:$F$203, 3, FALSE)</f>
        <v>70</v>
      </c>
      <c r="O337" s="10">
        <f>VLOOKUP($D337,Vertices!$A$10:$F$203, 4, FALSE)</f>
        <v>0</v>
      </c>
      <c r="P337" s="10">
        <f>VLOOKUP($D337,Vertices!$A$10:$F$203, 5, FALSE)</f>
        <v>100</v>
      </c>
      <c r="Q337" s="11">
        <f>VLOOKUP($D337,Vertices!$A$10:$F$203, 6, FALSE)</f>
        <v>60</v>
      </c>
    </row>
    <row r="338" spans="1:17" x14ac:dyDescent="0.25">
      <c r="A338">
        <v>328</v>
      </c>
      <c r="B338">
        <v>144</v>
      </c>
      <c r="C338">
        <v>169</v>
      </c>
      <c r="D338">
        <v>168</v>
      </c>
      <c r="F338" s="9">
        <f>VLOOKUP($B338,Vertices!$A$10:$F$203, 3, FALSE)</f>
        <v>70</v>
      </c>
      <c r="G338" s="10">
        <f>VLOOKUP($B338,Vertices!$A$10:$F$203, 4, FALSE)</f>
        <v>0</v>
      </c>
      <c r="H338" s="10">
        <f>VLOOKUP($B338,Vertices!$A$10:$F$203, 5, FALSE)</f>
        <v>100</v>
      </c>
      <c r="I338" s="11">
        <f>VLOOKUP($B338,Vertices!$A$10:$F$203, 6, FALSE)</f>
        <v>40</v>
      </c>
      <c r="J338" s="9">
        <f>VLOOKUP($C338,Vertices!$A$10:$F$203, 3, FALSE)</f>
        <v>100</v>
      </c>
      <c r="K338" s="10">
        <f>VLOOKUP($C338,Vertices!$A$10:$F$203, 4, FALSE)</f>
        <v>0</v>
      </c>
      <c r="L338" s="10">
        <f>VLOOKUP($C338,Vertices!$A$10:$F$203, 5, FALSE)</f>
        <v>100</v>
      </c>
      <c r="M338" s="11">
        <f>VLOOKUP($C338,Vertices!$A$10:$F$203, 6, FALSE)</f>
        <v>60</v>
      </c>
      <c r="N338" s="9">
        <f>VLOOKUP($D338,Vertices!$A$10:$F$203, 3, FALSE)</f>
        <v>70</v>
      </c>
      <c r="O338" s="10">
        <f>VLOOKUP($D338,Vertices!$A$10:$F$203, 4, FALSE)</f>
        <v>0</v>
      </c>
      <c r="P338" s="10">
        <f>VLOOKUP($D338,Vertices!$A$10:$F$203, 5, FALSE)</f>
        <v>100</v>
      </c>
      <c r="Q338" s="11">
        <f>VLOOKUP($D338,Vertices!$A$10:$F$203, 6, FALSE)</f>
        <v>60</v>
      </c>
    </row>
    <row r="339" spans="1:17" x14ac:dyDescent="0.25">
      <c r="A339">
        <v>329</v>
      </c>
      <c r="B339">
        <v>144</v>
      </c>
      <c r="C339">
        <v>145</v>
      </c>
      <c r="D339">
        <v>169</v>
      </c>
      <c r="F339" s="9">
        <f>VLOOKUP($B339,Vertices!$A$10:$F$203, 3, FALSE)</f>
        <v>70</v>
      </c>
      <c r="G339" s="10">
        <f>VLOOKUP($B339,Vertices!$A$10:$F$203, 4, FALSE)</f>
        <v>0</v>
      </c>
      <c r="H339" s="10">
        <f>VLOOKUP($B339,Vertices!$A$10:$F$203, 5, FALSE)</f>
        <v>100</v>
      </c>
      <c r="I339" s="11">
        <f>VLOOKUP($B339,Vertices!$A$10:$F$203, 6, FALSE)</f>
        <v>40</v>
      </c>
      <c r="J339" s="9">
        <f>VLOOKUP($C339,Vertices!$A$10:$F$203, 3, FALSE)</f>
        <v>100</v>
      </c>
      <c r="K339" s="10">
        <f>VLOOKUP($C339,Vertices!$A$10:$F$203, 4, FALSE)</f>
        <v>0</v>
      </c>
      <c r="L339" s="10">
        <f>VLOOKUP($C339,Vertices!$A$10:$F$203, 5, FALSE)</f>
        <v>100</v>
      </c>
      <c r="M339" s="11">
        <f>VLOOKUP($C339,Vertices!$A$10:$F$203, 6, FALSE)</f>
        <v>40</v>
      </c>
      <c r="N339" s="9">
        <f>VLOOKUP($D339,Vertices!$A$10:$F$203, 3, FALSE)</f>
        <v>100</v>
      </c>
      <c r="O339" s="10">
        <f>VLOOKUP($D339,Vertices!$A$10:$F$203, 4, FALSE)</f>
        <v>0</v>
      </c>
      <c r="P339" s="10">
        <f>VLOOKUP($D339,Vertices!$A$10:$F$203, 5, FALSE)</f>
        <v>100</v>
      </c>
      <c r="Q339" s="11">
        <f>VLOOKUP($D339,Vertices!$A$10:$F$203, 6, FALSE)</f>
        <v>60</v>
      </c>
    </row>
    <row r="340" spans="1:17" x14ac:dyDescent="0.25">
      <c r="A340">
        <v>330</v>
      </c>
      <c r="B340">
        <v>161</v>
      </c>
      <c r="C340">
        <v>166</v>
      </c>
      <c r="D340">
        <v>181</v>
      </c>
      <c r="F340" s="9">
        <f>VLOOKUP($B340,Vertices!$A$10:$F$203, 3, FALSE)</f>
        <v>0</v>
      </c>
      <c r="G340" s="10">
        <f>VLOOKUP($B340,Vertices!$A$10:$F$203, 4, FALSE)</f>
        <v>0</v>
      </c>
      <c r="H340" s="10">
        <f>VLOOKUP($B340,Vertices!$A$10:$F$203, 5, FALSE)</f>
        <v>100</v>
      </c>
      <c r="I340" s="11">
        <f>VLOOKUP($B340,Vertices!$A$10:$F$203, 6, FALSE)</f>
        <v>60</v>
      </c>
      <c r="J340" s="9">
        <f>VLOOKUP($C340,Vertices!$A$10:$F$203, 3, FALSE)</f>
        <v>20</v>
      </c>
      <c r="K340" s="10">
        <f>VLOOKUP($C340,Vertices!$A$10:$F$203, 4, FALSE)</f>
        <v>0</v>
      </c>
      <c r="L340" s="10">
        <f>VLOOKUP($C340,Vertices!$A$10:$F$203, 5, FALSE)</f>
        <v>100</v>
      </c>
      <c r="M340" s="11">
        <f>VLOOKUP($C340,Vertices!$A$10:$F$203, 6, FALSE)</f>
        <v>60</v>
      </c>
      <c r="N340" s="9">
        <f>VLOOKUP($D340,Vertices!$A$10:$F$203, 3, FALSE)</f>
        <v>0</v>
      </c>
      <c r="O340" s="10">
        <f>VLOOKUP($D340,Vertices!$A$10:$F$203, 4, FALSE)</f>
        <v>0</v>
      </c>
      <c r="P340" s="10">
        <f>VLOOKUP($D340,Vertices!$A$10:$F$203, 5, FALSE)</f>
        <v>100</v>
      </c>
      <c r="Q340" s="11">
        <f>VLOOKUP($D340,Vertices!$A$10:$F$203, 6, FALSE)</f>
        <v>80</v>
      </c>
    </row>
    <row r="341" spans="1:17" x14ac:dyDescent="0.25">
      <c r="A341">
        <v>331</v>
      </c>
      <c r="B341">
        <v>166</v>
      </c>
      <c r="C341">
        <v>185</v>
      </c>
      <c r="D341">
        <v>181</v>
      </c>
      <c r="F341" s="9">
        <f>VLOOKUP($B341,Vertices!$A$10:$F$203, 3, FALSE)</f>
        <v>20</v>
      </c>
      <c r="G341" s="10">
        <f>VLOOKUP($B341,Vertices!$A$10:$F$203, 4, FALSE)</f>
        <v>0</v>
      </c>
      <c r="H341" s="10">
        <f>VLOOKUP($B341,Vertices!$A$10:$F$203, 5, FALSE)</f>
        <v>100</v>
      </c>
      <c r="I341" s="11">
        <f>VLOOKUP($B341,Vertices!$A$10:$F$203, 6, FALSE)</f>
        <v>60</v>
      </c>
      <c r="J341" s="9">
        <f>VLOOKUP($C341,Vertices!$A$10:$F$203, 3, FALSE)</f>
        <v>40</v>
      </c>
      <c r="K341" s="10">
        <f>VLOOKUP($C341,Vertices!$A$10:$F$203, 4, FALSE)</f>
        <v>0</v>
      </c>
      <c r="L341" s="10">
        <f>VLOOKUP($C341,Vertices!$A$10:$F$203, 5, FALSE)</f>
        <v>100</v>
      </c>
      <c r="M341" s="11">
        <f>VLOOKUP($C341,Vertices!$A$10:$F$203, 6, FALSE)</f>
        <v>80</v>
      </c>
      <c r="N341" s="9">
        <f>VLOOKUP($D341,Vertices!$A$10:$F$203, 3, FALSE)</f>
        <v>0</v>
      </c>
      <c r="O341" s="10">
        <f>VLOOKUP($D341,Vertices!$A$10:$F$203, 4, FALSE)</f>
        <v>0</v>
      </c>
      <c r="P341" s="10">
        <f>VLOOKUP($D341,Vertices!$A$10:$F$203, 5, FALSE)</f>
        <v>100</v>
      </c>
      <c r="Q341" s="11">
        <f>VLOOKUP($D341,Vertices!$A$10:$F$203, 6, FALSE)</f>
        <v>80</v>
      </c>
    </row>
    <row r="342" spans="1:17" x14ac:dyDescent="0.25">
      <c r="A342">
        <v>332</v>
      </c>
      <c r="B342">
        <v>166</v>
      </c>
      <c r="C342">
        <v>167</v>
      </c>
      <c r="D342">
        <v>185</v>
      </c>
      <c r="F342" s="9">
        <f>VLOOKUP($B342,Vertices!$A$10:$F$203, 3, FALSE)</f>
        <v>20</v>
      </c>
      <c r="G342" s="10">
        <f>VLOOKUP($B342,Vertices!$A$10:$F$203, 4, FALSE)</f>
        <v>0</v>
      </c>
      <c r="H342" s="10">
        <f>VLOOKUP($B342,Vertices!$A$10:$F$203, 5, FALSE)</f>
        <v>100</v>
      </c>
      <c r="I342" s="11">
        <f>VLOOKUP($B342,Vertices!$A$10:$F$203, 6, FALSE)</f>
        <v>60</v>
      </c>
      <c r="J342" s="9">
        <f>VLOOKUP($C342,Vertices!$A$10:$F$203, 3, FALSE)</f>
        <v>40</v>
      </c>
      <c r="K342" s="10">
        <f>VLOOKUP($C342,Vertices!$A$10:$F$203, 4, FALSE)</f>
        <v>0</v>
      </c>
      <c r="L342" s="10">
        <f>VLOOKUP($C342,Vertices!$A$10:$F$203, 5, FALSE)</f>
        <v>100</v>
      </c>
      <c r="M342" s="11">
        <f>VLOOKUP($C342,Vertices!$A$10:$F$203, 6, FALSE)</f>
        <v>60</v>
      </c>
      <c r="N342" s="9">
        <f>VLOOKUP($D342,Vertices!$A$10:$F$203, 3, FALSE)</f>
        <v>40</v>
      </c>
      <c r="O342" s="10">
        <f>VLOOKUP($D342,Vertices!$A$10:$F$203, 4, FALSE)</f>
        <v>0</v>
      </c>
      <c r="P342" s="10">
        <f>VLOOKUP($D342,Vertices!$A$10:$F$203, 5, FALSE)</f>
        <v>100</v>
      </c>
      <c r="Q342" s="11">
        <f>VLOOKUP($D342,Vertices!$A$10:$F$203, 6, FALSE)</f>
        <v>80</v>
      </c>
    </row>
    <row r="343" spans="1:17" x14ac:dyDescent="0.25">
      <c r="A343">
        <v>333</v>
      </c>
      <c r="B343">
        <v>167</v>
      </c>
      <c r="C343">
        <v>186</v>
      </c>
      <c r="D343">
        <v>185</v>
      </c>
      <c r="F343" s="9">
        <f>VLOOKUP($B343,Vertices!$A$10:$F$203, 3, FALSE)</f>
        <v>40</v>
      </c>
      <c r="G343" s="10">
        <f>VLOOKUP($B343,Vertices!$A$10:$F$203, 4, FALSE)</f>
        <v>0</v>
      </c>
      <c r="H343" s="10">
        <f>VLOOKUP($B343,Vertices!$A$10:$F$203, 5, FALSE)</f>
        <v>100</v>
      </c>
      <c r="I343" s="11">
        <f>VLOOKUP($B343,Vertices!$A$10:$F$203, 6, FALSE)</f>
        <v>60</v>
      </c>
      <c r="J343" s="9">
        <f>VLOOKUP($C343,Vertices!$A$10:$F$203, 3, FALSE)</f>
        <v>70</v>
      </c>
      <c r="K343" s="10">
        <f>VLOOKUP($C343,Vertices!$A$10:$F$203, 4, FALSE)</f>
        <v>0</v>
      </c>
      <c r="L343" s="10">
        <f>VLOOKUP($C343,Vertices!$A$10:$F$203, 5, FALSE)</f>
        <v>100</v>
      </c>
      <c r="M343" s="11">
        <f>VLOOKUP($C343,Vertices!$A$10:$F$203, 6, FALSE)</f>
        <v>80</v>
      </c>
      <c r="N343" s="9">
        <f>VLOOKUP($D343,Vertices!$A$10:$F$203, 3, FALSE)</f>
        <v>40</v>
      </c>
      <c r="O343" s="10">
        <f>VLOOKUP($D343,Vertices!$A$10:$F$203, 4, FALSE)</f>
        <v>0</v>
      </c>
      <c r="P343" s="10">
        <f>VLOOKUP($D343,Vertices!$A$10:$F$203, 5, FALSE)</f>
        <v>100</v>
      </c>
      <c r="Q343" s="11">
        <f>VLOOKUP($D343,Vertices!$A$10:$F$203, 6, FALSE)</f>
        <v>80</v>
      </c>
    </row>
    <row r="344" spans="1:17" x14ac:dyDescent="0.25">
      <c r="A344">
        <v>334</v>
      </c>
      <c r="B344">
        <v>167</v>
      </c>
      <c r="C344">
        <v>168</v>
      </c>
      <c r="D344">
        <v>186</v>
      </c>
      <c r="F344" s="9">
        <f>VLOOKUP($B344,Vertices!$A$10:$F$203, 3, FALSE)</f>
        <v>40</v>
      </c>
      <c r="G344" s="10">
        <f>VLOOKUP($B344,Vertices!$A$10:$F$203, 4, FALSE)</f>
        <v>0</v>
      </c>
      <c r="H344" s="10">
        <f>VLOOKUP($B344,Vertices!$A$10:$F$203, 5, FALSE)</f>
        <v>100</v>
      </c>
      <c r="I344" s="11">
        <f>VLOOKUP($B344,Vertices!$A$10:$F$203, 6, FALSE)</f>
        <v>60</v>
      </c>
      <c r="J344" s="9">
        <f>VLOOKUP($C344,Vertices!$A$10:$F$203, 3, FALSE)</f>
        <v>70</v>
      </c>
      <c r="K344" s="10">
        <f>VLOOKUP($C344,Vertices!$A$10:$F$203, 4, FALSE)</f>
        <v>0</v>
      </c>
      <c r="L344" s="10">
        <f>VLOOKUP($C344,Vertices!$A$10:$F$203, 5, FALSE)</f>
        <v>100</v>
      </c>
      <c r="M344" s="11">
        <f>VLOOKUP($C344,Vertices!$A$10:$F$203, 6, FALSE)</f>
        <v>60</v>
      </c>
      <c r="N344" s="9">
        <f>VLOOKUP($D344,Vertices!$A$10:$F$203, 3, FALSE)</f>
        <v>70</v>
      </c>
      <c r="O344" s="10">
        <f>VLOOKUP($D344,Vertices!$A$10:$F$203, 4, FALSE)</f>
        <v>0</v>
      </c>
      <c r="P344" s="10">
        <f>VLOOKUP($D344,Vertices!$A$10:$F$203, 5, FALSE)</f>
        <v>100</v>
      </c>
      <c r="Q344" s="11">
        <f>VLOOKUP($D344,Vertices!$A$10:$F$203, 6, FALSE)</f>
        <v>80</v>
      </c>
    </row>
    <row r="345" spans="1:17" x14ac:dyDescent="0.25">
      <c r="A345">
        <v>335</v>
      </c>
      <c r="B345">
        <v>168</v>
      </c>
      <c r="C345">
        <v>187</v>
      </c>
      <c r="D345">
        <v>186</v>
      </c>
      <c r="F345" s="9">
        <f>VLOOKUP($B345,Vertices!$A$10:$F$203, 3, FALSE)</f>
        <v>70</v>
      </c>
      <c r="G345" s="10">
        <f>VLOOKUP($B345,Vertices!$A$10:$F$203, 4, FALSE)</f>
        <v>0</v>
      </c>
      <c r="H345" s="10">
        <f>VLOOKUP($B345,Vertices!$A$10:$F$203, 5, FALSE)</f>
        <v>100</v>
      </c>
      <c r="I345" s="11">
        <f>VLOOKUP($B345,Vertices!$A$10:$F$203, 6, FALSE)</f>
        <v>60</v>
      </c>
      <c r="J345" s="9">
        <f>VLOOKUP($C345,Vertices!$A$10:$F$203, 3, FALSE)</f>
        <v>100</v>
      </c>
      <c r="K345" s="10">
        <f>VLOOKUP($C345,Vertices!$A$10:$F$203, 4, FALSE)</f>
        <v>0</v>
      </c>
      <c r="L345" s="10">
        <f>VLOOKUP($C345,Vertices!$A$10:$F$203, 5, FALSE)</f>
        <v>100</v>
      </c>
      <c r="M345" s="11">
        <f>VLOOKUP($C345,Vertices!$A$10:$F$203, 6, FALSE)</f>
        <v>80</v>
      </c>
      <c r="N345" s="9">
        <f>VLOOKUP($D345,Vertices!$A$10:$F$203, 3, FALSE)</f>
        <v>70</v>
      </c>
      <c r="O345" s="10">
        <f>VLOOKUP($D345,Vertices!$A$10:$F$203, 4, FALSE)</f>
        <v>0</v>
      </c>
      <c r="P345" s="10">
        <f>VLOOKUP($D345,Vertices!$A$10:$F$203, 5, FALSE)</f>
        <v>100</v>
      </c>
      <c r="Q345" s="11">
        <f>VLOOKUP($D345,Vertices!$A$10:$F$203, 6, FALSE)</f>
        <v>80</v>
      </c>
    </row>
    <row r="346" spans="1:17" x14ac:dyDescent="0.25">
      <c r="A346">
        <v>336</v>
      </c>
      <c r="B346">
        <v>168</v>
      </c>
      <c r="C346">
        <v>169</v>
      </c>
      <c r="D346">
        <v>187</v>
      </c>
      <c r="F346" s="9">
        <f>VLOOKUP($B346,Vertices!$A$10:$F$203, 3, FALSE)</f>
        <v>70</v>
      </c>
      <c r="G346" s="10">
        <f>VLOOKUP($B346,Vertices!$A$10:$F$203, 4, FALSE)</f>
        <v>0</v>
      </c>
      <c r="H346" s="10">
        <f>VLOOKUP($B346,Vertices!$A$10:$F$203, 5, FALSE)</f>
        <v>100</v>
      </c>
      <c r="I346" s="11">
        <f>VLOOKUP($B346,Vertices!$A$10:$F$203, 6, FALSE)</f>
        <v>60</v>
      </c>
      <c r="J346" s="9">
        <f>VLOOKUP($C346,Vertices!$A$10:$F$203, 3, FALSE)</f>
        <v>100</v>
      </c>
      <c r="K346" s="10">
        <f>VLOOKUP($C346,Vertices!$A$10:$F$203, 4, FALSE)</f>
        <v>0</v>
      </c>
      <c r="L346" s="10">
        <f>VLOOKUP($C346,Vertices!$A$10:$F$203, 5, FALSE)</f>
        <v>100</v>
      </c>
      <c r="M346" s="11">
        <f>VLOOKUP($C346,Vertices!$A$10:$F$203, 6, FALSE)</f>
        <v>60</v>
      </c>
      <c r="N346" s="9">
        <f>VLOOKUP($D346,Vertices!$A$10:$F$203, 3, FALSE)</f>
        <v>100</v>
      </c>
      <c r="O346" s="10">
        <f>VLOOKUP($D346,Vertices!$A$10:$F$203, 4, FALSE)</f>
        <v>0</v>
      </c>
      <c r="P346" s="10">
        <f>VLOOKUP($D346,Vertices!$A$10:$F$203, 5, FALSE)</f>
        <v>100</v>
      </c>
      <c r="Q346" s="11">
        <f>VLOOKUP($D346,Vertices!$A$10:$F$203, 6, FALSE)</f>
        <v>80</v>
      </c>
    </row>
    <row r="347" spans="1:17" x14ac:dyDescent="0.25">
      <c r="A347">
        <v>337</v>
      </c>
      <c r="B347">
        <v>181</v>
      </c>
      <c r="C347">
        <v>185</v>
      </c>
      <c r="D347">
        <v>191</v>
      </c>
      <c r="F347" s="9">
        <f>VLOOKUP($B347,Vertices!$A$10:$F$203, 3, FALSE)</f>
        <v>0</v>
      </c>
      <c r="G347" s="10">
        <f>VLOOKUP($B347,Vertices!$A$10:$F$203, 4, FALSE)</f>
        <v>0</v>
      </c>
      <c r="H347" s="10">
        <f>VLOOKUP($B347,Vertices!$A$10:$F$203, 5, FALSE)</f>
        <v>100</v>
      </c>
      <c r="I347" s="11">
        <f>VLOOKUP($B347,Vertices!$A$10:$F$203, 6, FALSE)</f>
        <v>80</v>
      </c>
      <c r="J347" s="9">
        <f>VLOOKUP($C347,Vertices!$A$10:$F$203, 3, FALSE)</f>
        <v>40</v>
      </c>
      <c r="K347" s="10">
        <f>VLOOKUP($C347,Vertices!$A$10:$F$203, 4, FALSE)</f>
        <v>0</v>
      </c>
      <c r="L347" s="10">
        <f>VLOOKUP($C347,Vertices!$A$10:$F$203, 5, FALSE)</f>
        <v>100</v>
      </c>
      <c r="M347" s="11">
        <f>VLOOKUP($C347,Vertices!$A$10:$F$203, 6, FALSE)</f>
        <v>80</v>
      </c>
      <c r="N347" s="9">
        <f>VLOOKUP($D347,Vertices!$A$10:$F$203, 3, FALSE)</f>
        <v>0</v>
      </c>
      <c r="O347" s="10">
        <f>VLOOKUP($D347,Vertices!$A$10:$F$203, 4, FALSE)</f>
        <v>0</v>
      </c>
      <c r="P347" s="10">
        <f>VLOOKUP($D347,Vertices!$A$10:$F$203, 5, FALSE)</f>
        <v>100</v>
      </c>
      <c r="Q347" s="11">
        <f>VLOOKUP($D347,Vertices!$A$10:$F$203, 6, FALSE)</f>
        <v>100</v>
      </c>
    </row>
    <row r="348" spans="1:17" x14ac:dyDescent="0.25">
      <c r="A348">
        <v>338</v>
      </c>
      <c r="B348">
        <v>185</v>
      </c>
      <c r="C348">
        <v>193</v>
      </c>
      <c r="D348">
        <v>191</v>
      </c>
      <c r="F348" s="9">
        <f>VLOOKUP($B348,Vertices!$A$10:$F$203, 3, FALSE)</f>
        <v>40</v>
      </c>
      <c r="G348" s="10">
        <f>VLOOKUP($B348,Vertices!$A$10:$F$203, 4, FALSE)</f>
        <v>0</v>
      </c>
      <c r="H348" s="10">
        <f>VLOOKUP($B348,Vertices!$A$10:$F$203, 5, FALSE)</f>
        <v>100</v>
      </c>
      <c r="I348" s="11">
        <f>VLOOKUP($B348,Vertices!$A$10:$F$203, 6, FALSE)</f>
        <v>80</v>
      </c>
      <c r="J348" s="9">
        <f>VLOOKUP($C348,Vertices!$A$10:$F$203, 3, FALSE)</f>
        <v>100</v>
      </c>
      <c r="K348" s="10">
        <f>VLOOKUP($C348,Vertices!$A$10:$F$203, 4, FALSE)</f>
        <v>0</v>
      </c>
      <c r="L348" s="10">
        <f>VLOOKUP($C348,Vertices!$A$10:$F$203, 5, FALSE)</f>
        <v>100</v>
      </c>
      <c r="M348" s="11">
        <f>VLOOKUP($C348,Vertices!$A$10:$F$203, 6, FALSE)</f>
        <v>100</v>
      </c>
      <c r="N348" s="9">
        <f>VLOOKUP($D348,Vertices!$A$10:$F$203, 3, FALSE)</f>
        <v>0</v>
      </c>
      <c r="O348" s="10">
        <f>VLOOKUP($D348,Vertices!$A$10:$F$203, 4, FALSE)</f>
        <v>0</v>
      </c>
      <c r="P348" s="10">
        <f>VLOOKUP($D348,Vertices!$A$10:$F$203, 5, FALSE)</f>
        <v>100</v>
      </c>
      <c r="Q348" s="11">
        <f>VLOOKUP($D348,Vertices!$A$10:$F$203, 6, FALSE)</f>
        <v>100</v>
      </c>
    </row>
    <row r="349" spans="1:17" x14ac:dyDescent="0.25">
      <c r="A349">
        <v>339</v>
      </c>
      <c r="B349">
        <v>185</v>
      </c>
      <c r="C349">
        <v>186</v>
      </c>
      <c r="D349">
        <v>193</v>
      </c>
      <c r="F349" s="9">
        <f>VLOOKUP($B349,Vertices!$A$10:$F$203, 3, FALSE)</f>
        <v>40</v>
      </c>
      <c r="G349" s="10">
        <f>VLOOKUP($B349,Vertices!$A$10:$F$203, 4, FALSE)</f>
        <v>0</v>
      </c>
      <c r="H349" s="10">
        <f>VLOOKUP($B349,Vertices!$A$10:$F$203, 5, FALSE)</f>
        <v>100</v>
      </c>
      <c r="I349" s="11">
        <f>VLOOKUP($B349,Vertices!$A$10:$F$203, 6, FALSE)</f>
        <v>80</v>
      </c>
      <c r="J349" s="9">
        <f>VLOOKUP($C349,Vertices!$A$10:$F$203, 3, FALSE)</f>
        <v>70</v>
      </c>
      <c r="K349" s="10">
        <f>VLOOKUP($C349,Vertices!$A$10:$F$203, 4, FALSE)</f>
        <v>0</v>
      </c>
      <c r="L349" s="10">
        <f>VLOOKUP($C349,Vertices!$A$10:$F$203, 5, FALSE)</f>
        <v>100</v>
      </c>
      <c r="M349" s="11">
        <f>VLOOKUP($C349,Vertices!$A$10:$F$203, 6, FALSE)</f>
        <v>80</v>
      </c>
      <c r="N349" s="9">
        <f>VLOOKUP($D349,Vertices!$A$10:$F$203, 3, FALSE)</f>
        <v>100</v>
      </c>
      <c r="O349" s="10">
        <f>VLOOKUP($D349,Vertices!$A$10:$F$203, 4, FALSE)</f>
        <v>0</v>
      </c>
      <c r="P349" s="10">
        <f>VLOOKUP($D349,Vertices!$A$10:$F$203, 5, FALSE)</f>
        <v>100</v>
      </c>
      <c r="Q349" s="11">
        <f>VLOOKUP($D349,Vertices!$A$10:$F$203, 6, FALSE)</f>
        <v>100</v>
      </c>
    </row>
    <row r="350" spans="1:17" x14ac:dyDescent="0.25">
      <c r="A350">
        <v>340</v>
      </c>
      <c r="B350">
        <v>186</v>
      </c>
      <c r="C350">
        <v>187</v>
      </c>
      <c r="D350">
        <v>193</v>
      </c>
      <c r="F350" s="9">
        <f>VLOOKUP($B350,Vertices!$A$10:$F$203, 3, FALSE)</f>
        <v>70</v>
      </c>
      <c r="G350" s="10">
        <f>VLOOKUP($B350,Vertices!$A$10:$F$203, 4, FALSE)</f>
        <v>0</v>
      </c>
      <c r="H350" s="10">
        <f>VLOOKUP($B350,Vertices!$A$10:$F$203, 5, FALSE)</f>
        <v>100</v>
      </c>
      <c r="I350" s="11">
        <f>VLOOKUP($B350,Vertices!$A$10:$F$203, 6, FALSE)</f>
        <v>80</v>
      </c>
      <c r="J350" s="9">
        <f>VLOOKUP($C350,Vertices!$A$10:$F$203, 3, FALSE)</f>
        <v>100</v>
      </c>
      <c r="K350" s="10">
        <f>VLOOKUP($C350,Vertices!$A$10:$F$203, 4, FALSE)</f>
        <v>0</v>
      </c>
      <c r="L350" s="10">
        <f>VLOOKUP($C350,Vertices!$A$10:$F$203, 5, FALSE)</f>
        <v>100</v>
      </c>
      <c r="M350" s="11">
        <f>VLOOKUP($C350,Vertices!$A$10:$F$203, 6, FALSE)</f>
        <v>80</v>
      </c>
      <c r="N350" s="9">
        <f>VLOOKUP($D350,Vertices!$A$10:$F$203, 3, FALSE)</f>
        <v>100</v>
      </c>
      <c r="O350" s="10">
        <f>VLOOKUP($D350,Vertices!$A$10:$F$203, 4, FALSE)</f>
        <v>0</v>
      </c>
      <c r="P350" s="10">
        <f>VLOOKUP($D350,Vertices!$A$10:$F$203, 5, FALSE)</f>
        <v>100</v>
      </c>
      <c r="Q350" s="11">
        <f>VLOOKUP($D350,Vertices!$A$10:$F$203, 6, FALSE)</f>
        <v>100</v>
      </c>
    </row>
    <row r="351" spans="1:17" x14ac:dyDescent="0.25">
      <c r="A351">
        <v>341</v>
      </c>
      <c r="B351">
        <v>31</v>
      </c>
      <c r="C351">
        <v>97</v>
      </c>
      <c r="D351">
        <v>104</v>
      </c>
      <c r="F351" s="9">
        <f>VLOOKUP($B351,Vertices!$A$10:$F$203, 3, FALSE)</f>
        <v>100</v>
      </c>
      <c r="G351" s="10">
        <f>VLOOKUP($B351,Vertices!$A$10:$F$203, 4, FALSE)</f>
        <v>0</v>
      </c>
      <c r="H351" s="10">
        <f>VLOOKUP($B351,Vertices!$A$10:$F$203, 5, FALSE)</f>
        <v>0</v>
      </c>
      <c r="I351" s="11">
        <f>VLOOKUP($B351,Vertices!$A$10:$F$203, 6, FALSE)</f>
        <v>0</v>
      </c>
      <c r="J351" s="9">
        <f>VLOOKUP($C351,Vertices!$A$10:$F$203, 3, FALSE)</f>
        <v>100</v>
      </c>
      <c r="K351" s="10">
        <f>VLOOKUP($C351,Vertices!$A$10:$F$203, 4, FALSE)</f>
        <v>0</v>
      </c>
      <c r="L351" s="10">
        <f>VLOOKUP($C351,Vertices!$A$10:$F$203, 5, FALSE)</f>
        <v>0</v>
      </c>
      <c r="M351" s="11">
        <f>VLOOKUP($C351,Vertices!$A$10:$F$203, 6, FALSE)</f>
        <v>20</v>
      </c>
      <c r="N351" s="9">
        <f>VLOOKUP($D351,Vertices!$A$10:$F$203, 3, FALSE)</f>
        <v>100</v>
      </c>
      <c r="O351" s="10">
        <f>VLOOKUP($D351,Vertices!$A$10:$F$203, 4, FALSE)</f>
        <v>0</v>
      </c>
      <c r="P351" s="10">
        <f>VLOOKUP($D351,Vertices!$A$10:$F$203, 5, FALSE)</f>
        <v>10</v>
      </c>
      <c r="Q351" s="11">
        <f>VLOOKUP($D351,Vertices!$A$10:$F$203, 6, FALSE)</f>
        <v>20</v>
      </c>
    </row>
    <row r="352" spans="1:17" x14ac:dyDescent="0.25">
      <c r="A352">
        <v>342</v>
      </c>
      <c r="B352">
        <v>31</v>
      </c>
      <c r="C352">
        <v>104</v>
      </c>
      <c r="D352">
        <v>47</v>
      </c>
      <c r="F352" s="9">
        <f>VLOOKUP($B352,Vertices!$A$10:$F$203, 3, FALSE)</f>
        <v>100</v>
      </c>
      <c r="G352" s="10">
        <f>VLOOKUP($B352,Vertices!$A$10:$F$203, 4, FALSE)</f>
        <v>0</v>
      </c>
      <c r="H352" s="10">
        <f>VLOOKUP($B352,Vertices!$A$10:$F$203, 5, FALSE)</f>
        <v>0</v>
      </c>
      <c r="I352" s="11">
        <f>VLOOKUP($B352,Vertices!$A$10:$F$203, 6, FALSE)</f>
        <v>0</v>
      </c>
      <c r="J352" s="9">
        <f>VLOOKUP($C352,Vertices!$A$10:$F$203, 3, FALSE)</f>
        <v>100</v>
      </c>
      <c r="K352" s="10">
        <f>VLOOKUP($C352,Vertices!$A$10:$F$203, 4, FALSE)</f>
        <v>0</v>
      </c>
      <c r="L352" s="10">
        <f>VLOOKUP($C352,Vertices!$A$10:$F$203, 5, FALSE)</f>
        <v>10</v>
      </c>
      <c r="M352" s="11">
        <f>VLOOKUP($C352,Vertices!$A$10:$F$203, 6, FALSE)</f>
        <v>20</v>
      </c>
      <c r="N352" s="9">
        <f>VLOOKUP($D352,Vertices!$A$10:$F$203, 3, FALSE)</f>
        <v>100</v>
      </c>
      <c r="O352" s="10">
        <f>VLOOKUP($D352,Vertices!$A$10:$F$203, 4, FALSE)</f>
        <v>0</v>
      </c>
      <c r="P352" s="10">
        <f>VLOOKUP($D352,Vertices!$A$10:$F$203, 5, FALSE)</f>
        <v>10</v>
      </c>
      <c r="Q352" s="11">
        <f>VLOOKUP($D352,Vertices!$A$10:$F$203, 6, FALSE)</f>
        <v>0</v>
      </c>
    </row>
    <row r="353" spans="1:17" x14ac:dyDescent="0.25">
      <c r="A353">
        <v>343</v>
      </c>
      <c r="B353">
        <v>47</v>
      </c>
      <c r="C353">
        <v>104</v>
      </c>
      <c r="D353">
        <v>106</v>
      </c>
      <c r="F353" s="9">
        <f>VLOOKUP($B353,Vertices!$A$10:$F$203, 3, FALSE)</f>
        <v>100</v>
      </c>
      <c r="G353" s="10">
        <f>VLOOKUP($B353,Vertices!$A$10:$F$203, 4, FALSE)</f>
        <v>0</v>
      </c>
      <c r="H353" s="10">
        <f>VLOOKUP($B353,Vertices!$A$10:$F$203, 5, FALSE)</f>
        <v>10</v>
      </c>
      <c r="I353" s="11">
        <f>VLOOKUP($B353,Vertices!$A$10:$F$203, 6, FALSE)</f>
        <v>0</v>
      </c>
      <c r="J353" s="9">
        <f>VLOOKUP($C353,Vertices!$A$10:$F$203, 3, FALSE)</f>
        <v>100</v>
      </c>
      <c r="K353" s="10">
        <f>VLOOKUP($C353,Vertices!$A$10:$F$203, 4, FALSE)</f>
        <v>0</v>
      </c>
      <c r="L353" s="10">
        <f>VLOOKUP($C353,Vertices!$A$10:$F$203, 5, FALSE)</f>
        <v>10</v>
      </c>
      <c r="M353" s="11">
        <f>VLOOKUP($C353,Vertices!$A$10:$F$203, 6, FALSE)</f>
        <v>20</v>
      </c>
      <c r="N353" s="9">
        <f>VLOOKUP($D353,Vertices!$A$10:$F$203, 3, FALSE)</f>
        <v>100</v>
      </c>
      <c r="O353" s="10">
        <f>VLOOKUP($D353,Vertices!$A$10:$F$203, 4, FALSE)</f>
        <v>0</v>
      </c>
      <c r="P353" s="10">
        <f>VLOOKUP($D353,Vertices!$A$10:$F$203, 5, FALSE)</f>
        <v>20</v>
      </c>
      <c r="Q353" s="11">
        <f>VLOOKUP($D353,Vertices!$A$10:$F$203, 6, FALSE)</f>
        <v>20</v>
      </c>
    </row>
    <row r="354" spans="1:17" x14ac:dyDescent="0.25">
      <c r="A354">
        <v>344</v>
      </c>
      <c r="B354">
        <v>47</v>
      </c>
      <c r="C354">
        <v>106</v>
      </c>
      <c r="D354">
        <v>58</v>
      </c>
      <c r="F354" s="9">
        <f>VLOOKUP($B354,Vertices!$A$10:$F$203, 3, FALSE)</f>
        <v>100</v>
      </c>
      <c r="G354" s="10">
        <f>VLOOKUP($B354,Vertices!$A$10:$F$203, 4, FALSE)</f>
        <v>0</v>
      </c>
      <c r="H354" s="10">
        <f>VLOOKUP($B354,Vertices!$A$10:$F$203, 5, FALSE)</f>
        <v>10</v>
      </c>
      <c r="I354" s="11">
        <f>VLOOKUP($B354,Vertices!$A$10:$F$203, 6, FALSE)</f>
        <v>0</v>
      </c>
      <c r="J354" s="9">
        <f>VLOOKUP($C354,Vertices!$A$10:$F$203, 3, FALSE)</f>
        <v>100</v>
      </c>
      <c r="K354" s="10">
        <f>VLOOKUP($C354,Vertices!$A$10:$F$203, 4, FALSE)</f>
        <v>0</v>
      </c>
      <c r="L354" s="10">
        <f>VLOOKUP($C354,Vertices!$A$10:$F$203, 5, FALSE)</f>
        <v>20</v>
      </c>
      <c r="M354" s="11">
        <f>VLOOKUP($C354,Vertices!$A$10:$F$203, 6, FALSE)</f>
        <v>20</v>
      </c>
      <c r="N354" s="9">
        <f>VLOOKUP($D354,Vertices!$A$10:$F$203, 3, FALSE)</f>
        <v>100</v>
      </c>
      <c r="O354" s="10">
        <f>VLOOKUP($D354,Vertices!$A$10:$F$203, 4, FALSE)</f>
        <v>0</v>
      </c>
      <c r="P354" s="10">
        <f>VLOOKUP($D354,Vertices!$A$10:$F$203, 5, FALSE)</f>
        <v>20</v>
      </c>
      <c r="Q354" s="11">
        <f>VLOOKUP($D354,Vertices!$A$10:$F$203, 6, FALSE)</f>
        <v>0</v>
      </c>
    </row>
    <row r="355" spans="1:17" x14ac:dyDescent="0.25">
      <c r="A355">
        <v>345</v>
      </c>
      <c r="B355">
        <v>58</v>
      </c>
      <c r="C355">
        <v>106</v>
      </c>
      <c r="D355">
        <v>108</v>
      </c>
      <c r="F355" s="9">
        <f>VLOOKUP($B355,Vertices!$A$10:$F$203, 3, FALSE)</f>
        <v>100</v>
      </c>
      <c r="G355" s="10">
        <f>VLOOKUP($B355,Vertices!$A$10:$F$203, 4, FALSE)</f>
        <v>0</v>
      </c>
      <c r="H355" s="10">
        <f>VLOOKUP($B355,Vertices!$A$10:$F$203, 5, FALSE)</f>
        <v>20</v>
      </c>
      <c r="I355" s="11">
        <f>VLOOKUP($B355,Vertices!$A$10:$F$203, 6, FALSE)</f>
        <v>0</v>
      </c>
      <c r="J355" s="9">
        <f>VLOOKUP($C355,Vertices!$A$10:$F$203, 3, FALSE)</f>
        <v>100</v>
      </c>
      <c r="K355" s="10">
        <f>VLOOKUP($C355,Vertices!$A$10:$F$203, 4, FALSE)</f>
        <v>0</v>
      </c>
      <c r="L355" s="10">
        <f>VLOOKUP($C355,Vertices!$A$10:$F$203, 5, FALSE)</f>
        <v>20</v>
      </c>
      <c r="M355" s="11">
        <f>VLOOKUP($C355,Vertices!$A$10:$F$203, 6, FALSE)</f>
        <v>20</v>
      </c>
      <c r="N355" s="9">
        <f>VLOOKUP($D355,Vertices!$A$10:$F$203, 3, FALSE)</f>
        <v>100</v>
      </c>
      <c r="O355" s="10">
        <f>VLOOKUP($D355,Vertices!$A$10:$F$203, 4, FALSE)</f>
        <v>0</v>
      </c>
      <c r="P355" s="10">
        <f>VLOOKUP($D355,Vertices!$A$10:$F$203, 5, FALSE)</f>
        <v>40</v>
      </c>
      <c r="Q355" s="11">
        <f>VLOOKUP($D355,Vertices!$A$10:$F$203, 6, FALSE)</f>
        <v>20</v>
      </c>
    </row>
    <row r="356" spans="1:17" x14ac:dyDescent="0.25">
      <c r="A356">
        <v>346</v>
      </c>
      <c r="B356">
        <v>58</v>
      </c>
      <c r="C356">
        <v>108</v>
      </c>
      <c r="D356">
        <v>69</v>
      </c>
      <c r="F356" s="9">
        <f>VLOOKUP($B356,Vertices!$A$10:$F$203, 3, FALSE)</f>
        <v>100</v>
      </c>
      <c r="G356" s="10">
        <f>VLOOKUP($B356,Vertices!$A$10:$F$203, 4, FALSE)</f>
        <v>0</v>
      </c>
      <c r="H356" s="10">
        <f>VLOOKUP($B356,Vertices!$A$10:$F$203, 5, FALSE)</f>
        <v>20</v>
      </c>
      <c r="I356" s="11">
        <f>VLOOKUP($B356,Vertices!$A$10:$F$203, 6, FALSE)</f>
        <v>0</v>
      </c>
      <c r="J356" s="9">
        <f>VLOOKUP($C356,Vertices!$A$10:$F$203, 3, FALSE)</f>
        <v>100</v>
      </c>
      <c r="K356" s="10">
        <f>VLOOKUP($C356,Vertices!$A$10:$F$203, 4, FALSE)</f>
        <v>0</v>
      </c>
      <c r="L356" s="10">
        <f>VLOOKUP($C356,Vertices!$A$10:$F$203, 5, FALSE)</f>
        <v>40</v>
      </c>
      <c r="M356" s="11">
        <f>VLOOKUP($C356,Vertices!$A$10:$F$203, 6, FALSE)</f>
        <v>20</v>
      </c>
      <c r="N356" s="9">
        <f>VLOOKUP($D356,Vertices!$A$10:$F$203, 3, FALSE)</f>
        <v>100</v>
      </c>
      <c r="O356" s="10">
        <f>VLOOKUP($D356,Vertices!$A$10:$F$203, 4, FALSE)</f>
        <v>0</v>
      </c>
      <c r="P356" s="10">
        <f>VLOOKUP($D356,Vertices!$A$10:$F$203, 5, FALSE)</f>
        <v>40</v>
      </c>
      <c r="Q356" s="11">
        <f>VLOOKUP($D356,Vertices!$A$10:$F$203, 6, FALSE)</f>
        <v>0</v>
      </c>
    </row>
    <row r="357" spans="1:17" x14ac:dyDescent="0.25">
      <c r="A357">
        <v>347</v>
      </c>
      <c r="B357">
        <v>69</v>
      </c>
      <c r="C357">
        <v>108</v>
      </c>
      <c r="D357">
        <v>110</v>
      </c>
      <c r="F357" s="9">
        <f>VLOOKUP($B357,Vertices!$A$10:$F$203, 3, FALSE)</f>
        <v>100</v>
      </c>
      <c r="G357" s="10">
        <f>VLOOKUP($B357,Vertices!$A$10:$F$203, 4, FALSE)</f>
        <v>0</v>
      </c>
      <c r="H357" s="10">
        <f>VLOOKUP($B357,Vertices!$A$10:$F$203, 5, FALSE)</f>
        <v>40</v>
      </c>
      <c r="I357" s="11">
        <f>VLOOKUP($B357,Vertices!$A$10:$F$203, 6, FALSE)</f>
        <v>0</v>
      </c>
      <c r="J357" s="9">
        <f>VLOOKUP($C357,Vertices!$A$10:$F$203, 3, FALSE)</f>
        <v>100</v>
      </c>
      <c r="K357" s="10">
        <f>VLOOKUP($C357,Vertices!$A$10:$F$203, 4, FALSE)</f>
        <v>0</v>
      </c>
      <c r="L357" s="10">
        <f>VLOOKUP($C357,Vertices!$A$10:$F$203, 5, FALSE)</f>
        <v>40</v>
      </c>
      <c r="M357" s="11">
        <f>VLOOKUP($C357,Vertices!$A$10:$F$203, 6, FALSE)</f>
        <v>20</v>
      </c>
      <c r="N357" s="9">
        <f>VLOOKUP($D357,Vertices!$A$10:$F$203, 3, FALSE)</f>
        <v>100</v>
      </c>
      <c r="O357" s="10">
        <f>VLOOKUP($D357,Vertices!$A$10:$F$203, 4, FALSE)</f>
        <v>0</v>
      </c>
      <c r="P357" s="10">
        <f>VLOOKUP($D357,Vertices!$A$10:$F$203, 5, FALSE)</f>
        <v>70</v>
      </c>
      <c r="Q357" s="11">
        <f>VLOOKUP($D357,Vertices!$A$10:$F$203, 6, FALSE)</f>
        <v>20</v>
      </c>
    </row>
    <row r="358" spans="1:17" x14ac:dyDescent="0.25">
      <c r="A358">
        <v>348</v>
      </c>
      <c r="B358">
        <v>69</v>
      </c>
      <c r="C358">
        <v>110</v>
      </c>
      <c r="D358">
        <v>80</v>
      </c>
      <c r="F358" s="9">
        <f>VLOOKUP($B358,Vertices!$A$10:$F$203, 3, FALSE)</f>
        <v>100</v>
      </c>
      <c r="G358" s="10">
        <f>VLOOKUP($B358,Vertices!$A$10:$F$203, 4, FALSE)</f>
        <v>0</v>
      </c>
      <c r="H358" s="10">
        <f>VLOOKUP($B358,Vertices!$A$10:$F$203, 5, FALSE)</f>
        <v>40</v>
      </c>
      <c r="I358" s="11">
        <f>VLOOKUP($B358,Vertices!$A$10:$F$203, 6, FALSE)</f>
        <v>0</v>
      </c>
      <c r="J358" s="9">
        <f>VLOOKUP($C358,Vertices!$A$10:$F$203, 3, FALSE)</f>
        <v>100</v>
      </c>
      <c r="K358" s="10">
        <f>VLOOKUP($C358,Vertices!$A$10:$F$203, 4, FALSE)</f>
        <v>0</v>
      </c>
      <c r="L358" s="10">
        <f>VLOOKUP($C358,Vertices!$A$10:$F$203, 5, FALSE)</f>
        <v>70</v>
      </c>
      <c r="M358" s="11">
        <f>VLOOKUP($C358,Vertices!$A$10:$F$203, 6, FALSE)</f>
        <v>20</v>
      </c>
      <c r="N358" s="9">
        <f>VLOOKUP($D358,Vertices!$A$10:$F$203, 3, FALSE)</f>
        <v>100</v>
      </c>
      <c r="O358" s="10">
        <f>VLOOKUP($D358,Vertices!$A$10:$F$203, 4, FALSE)</f>
        <v>0</v>
      </c>
      <c r="P358" s="10">
        <f>VLOOKUP($D358,Vertices!$A$10:$F$203, 5, FALSE)</f>
        <v>70</v>
      </c>
      <c r="Q358" s="11">
        <f>VLOOKUP($D358,Vertices!$A$10:$F$203, 6, FALSE)</f>
        <v>0</v>
      </c>
    </row>
    <row r="359" spans="1:17" x14ac:dyDescent="0.25">
      <c r="A359">
        <v>349</v>
      </c>
      <c r="B359">
        <v>80</v>
      </c>
      <c r="C359">
        <v>110</v>
      </c>
      <c r="D359">
        <v>121</v>
      </c>
      <c r="F359" s="9">
        <f>VLOOKUP($B359,Vertices!$A$10:$F$203, 3, FALSE)</f>
        <v>100</v>
      </c>
      <c r="G359" s="10">
        <f>VLOOKUP($B359,Vertices!$A$10:$F$203, 4, FALSE)</f>
        <v>0</v>
      </c>
      <c r="H359" s="10">
        <f>VLOOKUP($B359,Vertices!$A$10:$F$203, 5, FALSE)</f>
        <v>70</v>
      </c>
      <c r="I359" s="11">
        <f>VLOOKUP($B359,Vertices!$A$10:$F$203, 6, FALSE)</f>
        <v>0</v>
      </c>
      <c r="J359" s="9">
        <f>VLOOKUP($C359,Vertices!$A$10:$F$203, 3, FALSE)</f>
        <v>100</v>
      </c>
      <c r="K359" s="10">
        <f>VLOOKUP($C359,Vertices!$A$10:$F$203, 4, FALSE)</f>
        <v>0</v>
      </c>
      <c r="L359" s="10">
        <f>VLOOKUP($C359,Vertices!$A$10:$F$203, 5, FALSE)</f>
        <v>70</v>
      </c>
      <c r="M359" s="11">
        <f>VLOOKUP($C359,Vertices!$A$10:$F$203, 6, FALSE)</f>
        <v>20</v>
      </c>
      <c r="N359" s="9">
        <f>VLOOKUP($D359,Vertices!$A$10:$F$203, 3, FALSE)</f>
        <v>100</v>
      </c>
      <c r="O359" s="10">
        <f>VLOOKUP($D359,Vertices!$A$10:$F$203, 4, FALSE)</f>
        <v>0</v>
      </c>
      <c r="P359" s="10">
        <f>VLOOKUP($D359,Vertices!$A$10:$F$203, 5, FALSE)</f>
        <v>100</v>
      </c>
      <c r="Q359" s="11">
        <f>VLOOKUP($D359,Vertices!$A$10:$F$203, 6, FALSE)</f>
        <v>20</v>
      </c>
    </row>
    <row r="360" spans="1:17" x14ac:dyDescent="0.25">
      <c r="A360">
        <v>350</v>
      </c>
      <c r="B360">
        <v>80</v>
      </c>
      <c r="C360">
        <v>121</v>
      </c>
      <c r="D360">
        <v>91</v>
      </c>
      <c r="F360" s="9">
        <f>VLOOKUP($B360,Vertices!$A$10:$F$203, 3, FALSE)</f>
        <v>100</v>
      </c>
      <c r="G360" s="10">
        <f>VLOOKUP($B360,Vertices!$A$10:$F$203, 4, FALSE)</f>
        <v>0</v>
      </c>
      <c r="H360" s="10">
        <f>VLOOKUP($B360,Vertices!$A$10:$F$203, 5, FALSE)</f>
        <v>70</v>
      </c>
      <c r="I360" s="11">
        <f>VLOOKUP($B360,Vertices!$A$10:$F$203, 6, FALSE)</f>
        <v>0</v>
      </c>
      <c r="J360" s="9">
        <f>VLOOKUP($C360,Vertices!$A$10:$F$203, 3, FALSE)</f>
        <v>100</v>
      </c>
      <c r="K360" s="10">
        <f>VLOOKUP($C360,Vertices!$A$10:$F$203, 4, FALSE)</f>
        <v>0</v>
      </c>
      <c r="L360" s="10">
        <f>VLOOKUP($C360,Vertices!$A$10:$F$203, 5, FALSE)</f>
        <v>100</v>
      </c>
      <c r="M360" s="11">
        <f>VLOOKUP($C360,Vertices!$A$10:$F$203, 6, FALSE)</f>
        <v>20</v>
      </c>
      <c r="N360" s="9">
        <f>VLOOKUP($D360,Vertices!$A$10:$F$203, 3, FALSE)</f>
        <v>100</v>
      </c>
      <c r="O360" s="10">
        <f>VLOOKUP($D360,Vertices!$A$10:$F$203, 4, FALSE)</f>
        <v>0</v>
      </c>
      <c r="P360" s="10">
        <f>VLOOKUP($D360,Vertices!$A$10:$F$203, 5, FALSE)</f>
        <v>100</v>
      </c>
      <c r="Q360" s="11">
        <f>VLOOKUP($D360,Vertices!$A$10:$F$203, 6, FALSE)</f>
        <v>0</v>
      </c>
    </row>
    <row r="361" spans="1:17" x14ac:dyDescent="0.25">
      <c r="A361">
        <v>351</v>
      </c>
      <c r="B361">
        <v>97</v>
      </c>
      <c r="C361">
        <v>126</v>
      </c>
      <c r="D361">
        <v>104</v>
      </c>
      <c r="F361" s="9">
        <f>VLOOKUP($B361,Vertices!$A$10:$F$203, 3, FALSE)</f>
        <v>100</v>
      </c>
      <c r="G361" s="10">
        <f>VLOOKUP($B361,Vertices!$A$10:$F$203, 4, FALSE)</f>
        <v>0</v>
      </c>
      <c r="H361" s="10">
        <f>VLOOKUP($B361,Vertices!$A$10:$F$203, 5, FALSE)</f>
        <v>0</v>
      </c>
      <c r="I361" s="11">
        <f>VLOOKUP($B361,Vertices!$A$10:$F$203, 6, FALSE)</f>
        <v>20</v>
      </c>
      <c r="J361" s="9">
        <f>VLOOKUP($C361,Vertices!$A$10:$F$203, 3, FALSE)</f>
        <v>100</v>
      </c>
      <c r="K361" s="10">
        <f>VLOOKUP($C361,Vertices!$A$10:$F$203, 4, FALSE)</f>
        <v>0</v>
      </c>
      <c r="L361" s="10">
        <f>VLOOKUP($C361,Vertices!$A$10:$F$203, 5, FALSE)</f>
        <v>0</v>
      </c>
      <c r="M361" s="11">
        <f>VLOOKUP($C361,Vertices!$A$10:$F$203, 6, FALSE)</f>
        <v>40</v>
      </c>
      <c r="N361" s="9">
        <f>VLOOKUP($D361,Vertices!$A$10:$F$203, 3, FALSE)</f>
        <v>100</v>
      </c>
      <c r="O361" s="10">
        <f>VLOOKUP($D361,Vertices!$A$10:$F$203, 4, FALSE)</f>
        <v>0</v>
      </c>
      <c r="P361" s="10">
        <f>VLOOKUP($D361,Vertices!$A$10:$F$203, 5, FALSE)</f>
        <v>10</v>
      </c>
      <c r="Q361" s="11">
        <f>VLOOKUP($D361,Vertices!$A$10:$F$203, 6, FALSE)</f>
        <v>20</v>
      </c>
    </row>
    <row r="362" spans="1:17" x14ac:dyDescent="0.25">
      <c r="A362">
        <v>352</v>
      </c>
      <c r="B362">
        <v>126</v>
      </c>
      <c r="C362">
        <v>132</v>
      </c>
      <c r="D362">
        <v>104</v>
      </c>
      <c r="F362" s="9">
        <f>VLOOKUP($B362,Vertices!$A$10:$F$203, 3, FALSE)</f>
        <v>100</v>
      </c>
      <c r="G362" s="10">
        <f>VLOOKUP($B362,Vertices!$A$10:$F$203, 4, FALSE)</f>
        <v>0</v>
      </c>
      <c r="H362" s="10">
        <f>VLOOKUP($B362,Vertices!$A$10:$F$203, 5, FALSE)</f>
        <v>0</v>
      </c>
      <c r="I362" s="11">
        <f>VLOOKUP($B362,Vertices!$A$10:$F$203, 6, FALSE)</f>
        <v>40</v>
      </c>
      <c r="J362" s="9">
        <f>VLOOKUP($C362,Vertices!$A$10:$F$203, 3, FALSE)</f>
        <v>100</v>
      </c>
      <c r="K362" s="10">
        <f>VLOOKUP($C362,Vertices!$A$10:$F$203, 4, FALSE)</f>
        <v>0</v>
      </c>
      <c r="L362" s="10">
        <f>VLOOKUP($C362,Vertices!$A$10:$F$203, 5, FALSE)</f>
        <v>20</v>
      </c>
      <c r="M362" s="11">
        <f>VLOOKUP($C362,Vertices!$A$10:$F$203, 6, FALSE)</f>
        <v>40</v>
      </c>
      <c r="N362" s="9">
        <f>VLOOKUP($D362,Vertices!$A$10:$F$203, 3, FALSE)</f>
        <v>100</v>
      </c>
      <c r="O362" s="10">
        <f>VLOOKUP($D362,Vertices!$A$10:$F$203, 4, FALSE)</f>
        <v>0</v>
      </c>
      <c r="P362" s="10">
        <f>VLOOKUP($D362,Vertices!$A$10:$F$203, 5, FALSE)</f>
        <v>10</v>
      </c>
      <c r="Q362" s="11">
        <f>VLOOKUP($D362,Vertices!$A$10:$F$203, 6, FALSE)</f>
        <v>20</v>
      </c>
    </row>
    <row r="363" spans="1:17" x14ac:dyDescent="0.25">
      <c r="A363">
        <v>353</v>
      </c>
      <c r="B363">
        <v>104</v>
      </c>
      <c r="C363">
        <v>132</v>
      </c>
      <c r="D363">
        <v>106</v>
      </c>
      <c r="F363" s="9">
        <f>VLOOKUP($B363,Vertices!$A$10:$F$203, 3, FALSE)</f>
        <v>100</v>
      </c>
      <c r="G363" s="10">
        <f>VLOOKUP($B363,Vertices!$A$10:$F$203, 4, FALSE)</f>
        <v>0</v>
      </c>
      <c r="H363" s="10">
        <f>VLOOKUP($B363,Vertices!$A$10:$F$203, 5, FALSE)</f>
        <v>10</v>
      </c>
      <c r="I363" s="11">
        <f>VLOOKUP($B363,Vertices!$A$10:$F$203, 6, FALSE)</f>
        <v>20</v>
      </c>
      <c r="J363" s="9">
        <f>VLOOKUP($C363,Vertices!$A$10:$F$203, 3, FALSE)</f>
        <v>100</v>
      </c>
      <c r="K363" s="10">
        <f>VLOOKUP($C363,Vertices!$A$10:$F$203, 4, FALSE)</f>
        <v>0</v>
      </c>
      <c r="L363" s="10">
        <f>VLOOKUP($C363,Vertices!$A$10:$F$203, 5, FALSE)</f>
        <v>20</v>
      </c>
      <c r="M363" s="11">
        <f>VLOOKUP($C363,Vertices!$A$10:$F$203, 6, FALSE)</f>
        <v>40</v>
      </c>
      <c r="N363" s="9">
        <f>VLOOKUP($D363,Vertices!$A$10:$F$203, 3, FALSE)</f>
        <v>100</v>
      </c>
      <c r="O363" s="10">
        <f>VLOOKUP($D363,Vertices!$A$10:$F$203, 4, FALSE)</f>
        <v>0</v>
      </c>
      <c r="P363" s="10">
        <f>VLOOKUP($D363,Vertices!$A$10:$F$203, 5, FALSE)</f>
        <v>20</v>
      </c>
      <c r="Q363" s="11">
        <f>VLOOKUP($D363,Vertices!$A$10:$F$203, 6, FALSE)</f>
        <v>20</v>
      </c>
    </row>
    <row r="364" spans="1:17" x14ac:dyDescent="0.25">
      <c r="A364">
        <v>354</v>
      </c>
      <c r="B364">
        <v>106</v>
      </c>
      <c r="C364">
        <v>132</v>
      </c>
      <c r="D364">
        <v>134</v>
      </c>
      <c r="F364" s="9">
        <f>VLOOKUP($B364,Vertices!$A$10:$F$203, 3, FALSE)</f>
        <v>100</v>
      </c>
      <c r="G364" s="10">
        <f>VLOOKUP($B364,Vertices!$A$10:$F$203, 4, FALSE)</f>
        <v>0</v>
      </c>
      <c r="H364" s="10">
        <f>VLOOKUP($B364,Vertices!$A$10:$F$203, 5, FALSE)</f>
        <v>20</v>
      </c>
      <c r="I364" s="11">
        <f>VLOOKUP($B364,Vertices!$A$10:$F$203, 6, FALSE)</f>
        <v>20</v>
      </c>
      <c r="J364" s="9">
        <f>VLOOKUP($C364,Vertices!$A$10:$F$203, 3, FALSE)</f>
        <v>100</v>
      </c>
      <c r="K364" s="10">
        <f>VLOOKUP($C364,Vertices!$A$10:$F$203, 4, FALSE)</f>
        <v>0</v>
      </c>
      <c r="L364" s="10">
        <f>VLOOKUP($C364,Vertices!$A$10:$F$203, 5, FALSE)</f>
        <v>20</v>
      </c>
      <c r="M364" s="11">
        <f>VLOOKUP($C364,Vertices!$A$10:$F$203, 6, FALSE)</f>
        <v>40</v>
      </c>
      <c r="N364" s="9">
        <f>VLOOKUP($D364,Vertices!$A$10:$F$203, 3, FALSE)</f>
        <v>100</v>
      </c>
      <c r="O364" s="10">
        <f>VLOOKUP($D364,Vertices!$A$10:$F$203, 4, FALSE)</f>
        <v>0</v>
      </c>
      <c r="P364" s="10">
        <f>VLOOKUP($D364,Vertices!$A$10:$F$203, 5, FALSE)</f>
        <v>40</v>
      </c>
      <c r="Q364" s="11">
        <f>VLOOKUP($D364,Vertices!$A$10:$F$203, 6, FALSE)</f>
        <v>40</v>
      </c>
    </row>
    <row r="365" spans="1:17" x14ac:dyDescent="0.25">
      <c r="A365">
        <v>355</v>
      </c>
      <c r="B365">
        <v>106</v>
      </c>
      <c r="C365">
        <v>134</v>
      </c>
      <c r="D365">
        <v>108</v>
      </c>
      <c r="F365" s="9">
        <f>VLOOKUP($B365,Vertices!$A$10:$F$203, 3, FALSE)</f>
        <v>100</v>
      </c>
      <c r="G365" s="10">
        <f>VLOOKUP($B365,Vertices!$A$10:$F$203, 4, FALSE)</f>
        <v>0</v>
      </c>
      <c r="H365" s="10">
        <f>VLOOKUP($B365,Vertices!$A$10:$F$203, 5, FALSE)</f>
        <v>20</v>
      </c>
      <c r="I365" s="11">
        <f>VLOOKUP($B365,Vertices!$A$10:$F$203, 6, FALSE)</f>
        <v>20</v>
      </c>
      <c r="J365" s="9">
        <f>VLOOKUP($C365,Vertices!$A$10:$F$203, 3, FALSE)</f>
        <v>100</v>
      </c>
      <c r="K365" s="10">
        <f>VLOOKUP($C365,Vertices!$A$10:$F$203, 4, FALSE)</f>
        <v>0</v>
      </c>
      <c r="L365" s="10">
        <f>VLOOKUP($C365,Vertices!$A$10:$F$203, 5, FALSE)</f>
        <v>40</v>
      </c>
      <c r="M365" s="11">
        <f>VLOOKUP($C365,Vertices!$A$10:$F$203, 6, FALSE)</f>
        <v>40</v>
      </c>
      <c r="N365" s="9">
        <f>VLOOKUP($D365,Vertices!$A$10:$F$203, 3, FALSE)</f>
        <v>100</v>
      </c>
      <c r="O365" s="10">
        <f>VLOOKUP($D365,Vertices!$A$10:$F$203, 4, FALSE)</f>
        <v>0</v>
      </c>
      <c r="P365" s="10">
        <f>VLOOKUP($D365,Vertices!$A$10:$F$203, 5, FALSE)</f>
        <v>40</v>
      </c>
      <c r="Q365" s="11">
        <f>VLOOKUP($D365,Vertices!$A$10:$F$203, 6, FALSE)</f>
        <v>20</v>
      </c>
    </row>
    <row r="366" spans="1:17" x14ac:dyDescent="0.25">
      <c r="A366">
        <v>356</v>
      </c>
      <c r="B366">
        <v>108</v>
      </c>
      <c r="C366">
        <v>134</v>
      </c>
      <c r="D366">
        <v>136</v>
      </c>
      <c r="F366" s="9">
        <f>VLOOKUP($B366,Vertices!$A$10:$F$203, 3, FALSE)</f>
        <v>100</v>
      </c>
      <c r="G366" s="10">
        <f>VLOOKUP($B366,Vertices!$A$10:$F$203, 4, FALSE)</f>
        <v>0</v>
      </c>
      <c r="H366" s="10">
        <f>VLOOKUP($B366,Vertices!$A$10:$F$203, 5, FALSE)</f>
        <v>40</v>
      </c>
      <c r="I366" s="11">
        <f>VLOOKUP($B366,Vertices!$A$10:$F$203, 6, FALSE)</f>
        <v>20</v>
      </c>
      <c r="J366" s="9">
        <f>VLOOKUP($C366,Vertices!$A$10:$F$203, 3, FALSE)</f>
        <v>100</v>
      </c>
      <c r="K366" s="10">
        <f>VLOOKUP($C366,Vertices!$A$10:$F$203, 4, FALSE)</f>
        <v>0</v>
      </c>
      <c r="L366" s="10">
        <f>VLOOKUP($C366,Vertices!$A$10:$F$203, 5, FALSE)</f>
        <v>40</v>
      </c>
      <c r="M366" s="11">
        <f>VLOOKUP($C366,Vertices!$A$10:$F$203, 6, FALSE)</f>
        <v>40</v>
      </c>
      <c r="N366" s="9">
        <f>VLOOKUP($D366,Vertices!$A$10:$F$203, 3, FALSE)</f>
        <v>100</v>
      </c>
      <c r="O366" s="10">
        <f>VLOOKUP($D366,Vertices!$A$10:$F$203, 4, FALSE)</f>
        <v>0</v>
      </c>
      <c r="P366" s="10">
        <f>VLOOKUP($D366,Vertices!$A$10:$F$203, 5, FALSE)</f>
        <v>70</v>
      </c>
      <c r="Q366" s="11">
        <f>VLOOKUP($D366,Vertices!$A$10:$F$203, 6, FALSE)</f>
        <v>40</v>
      </c>
    </row>
    <row r="367" spans="1:17" x14ac:dyDescent="0.25">
      <c r="A367">
        <v>357</v>
      </c>
      <c r="B367">
        <v>108</v>
      </c>
      <c r="C367">
        <v>136</v>
      </c>
      <c r="D367">
        <v>110</v>
      </c>
      <c r="F367" s="9">
        <f>VLOOKUP($B367,Vertices!$A$10:$F$203, 3, FALSE)</f>
        <v>100</v>
      </c>
      <c r="G367" s="10">
        <f>VLOOKUP($B367,Vertices!$A$10:$F$203, 4, FALSE)</f>
        <v>0</v>
      </c>
      <c r="H367" s="10">
        <f>VLOOKUP($B367,Vertices!$A$10:$F$203, 5, FALSE)</f>
        <v>40</v>
      </c>
      <c r="I367" s="11">
        <f>VLOOKUP($B367,Vertices!$A$10:$F$203, 6, FALSE)</f>
        <v>20</v>
      </c>
      <c r="J367" s="9">
        <f>VLOOKUP($C367,Vertices!$A$10:$F$203, 3, FALSE)</f>
        <v>100</v>
      </c>
      <c r="K367" s="10">
        <f>VLOOKUP($C367,Vertices!$A$10:$F$203, 4, FALSE)</f>
        <v>0</v>
      </c>
      <c r="L367" s="10">
        <f>VLOOKUP($C367,Vertices!$A$10:$F$203, 5, FALSE)</f>
        <v>70</v>
      </c>
      <c r="M367" s="11">
        <f>VLOOKUP($C367,Vertices!$A$10:$F$203, 6, FALSE)</f>
        <v>40</v>
      </c>
      <c r="N367" s="9">
        <f>VLOOKUP($D367,Vertices!$A$10:$F$203, 3, FALSE)</f>
        <v>100</v>
      </c>
      <c r="O367" s="10">
        <f>VLOOKUP($D367,Vertices!$A$10:$F$203, 4, FALSE)</f>
        <v>0</v>
      </c>
      <c r="P367" s="10">
        <f>VLOOKUP($D367,Vertices!$A$10:$F$203, 5, FALSE)</f>
        <v>70</v>
      </c>
      <c r="Q367" s="11">
        <f>VLOOKUP($D367,Vertices!$A$10:$F$203, 6, FALSE)</f>
        <v>20</v>
      </c>
    </row>
    <row r="368" spans="1:17" x14ac:dyDescent="0.25">
      <c r="A368">
        <v>358</v>
      </c>
      <c r="B368">
        <v>110</v>
      </c>
      <c r="C368">
        <v>136</v>
      </c>
      <c r="D368">
        <v>145</v>
      </c>
      <c r="F368" s="9">
        <f>VLOOKUP($B368,Vertices!$A$10:$F$203, 3, FALSE)</f>
        <v>100</v>
      </c>
      <c r="G368" s="10">
        <f>VLOOKUP($B368,Vertices!$A$10:$F$203, 4, FALSE)</f>
        <v>0</v>
      </c>
      <c r="H368" s="10">
        <f>VLOOKUP($B368,Vertices!$A$10:$F$203, 5, FALSE)</f>
        <v>70</v>
      </c>
      <c r="I368" s="11">
        <f>VLOOKUP($B368,Vertices!$A$10:$F$203, 6, FALSE)</f>
        <v>20</v>
      </c>
      <c r="J368" s="9">
        <f>VLOOKUP($C368,Vertices!$A$10:$F$203, 3, FALSE)</f>
        <v>100</v>
      </c>
      <c r="K368" s="10">
        <f>VLOOKUP($C368,Vertices!$A$10:$F$203, 4, FALSE)</f>
        <v>0</v>
      </c>
      <c r="L368" s="10">
        <f>VLOOKUP($C368,Vertices!$A$10:$F$203, 5, FALSE)</f>
        <v>70</v>
      </c>
      <c r="M368" s="11">
        <f>VLOOKUP($C368,Vertices!$A$10:$F$203, 6, FALSE)</f>
        <v>40</v>
      </c>
      <c r="N368" s="9">
        <f>VLOOKUP($D368,Vertices!$A$10:$F$203, 3, FALSE)</f>
        <v>100</v>
      </c>
      <c r="O368" s="10">
        <f>VLOOKUP($D368,Vertices!$A$10:$F$203, 4, FALSE)</f>
        <v>0</v>
      </c>
      <c r="P368" s="10">
        <f>VLOOKUP($D368,Vertices!$A$10:$F$203, 5, FALSE)</f>
        <v>100</v>
      </c>
      <c r="Q368" s="11">
        <f>VLOOKUP($D368,Vertices!$A$10:$F$203, 6, FALSE)</f>
        <v>40</v>
      </c>
    </row>
    <row r="369" spans="1:17" x14ac:dyDescent="0.25">
      <c r="A369">
        <v>359</v>
      </c>
      <c r="B369">
        <v>110</v>
      </c>
      <c r="C369">
        <v>145</v>
      </c>
      <c r="D369">
        <v>121</v>
      </c>
      <c r="F369" s="9">
        <f>VLOOKUP($B369,Vertices!$A$10:$F$203, 3, FALSE)</f>
        <v>100</v>
      </c>
      <c r="G369" s="10">
        <f>VLOOKUP($B369,Vertices!$A$10:$F$203, 4, FALSE)</f>
        <v>0</v>
      </c>
      <c r="H369" s="10">
        <f>VLOOKUP($B369,Vertices!$A$10:$F$203, 5, FALSE)</f>
        <v>70</v>
      </c>
      <c r="I369" s="11">
        <f>VLOOKUP($B369,Vertices!$A$10:$F$203, 6, FALSE)</f>
        <v>20</v>
      </c>
      <c r="J369" s="9">
        <f>VLOOKUP($C369,Vertices!$A$10:$F$203, 3, FALSE)</f>
        <v>100</v>
      </c>
      <c r="K369" s="10">
        <f>VLOOKUP($C369,Vertices!$A$10:$F$203, 4, FALSE)</f>
        <v>0</v>
      </c>
      <c r="L369" s="10">
        <f>VLOOKUP($C369,Vertices!$A$10:$F$203, 5, FALSE)</f>
        <v>100</v>
      </c>
      <c r="M369" s="11">
        <f>VLOOKUP($C369,Vertices!$A$10:$F$203, 6, FALSE)</f>
        <v>40</v>
      </c>
      <c r="N369" s="9">
        <f>VLOOKUP($D369,Vertices!$A$10:$F$203, 3, FALSE)</f>
        <v>100</v>
      </c>
      <c r="O369" s="10">
        <f>VLOOKUP($D369,Vertices!$A$10:$F$203, 4, FALSE)</f>
        <v>0</v>
      </c>
      <c r="P369" s="10">
        <f>VLOOKUP($D369,Vertices!$A$10:$F$203, 5, FALSE)</f>
        <v>100</v>
      </c>
      <c r="Q369" s="11">
        <f>VLOOKUP($D369,Vertices!$A$10:$F$203, 6, FALSE)</f>
        <v>20</v>
      </c>
    </row>
    <row r="370" spans="1:17" x14ac:dyDescent="0.25">
      <c r="A370">
        <v>360</v>
      </c>
      <c r="B370">
        <v>126</v>
      </c>
      <c r="C370">
        <v>150</v>
      </c>
      <c r="D370">
        <v>156</v>
      </c>
      <c r="F370" s="9">
        <f>VLOOKUP($B370,Vertices!$A$10:$F$203, 3, FALSE)</f>
        <v>100</v>
      </c>
      <c r="G370" s="10">
        <f>VLOOKUP($B370,Vertices!$A$10:$F$203, 4, FALSE)</f>
        <v>0</v>
      </c>
      <c r="H370" s="10">
        <f>VLOOKUP($B370,Vertices!$A$10:$F$203, 5, FALSE)</f>
        <v>0</v>
      </c>
      <c r="I370" s="11">
        <f>VLOOKUP($B370,Vertices!$A$10:$F$203, 6, FALSE)</f>
        <v>40</v>
      </c>
      <c r="J370" s="9">
        <f>VLOOKUP($C370,Vertices!$A$10:$F$203, 3, FALSE)</f>
        <v>100</v>
      </c>
      <c r="K370" s="10">
        <f>VLOOKUP($C370,Vertices!$A$10:$F$203, 4, FALSE)</f>
        <v>0</v>
      </c>
      <c r="L370" s="10">
        <f>VLOOKUP($C370,Vertices!$A$10:$F$203, 5, FALSE)</f>
        <v>0</v>
      </c>
      <c r="M370" s="11">
        <f>VLOOKUP($C370,Vertices!$A$10:$F$203, 6, FALSE)</f>
        <v>60</v>
      </c>
      <c r="N370" s="9">
        <f>VLOOKUP($D370,Vertices!$A$10:$F$203, 3, FALSE)</f>
        <v>100</v>
      </c>
      <c r="O370" s="10">
        <f>VLOOKUP($D370,Vertices!$A$10:$F$203, 4, FALSE)</f>
        <v>0</v>
      </c>
      <c r="P370" s="10">
        <f>VLOOKUP($D370,Vertices!$A$10:$F$203, 5, FALSE)</f>
        <v>20</v>
      </c>
      <c r="Q370" s="11">
        <f>VLOOKUP($D370,Vertices!$A$10:$F$203, 6, FALSE)</f>
        <v>60</v>
      </c>
    </row>
    <row r="371" spans="1:17" x14ac:dyDescent="0.25">
      <c r="A371">
        <v>361</v>
      </c>
      <c r="B371">
        <v>126</v>
      </c>
      <c r="C371">
        <v>156</v>
      </c>
      <c r="D371">
        <v>132</v>
      </c>
      <c r="F371" s="9">
        <f>VLOOKUP($B371,Vertices!$A$10:$F$203, 3, FALSE)</f>
        <v>100</v>
      </c>
      <c r="G371" s="10">
        <f>VLOOKUP($B371,Vertices!$A$10:$F$203, 4, FALSE)</f>
        <v>0</v>
      </c>
      <c r="H371" s="10">
        <f>VLOOKUP($B371,Vertices!$A$10:$F$203, 5, FALSE)</f>
        <v>0</v>
      </c>
      <c r="I371" s="11">
        <f>VLOOKUP($B371,Vertices!$A$10:$F$203, 6, FALSE)</f>
        <v>40</v>
      </c>
      <c r="J371" s="9">
        <f>VLOOKUP($C371,Vertices!$A$10:$F$203, 3, FALSE)</f>
        <v>100</v>
      </c>
      <c r="K371" s="10">
        <f>VLOOKUP($C371,Vertices!$A$10:$F$203, 4, FALSE)</f>
        <v>0</v>
      </c>
      <c r="L371" s="10">
        <f>VLOOKUP($C371,Vertices!$A$10:$F$203, 5, FALSE)</f>
        <v>20</v>
      </c>
      <c r="M371" s="11">
        <f>VLOOKUP($C371,Vertices!$A$10:$F$203, 6, FALSE)</f>
        <v>60</v>
      </c>
      <c r="N371" s="9">
        <f>VLOOKUP($D371,Vertices!$A$10:$F$203, 3, FALSE)</f>
        <v>100</v>
      </c>
      <c r="O371" s="10">
        <f>VLOOKUP($D371,Vertices!$A$10:$F$203, 4, FALSE)</f>
        <v>0</v>
      </c>
      <c r="P371" s="10">
        <f>VLOOKUP($D371,Vertices!$A$10:$F$203, 5, FALSE)</f>
        <v>20</v>
      </c>
      <c r="Q371" s="11">
        <f>VLOOKUP($D371,Vertices!$A$10:$F$203, 6, FALSE)</f>
        <v>40</v>
      </c>
    </row>
    <row r="372" spans="1:17" x14ac:dyDescent="0.25">
      <c r="A372">
        <v>362</v>
      </c>
      <c r="B372">
        <v>132</v>
      </c>
      <c r="C372">
        <v>156</v>
      </c>
      <c r="D372">
        <v>158</v>
      </c>
      <c r="F372" s="9">
        <f>VLOOKUP($B372,Vertices!$A$10:$F$203, 3, FALSE)</f>
        <v>100</v>
      </c>
      <c r="G372" s="10">
        <f>VLOOKUP($B372,Vertices!$A$10:$F$203, 4, FALSE)</f>
        <v>0</v>
      </c>
      <c r="H372" s="10">
        <f>VLOOKUP($B372,Vertices!$A$10:$F$203, 5, FALSE)</f>
        <v>20</v>
      </c>
      <c r="I372" s="11">
        <f>VLOOKUP($B372,Vertices!$A$10:$F$203, 6, FALSE)</f>
        <v>40</v>
      </c>
      <c r="J372" s="9">
        <f>VLOOKUP($C372,Vertices!$A$10:$F$203, 3, FALSE)</f>
        <v>100</v>
      </c>
      <c r="K372" s="10">
        <f>VLOOKUP($C372,Vertices!$A$10:$F$203, 4, FALSE)</f>
        <v>0</v>
      </c>
      <c r="L372" s="10">
        <f>VLOOKUP($C372,Vertices!$A$10:$F$203, 5, FALSE)</f>
        <v>20</v>
      </c>
      <c r="M372" s="11">
        <f>VLOOKUP($C372,Vertices!$A$10:$F$203, 6, FALSE)</f>
        <v>60</v>
      </c>
      <c r="N372" s="9">
        <f>VLOOKUP($D372,Vertices!$A$10:$F$203, 3, FALSE)</f>
        <v>100</v>
      </c>
      <c r="O372" s="10">
        <f>VLOOKUP($D372,Vertices!$A$10:$F$203, 4, FALSE)</f>
        <v>0</v>
      </c>
      <c r="P372" s="10">
        <f>VLOOKUP($D372,Vertices!$A$10:$F$203, 5, FALSE)</f>
        <v>40</v>
      </c>
      <c r="Q372" s="11">
        <f>VLOOKUP($D372,Vertices!$A$10:$F$203, 6, FALSE)</f>
        <v>60</v>
      </c>
    </row>
    <row r="373" spans="1:17" x14ac:dyDescent="0.25">
      <c r="A373">
        <v>363</v>
      </c>
      <c r="B373">
        <v>132</v>
      </c>
      <c r="C373">
        <v>158</v>
      </c>
      <c r="D373">
        <v>134</v>
      </c>
      <c r="F373" s="9">
        <f>VLOOKUP($B373,Vertices!$A$10:$F$203, 3, FALSE)</f>
        <v>100</v>
      </c>
      <c r="G373" s="10">
        <f>VLOOKUP($B373,Vertices!$A$10:$F$203, 4, FALSE)</f>
        <v>0</v>
      </c>
      <c r="H373" s="10">
        <f>VLOOKUP($B373,Vertices!$A$10:$F$203, 5, FALSE)</f>
        <v>20</v>
      </c>
      <c r="I373" s="11">
        <f>VLOOKUP($B373,Vertices!$A$10:$F$203, 6, FALSE)</f>
        <v>40</v>
      </c>
      <c r="J373" s="9">
        <f>VLOOKUP($C373,Vertices!$A$10:$F$203, 3, FALSE)</f>
        <v>100</v>
      </c>
      <c r="K373" s="10">
        <f>VLOOKUP($C373,Vertices!$A$10:$F$203, 4, FALSE)</f>
        <v>0</v>
      </c>
      <c r="L373" s="10">
        <f>VLOOKUP($C373,Vertices!$A$10:$F$203, 5, FALSE)</f>
        <v>40</v>
      </c>
      <c r="M373" s="11">
        <f>VLOOKUP($C373,Vertices!$A$10:$F$203, 6, FALSE)</f>
        <v>60</v>
      </c>
      <c r="N373" s="9">
        <f>VLOOKUP($D373,Vertices!$A$10:$F$203, 3, FALSE)</f>
        <v>100</v>
      </c>
      <c r="O373" s="10">
        <f>VLOOKUP($D373,Vertices!$A$10:$F$203, 4, FALSE)</f>
        <v>0</v>
      </c>
      <c r="P373" s="10">
        <f>VLOOKUP($D373,Vertices!$A$10:$F$203, 5, FALSE)</f>
        <v>40</v>
      </c>
      <c r="Q373" s="11">
        <f>VLOOKUP($D373,Vertices!$A$10:$F$203, 6, FALSE)</f>
        <v>40</v>
      </c>
    </row>
    <row r="374" spans="1:17" x14ac:dyDescent="0.25">
      <c r="A374">
        <v>364</v>
      </c>
      <c r="B374">
        <v>134</v>
      </c>
      <c r="C374">
        <v>158</v>
      </c>
      <c r="D374">
        <v>160</v>
      </c>
      <c r="F374" s="9">
        <f>VLOOKUP($B374,Vertices!$A$10:$F$203, 3, FALSE)</f>
        <v>100</v>
      </c>
      <c r="G374" s="10">
        <f>VLOOKUP($B374,Vertices!$A$10:$F$203, 4, FALSE)</f>
        <v>0</v>
      </c>
      <c r="H374" s="10">
        <f>VLOOKUP($B374,Vertices!$A$10:$F$203, 5, FALSE)</f>
        <v>40</v>
      </c>
      <c r="I374" s="11">
        <f>VLOOKUP($B374,Vertices!$A$10:$F$203, 6, FALSE)</f>
        <v>40</v>
      </c>
      <c r="J374" s="9">
        <f>VLOOKUP($C374,Vertices!$A$10:$F$203, 3, FALSE)</f>
        <v>100</v>
      </c>
      <c r="K374" s="10">
        <f>VLOOKUP($C374,Vertices!$A$10:$F$203, 4, FALSE)</f>
        <v>0</v>
      </c>
      <c r="L374" s="10">
        <f>VLOOKUP($C374,Vertices!$A$10:$F$203, 5, FALSE)</f>
        <v>40</v>
      </c>
      <c r="M374" s="11">
        <f>VLOOKUP($C374,Vertices!$A$10:$F$203, 6, FALSE)</f>
        <v>60</v>
      </c>
      <c r="N374" s="9">
        <f>VLOOKUP($D374,Vertices!$A$10:$F$203, 3, FALSE)</f>
        <v>100</v>
      </c>
      <c r="O374" s="10">
        <f>VLOOKUP($D374,Vertices!$A$10:$F$203, 4, FALSE)</f>
        <v>0</v>
      </c>
      <c r="P374" s="10">
        <f>VLOOKUP($D374,Vertices!$A$10:$F$203, 5, FALSE)</f>
        <v>70</v>
      </c>
      <c r="Q374" s="11">
        <f>VLOOKUP($D374,Vertices!$A$10:$F$203, 6, FALSE)</f>
        <v>60</v>
      </c>
    </row>
    <row r="375" spans="1:17" x14ac:dyDescent="0.25">
      <c r="A375">
        <v>365</v>
      </c>
      <c r="B375">
        <v>134</v>
      </c>
      <c r="C375">
        <v>160</v>
      </c>
      <c r="D375">
        <v>136</v>
      </c>
      <c r="F375" s="9">
        <f>VLOOKUP($B375,Vertices!$A$10:$F$203, 3, FALSE)</f>
        <v>100</v>
      </c>
      <c r="G375" s="10">
        <f>VLOOKUP($B375,Vertices!$A$10:$F$203, 4, FALSE)</f>
        <v>0</v>
      </c>
      <c r="H375" s="10">
        <f>VLOOKUP($B375,Vertices!$A$10:$F$203, 5, FALSE)</f>
        <v>40</v>
      </c>
      <c r="I375" s="11">
        <f>VLOOKUP($B375,Vertices!$A$10:$F$203, 6, FALSE)</f>
        <v>40</v>
      </c>
      <c r="J375" s="9">
        <f>VLOOKUP($C375,Vertices!$A$10:$F$203, 3, FALSE)</f>
        <v>100</v>
      </c>
      <c r="K375" s="10">
        <f>VLOOKUP($C375,Vertices!$A$10:$F$203, 4, FALSE)</f>
        <v>0</v>
      </c>
      <c r="L375" s="10">
        <f>VLOOKUP($C375,Vertices!$A$10:$F$203, 5, FALSE)</f>
        <v>70</v>
      </c>
      <c r="M375" s="11">
        <f>VLOOKUP($C375,Vertices!$A$10:$F$203, 6, FALSE)</f>
        <v>60</v>
      </c>
      <c r="N375" s="9">
        <f>VLOOKUP($D375,Vertices!$A$10:$F$203, 3, FALSE)</f>
        <v>100</v>
      </c>
      <c r="O375" s="10">
        <f>VLOOKUP($D375,Vertices!$A$10:$F$203, 4, FALSE)</f>
        <v>0</v>
      </c>
      <c r="P375" s="10">
        <f>VLOOKUP($D375,Vertices!$A$10:$F$203, 5, FALSE)</f>
        <v>70</v>
      </c>
      <c r="Q375" s="11">
        <f>VLOOKUP($D375,Vertices!$A$10:$F$203, 6, FALSE)</f>
        <v>40</v>
      </c>
    </row>
    <row r="376" spans="1:17" x14ac:dyDescent="0.25">
      <c r="A376">
        <v>366</v>
      </c>
      <c r="B376">
        <v>136</v>
      </c>
      <c r="C376">
        <v>160</v>
      </c>
      <c r="D376">
        <v>169</v>
      </c>
      <c r="F376" s="9">
        <f>VLOOKUP($B376,Vertices!$A$10:$F$203, 3, FALSE)</f>
        <v>100</v>
      </c>
      <c r="G376" s="10">
        <f>VLOOKUP($B376,Vertices!$A$10:$F$203, 4, FALSE)</f>
        <v>0</v>
      </c>
      <c r="H376" s="10">
        <f>VLOOKUP($B376,Vertices!$A$10:$F$203, 5, FALSE)</f>
        <v>70</v>
      </c>
      <c r="I376" s="11">
        <f>VLOOKUP($B376,Vertices!$A$10:$F$203, 6, FALSE)</f>
        <v>40</v>
      </c>
      <c r="J376" s="9">
        <f>VLOOKUP($C376,Vertices!$A$10:$F$203, 3, FALSE)</f>
        <v>100</v>
      </c>
      <c r="K376" s="10">
        <f>VLOOKUP($C376,Vertices!$A$10:$F$203, 4, FALSE)</f>
        <v>0</v>
      </c>
      <c r="L376" s="10">
        <f>VLOOKUP($C376,Vertices!$A$10:$F$203, 5, FALSE)</f>
        <v>70</v>
      </c>
      <c r="M376" s="11">
        <f>VLOOKUP($C376,Vertices!$A$10:$F$203, 6, FALSE)</f>
        <v>60</v>
      </c>
      <c r="N376" s="9">
        <f>VLOOKUP($D376,Vertices!$A$10:$F$203, 3, FALSE)</f>
        <v>100</v>
      </c>
      <c r="O376" s="10">
        <f>VLOOKUP($D376,Vertices!$A$10:$F$203, 4, FALSE)</f>
        <v>0</v>
      </c>
      <c r="P376" s="10">
        <f>VLOOKUP($D376,Vertices!$A$10:$F$203, 5, FALSE)</f>
        <v>100</v>
      </c>
      <c r="Q376" s="11">
        <f>VLOOKUP($D376,Vertices!$A$10:$F$203, 6, FALSE)</f>
        <v>60</v>
      </c>
    </row>
    <row r="377" spans="1:17" x14ac:dyDescent="0.25">
      <c r="A377">
        <v>367</v>
      </c>
      <c r="B377">
        <v>136</v>
      </c>
      <c r="C377">
        <v>169</v>
      </c>
      <c r="D377">
        <v>145</v>
      </c>
      <c r="F377" s="9">
        <f>VLOOKUP($B377,Vertices!$A$10:$F$203, 3, FALSE)</f>
        <v>100</v>
      </c>
      <c r="G377" s="10">
        <f>VLOOKUP($B377,Vertices!$A$10:$F$203, 4, FALSE)</f>
        <v>0</v>
      </c>
      <c r="H377" s="10">
        <f>VLOOKUP($B377,Vertices!$A$10:$F$203, 5, FALSE)</f>
        <v>70</v>
      </c>
      <c r="I377" s="11">
        <f>VLOOKUP($B377,Vertices!$A$10:$F$203, 6, FALSE)</f>
        <v>40</v>
      </c>
      <c r="J377" s="9">
        <f>VLOOKUP($C377,Vertices!$A$10:$F$203, 3, FALSE)</f>
        <v>100</v>
      </c>
      <c r="K377" s="10">
        <f>VLOOKUP($C377,Vertices!$A$10:$F$203, 4, FALSE)</f>
        <v>0</v>
      </c>
      <c r="L377" s="10">
        <f>VLOOKUP($C377,Vertices!$A$10:$F$203, 5, FALSE)</f>
        <v>100</v>
      </c>
      <c r="M377" s="11">
        <f>VLOOKUP($C377,Vertices!$A$10:$F$203, 6, FALSE)</f>
        <v>60</v>
      </c>
      <c r="N377" s="9">
        <f>VLOOKUP($D377,Vertices!$A$10:$F$203, 3, FALSE)</f>
        <v>100</v>
      </c>
      <c r="O377" s="10">
        <f>VLOOKUP($D377,Vertices!$A$10:$F$203, 4, FALSE)</f>
        <v>0</v>
      </c>
      <c r="P377" s="10">
        <f>VLOOKUP($D377,Vertices!$A$10:$F$203, 5, FALSE)</f>
        <v>100</v>
      </c>
      <c r="Q377" s="11">
        <f>VLOOKUP($D377,Vertices!$A$10:$F$203, 6, FALSE)</f>
        <v>40</v>
      </c>
    </row>
    <row r="378" spans="1:17" x14ac:dyDescent="0.25">
      <c r="A378">
        <v>368</v>
      </c>
      <c r="B378">
        <v>150</v>
      </c>
      <c r="C378">
        <v>173</v>
      </c>
      <c r="D378">
        <v>156</v>
      </c>
      <c r="F378" s="9">
        <f>VLOOKUP($B378,Vertices!$A$10:$F$203, 3, FALSE)</f>
        <v>100</v>
      </c>
      <c r="G378" s="10">
        <f>VLOOKUP($B378,Vertices!$A$10:$F$203, 4, FALSE)</f>
        <v>0</v>
      </c>
      <c r="H378" s="10">
        <f>VLOOKUP($B378,Vertices!$A$10:$F$203, 5, FALSE)</f>
        <v>0</v>
      </c>
      <c r="I378" s="11">
        <f>VLOOKUP($B378,Vertices!$A$10:$F$203, 6, FALSE)</f>
        <v>60</v>
      </c>
      <c r="J378" s="9">
        <f>VLOOKUP($C378,Vertices!$A$10:$F$203, 3, FALSE)</f>
        <v>100</v>
      </c>
      <c r="K378" s="10">
        <f>VLOOKUP($C378,Vertices!$A$10:$F$203, 4, FALSE)</f>
        <v>0</v>
      </c>
      <c r="L378" s="10">
        <f>VLOOKUP($C378,Vertices!$A$10:$F$203, 5, FALSE)</f>
        <v>0</v>
      </c>
      <c r="M378" s="11">
        <f>VLOOKUP($C378,Vertices!$A$10:$F$203, 6, FALSE)</f>
        <v>80</v>
      </c>
      <c r="N378" s="9">
        <f>VLOOKUP($D378,Vertices!$A$10:$F$203, 3, FALSE)</f>
        <v>100</v>
      </c>
      <c r="O378" s="10">
        <f>VLOOKUP($D378,Vertices!$A$10:$F$203, 4, FALSE)</f>
        <v>0</v>
      </c>
      <c r="P378" s="10">
        <f>VLOOKUP($D378,Vertices!$A$10:$F$203, 5, FALSE)</f>
        <v>20</v>
      </c>
      <c r="Q378" s="11">
        <f>VLOOKUP($D378,Vertices!$A$10:$F$203, 6, FALSE)</f>
        <v>60</v>
      </c>
    </row>
    <row r="379" spans="1:17" x14ac:dyDescent="0.25">
      <c r="A379">
        <v>369</v>
      </c>
      <c r="B379">
        <v>156</v>
      </c>
      <c r="C379">
        <v>173</v>
      </c>
      <c r="D379">
        <v>178</v>
      </c>
      <c r="F379" s="9">
        <f>VLOOKUP($B379,Vertices!$A$10:$F$203, 3, FALSE)</f>
        <v>100</v>
      </c>
      <c r="G379" s="10">
        <f>VLOOKUP($B379,Vertices!$A$10:$F$203, 4, FALSE)</f>
        <v>0</v>
      </c>
      <c r="H379" s="10">
        <f>VLOOKUP($B379,Vertices!$A$10:$F$203, 5, FALSE)</f>
        <v>20</v>
      </c>
      <c r="I379" s="11">
        <f>VLOOKUP($B379,Vertices!$A$10:$F$203, 6, FALSE)</f>
        <v>60</v>
      </c>
      <c r="J379" s="9">
        <f>VLOOKUP($C379,Vertices!$A$10:$F$203, 3, FALSE)</f>
        <v>100</v>
      </c>
      <c r="K379" s="10">
        <f>VLOOKUP($C379,Vertices!$A$10:$F$203, 4, FALSE)</f>
        <v>0</v>
      </c>
      <c r="L379" s="10">
        <f>VLOOKUP($C379,Vertices!$A$10:$F$203, 5, FALSE)</f>
        <v>0</v>
      </c>
      <c r="M379" s="11">
        <f>VLOOKUP($C379,Vertices!$A$10:$F$203, 6, FALSE)</f>
        <v>80</v>
      </c>
      <c r="N379" s="9">
        <f>VLOOKUP($D379,Vertices!$A$10:$F$203, 3, FALSE)</f>
        <v>100</v>
      </c>
      <c r="O379" s="10">
        <f>VLOOKUP($D379,Vertices!$A$10:$F$203, 4, FALSE)</f>
        <v>0</v>
      </c>
      <c r="P379" s="10">
        <f>VLOOKUP($D379,Vertices!$A$10:$F$203, 5, FALSE)</f>
        <v>40</v>
      </c>
      <c r="Q379" s="11">
        <f>VLOOKUP($D379,Vertices!$A$10:$F$203, 6, FALSE)</f>
        <v>80</v>
      </c>
    </row>
    <row r="380" spans="1:17" x14ac:dyDescent="0.25">
      <c r="A380">
        <v>370</v>
      </c>
      <c r="B380">
        <v>156</v>
      </c>
      <c r="C380">
        <v>178</v>
      </c>
      <c r="D380">
        <v>158</v>
      </c>
      <c r="F380" s="9">
        <f>VLOOKUP($B380,Vertices!$A$10:$F$203, 3, FALSE)</f>
        <v>100</v>
      </c>
      <c r="G380" s="10">
        <f>VLOOKUP($B380,Vertices!$A$10:$F$203, 4, FALSE)</f>
        <v>0</v>
      </c>
      <c r="H380" s="10">
        <f>VLOOKUP($B380,Vertices!$A$10:$F$203, 5, FALSE)</f>
        <v>20</v>
      </c>
      <c r="I380" s="11">
        <f>VLOOKUP($B380,Vertices!$A$10:$F$203, 6, FALSE)</f>
        <v>60</v>
      </c>
      <c r="J380" s="9">
        <f>VLOOKUP($C380,Vertices!$A$10:$F$203, 3, FALSE)</f>
        <v>100</v>
      </c>
      <c r="K380" s="10">
        <f>VLOOKUP($C380,Vertices!$A$10:$F$203, 4, FALSE)</f>
        <v>0</v>
      </c>
      <c r="L380" s="10">
        <f>VLOOKUP($C380,Vertices!$A$10:$F$203, 5, FALSE)</f>
        <v>40</v>
      </c>
      <c r="M380" s="11">
        <f>VLOOKUP($C380,Vertices!$A$10:$F$203, 6, FALSE)</f>
        <v>80</v>
      </c>
      <c r="N380" s="9">
        <f>VLOOKUP($D380,Vertices!$A$10:$F$203, 3, FALSE)</f>
        <v>100</v>
      </c>
      <c r="O380" s="10">
        <f>VLOOKUP($D380,Vertices!$A$10:$F$203, 4, FALSE)</f>
        <v>0</v>
      </c>
      <c r="P380" s="10">
        <f>VLOOKUP($D380,Vertices!$A$10:$F$203, 5, FALSE)</f>
        <v>40</v>
      </c>
      <c r="Q380" s="11">
        <f>VLOOKUP($D380,Vertices!$A$10:$F$203, 6, FALSE)</f>
        <v>60</v>
      </c>
    </row>
    <row r="381" spans="1:17" x14ac:dyDescent="0.25">
      <c r="A381">
        <v>371</v>
      </c>
      <c r="B381">
        <v>158</v>
      </c>
      <c r="C381">
        <v>178</v>
      </c>
      <c r="D381">
        <v>180</v>
      </c>
      <c r="F381" s="9">
        <f>VLOOKUP($B381,Vertices!$A$10:$F$203, 3, FALSE)</f>
        <v>100</v>
      </c>
      <c r="G381" s="10">
        <f>VLOOKUP($B381,Vertices!$A$10:$F$203, 4, FALSE)</f>
        <v>0</v>
      </c>
      <c r="H381" s="10">
        <f>VLOOKUP($B381,Vertices!$A$10:$F$203, 5, FALSE)</f>
        <v>40</v>
      </c>
      <c r="I381" s="11">
        <f>VLOOKUP($B381,Vertices!$A$10:$F$203, 6, FALSE)</f>
        <v>60</v>
      </c>
      <c r="J381" s="9">
        <f>VLOOKUP($C381,Vertices!$A$10:$F$203, 3, FALSE)</f>
        <v>100</v>
      </c>
      <c r="K381" s="10">
        <f>VLOOKUP($C381,Vertices!$A$10:$F$203, 4, FALSE)</f>
        <v>0</v>
      </c>
      <c r="L381" s="10">
        <f>VLOOKUP($C381,Vertices!$A$10:$F$203, 5, FALSE)</f>
        <v>40</v>
      </c>
      <c r="M381" s="11">
        <f>VLOOKUP($C381,Vertices!$A$10:$F$203, 6, FALSE)</f>
        <v>80</v>
      </c>
      <c r="N381" s="9">
        <f>VLOOKUP($D381,Vertices!$A$10:$F$203, 3, FALSE)</f>
        <v>100</v>
      </c>
      <c r="O381" s="10">
        <f>VLOOKUP($D381,Vertices!$A$10:$F$203, 4, FALSE)</f>
        <v>0</v>
      </c>
      <c r="P381" s="10">
        <f>VLOOKUP($D381,Vertices!$A$10:$F$203, 5, FALSE)</f>
        <v>70</v>
      </c>
      <c r="Q381" s="11">
        <f>VLOOKUP($D381,Vertices!$A$10:$F$203, 6, FALSE)</f>
        <v>80</v>
      </c>
    </row>
    <row r="382" spans="1:17" x14ac:dyDescent="0.25">
      <c r="A382">
        <v>372</v>
      </c>
      <c r="B382">
        <v>158</v>
      </c>
      <c r="C382">
        <v>180</v>
      </c>
      <c r="D382">
        <v>160</v>
      </c>
      <c r="F382" s="9">
        <f>VLOOKUP($B382,Vertices!$A$10:$F$203, 3, FALSE)</f>
        <v>100</v>
      </c>
      <c r="G382" s="10">
        <f>VLOOKUP($B382,Vertices!$A$10:$F$203, 4, FALSE)</f>
        <v>0</v>
      </c>
      <c r="H382" s="10">
        <f>VLOOKUP($B382,Vertices!$A$10:$F$203, 5, FALSE)</f>
        <v>40</v>
      </c>
      <c r="I382" s="11">
        <f>VLOOKUP($B382,Vertices!$A$10:$F$203, 6, FALSE)</f>
        <v>60</v>
      </c>
      <c r="J382" s="9">
        <f>VLOOKUP($C382,Vertices!$A$10:$F$203, 3, FALSE)</f>
        <v>100</v>
      </c>
      <c r="K382" s="10">
        <f>VLOOKUP($C382,Vertices!$A$10:$F$203, 4, FALSE)</f>
        <v>0</v>
      </c>
      <c r="L382" s="10">
        <f>VLOOKUP($C382,Vertices!$A$10:$F$203, 5, FALSE)</f>
        <v>70</v>
      </c>
      <c r="M382" s="11">
        <f>VLOOKUP($C382,Vertices!$A$10:$F$203, 6, FALSE)</f>
        <v>80</v>
      </c>
      <c r="N382" s="9">
        <f>VLOOKUP($D382,Vertices!$A$10:$F$203, 3, FALSE)</f>
        <v>100</v>
      </c>
      <c r="O382" s="10">
        <f>VLOOKUP($D382,Vertices!$A$10:$F$203, 4, FALSE)</f>
        <v>0</v>
      </c>
      <c r="P382" s="10">
        <f>VLOOKUP($D382,Vertices!$A$10:$F$203, 5, FALSE)</f>
        <v>70</v>
      </c>
      <c r="Q382" s="11">
        <f>VLOOKUP($D382,Vertices!$A$10:$F$203, 6, FALSE)</f>
        <v>60</v>
      </c>
    </row>
    <row r="383" spans="1:17" x14ac:dyDescent="0.25">
      <c r="A383">
        <v>373</v>
      </c>
      <c r="B383">
        <v>160</v>
      </c>
      <c r="C383">
        <v>180</v>
      </c>
      <c r="D383">
        <v>187</v>
      </c>
      <c r="F383" s="9">
        <f>VLOOKUP($B383,Vertices!$A$10:$F$203, 3, FALSE)</f>
        <v>100</v>
      </c>
      <c r="G383" s="10">
        <f>VLOOKUP($B383,Vertices!$A$10:$F$203, 4, FALSE)</f>
        <v>0</v>
      </c>
      <c r="H383" s="10">
        <f>VLOOKUP($B383,Vertices!$A$10:$F$203, 5, FALSE)</f>
        <v>70</v>
      </c>
      <c r="I383" s="11">
        <f>VLOOKUP($B383,Vertices!$A$10:$F$203, 6, FALSE)</f>
        <v>60</v>
      </c>
      <c r="J383" s="9">
        <f>VLOOKUP($C383,Vertices!$A$10:$F$203, 3, FALSE)</f>
        <v>100</v>
      </c>
      <c r="K383" s="10">
        <f>VLOOKUP($C383,Vertices!$A$10:$F$203, 4, FALSE)</f>
        <v>0</v>
      </c>
      <c r="L383" s="10">
        <f>VLOOKUP($C383,Vertices!$A$10:$F$203, 5, FALSE)</f>
        <v>70</v>
      </c>
      <c r="M383" s="11">
        <f>VLOOKUP($C383,Vertices!$A$10:$F$203, 6, FALSE)</f>
        <v>80</v>
      </c>
      <c r="N383" s="9">
        <f>VLOOKUP($D383,Vertices!$A$10:$F$203, 3, FALSE)</f>
        <v>100</v>
      </c>
      <c r="O383" s="10">
        <f>VLOOKUP($D383,Vertices!$A$10:$F$203, 4, FALSE)</f>
        <v>0</v>
      </c>
      <c r="P383" s="10">
        <f>VLOOKUP($D383,Vertices!$A$10:$F$203, 5, FALSE)</f>
        <v>100</v>
      </c>
      <c r="Q383" s="11">
        <f>VLOOKUP($D383,Vertices!$A$10:$F$203, 6, FALSE)</f>
        <v>80</v>
      </c>
    </row>
    <row r="384" spans="1:17" x14ac:dyDescent="0.25">
      <c r="A384">
        <v>374</v>
      </c>
      <c r="B384">
        <v>160</v>
      </c>
      <c r="C384">
        <v>187</v>
      </c>
      <c r="D384">
        <v>169</v>
      </c>
      <c r="F384" s="9">
        <f>VLOOKUP($B384,Vertices!$A$10:$F$203, 3, FALSE)</f>
        <v>100</v>
      </c>
      <c r="G384" s="10">
        <f>VLOOKUP($B384,Vertices!$A$10:$F$203, 4, FALSE)</f>
        <v>0</v>
      </c>
      <c r="H384" s="10">
        <f>VLOOKUP($B384,Vertices!$A$10:$F$203, 5, FALSE)</f>
        <v>70</v>
      </c>
      <c r="I384" s="11">
        <f>VLOOKUP($B384,Vertices!$A$10:$F$203, 6, FALSE)</f>
        <v>60</v>
      </c>
      <c r="J384" s="9">
        <f>VLOOKUP($C384,Vertices!$A$10:$F$203, 3, FALSE)</f>
        <v>100</v>
      </c>
      <c r="K384" s="10">
        <f>VLOOKUP($C384,Vertices!$A$10:$F$203, 4, FALSE)</f>
        <v>0</v>
      </c>
      <c r="L384" s="10">
        <f>VLOOKUP($C384,Vertices!$A$10:$F$203, 5, FALSE)</f>
        <v>100</v>
      </c>
      <c r="M384" s="11">
        <f>VLOOKUP($C384,Vertices!$A$10:$F$203, 6, FALSE)</f>
        <v>80</v>
      </c>
      <c r="N384" s="9">
        <f>VLOOKUP($D384,Vertices!$A$10:$F$203, 3, FALSE)</f>
        <v>100</v>
      </c>
      <c r="O384" s="10">
        <f>VLOOKUP($D384,Vertices!$A$10:$F$203, 4, FALSE)</f>
        <v>0</v>
      </c>
      <c r="P384" s="10">
        <f>VLOOKUP($D384,Vertices!$A$10:$F$203, 5, FALSE)</f>
        <v>100</v>
      </c>
      <c r="Q384" s="11">
        <f>VLOOKUP($D384,Vertices!$A$10:$F$203, 6, FALSE)</f>
        <v>60</v>
      </c>
    </row>
    <row r="385" spans="1:17" x14ac:dyDescent="0.25">
      <c r="A385">
        <v>375</v>
      </c>
      <c r="B385">
        <v>173</v>
      </c>
      <c r="C385">
        <v>189</v>
      </c>
      <c r="D385">
        <v>178</v>
      </c>
      <c r="F385" s="9">
        <f>VLOOKUP($B385,Vertices!$A$10:$F$203, 3, FALSE)</f>
        <v>100</v>
      </c>
      <c r="G385" s="10">
        <f>VLOOKUP($B385,Vertices!$A$10:$F$203, 4, FALSE)</f>
        <v>0</v>
      </c>
      <c r="H385" s="10">
        <f>VLOOKUP($B385,Vertices!$A$10:$F$203, 5, FALSE)</f>
        <v>0</v>
      </c>
      <c r="I385" s="11">
        <f>VLOOKUP($B385,Vertices!$A$10:$F$203, 6, FALSE)</f>
        <v>80</v>
      </c>
      <c r="J385" s="9">
        <f>VLOOKUP($C385,Vertices!$A$10:$F$203, 3, FALSE)</f>
        <v>100</v>
      </c>
      <c r="K385" s="10">
        <f>VLOOKUP($C385,Vertices!$A$10:$F$203, 4, FALSE)</f>
        <v>0</v>
      </c>
      <c r="L385" s="10">
        <f>VLOOKUP($C385,Vertices!$A$10:$F$203, 5, FALSE)</f>
        <v>0</v>
      </c>
      <c r="M385" s="11">
        <f>VLOOKUP($C385,Vertices!$A$10:$F$203, 6, FALSE)</f>
        <v>100</v>
      </c>
      <c r="N385" s="9">
        <f>VLOOKUP($D385,Vertices!$A$10:$F$203, 3, FALSE)</f>
        <v>100</v>
      </c>
      <c r="O385" s="10">
        <f>VLOOKUP($D385,Vertices!$A$10:$F$203, 4, FALSE)</f>
        <v>0</v>
      </c>
      <c r="P385" s="10">
        <f>VLOOKUP($D385,Vertices!$A$10:$F$203, 5, FALSE)</f>
        <v>40</v>
      </c>
      <c r="Q385" s="11">
        <f>VLOOKUP($D385,Vertices!$A$10:$F$203, 6, FALSE)</f>
        <v>80</v>
      </c>
    </row>
    <row r="386" spans="1:17" x14ac:dyDescent="0.25">
      <c r="A386">
        <v>376</v>
      </c>
      <c r="B386">
        <v>178</v>
      </c>
      <c r="C386">
        <v>189</v>
      </c>
      <c r="D386">
        <v>193</v>
      </c>
      <c r="F386" s="9">
        <f>VLOOKUP($B386,Vertices!$A$10:$F$203, 3, FALSE)</f>
        <v>100</v>
      </c>
      <c r="G386" s="10">
        <f>VLOOKUP($B386,Vertices!$A$10:$F$203, 4, FALSE)</f>
        <v>0</v>
      </c>
      <c r="H386" s="10">
        <f>VLOOKUP($B386,Vertices!$A$10:$F$203, 5, FALSE)</f>
        <v>40</v>
      </c>
      <c r="I386" s="11">
        <f>VLOOKUP($B386,Vertices!$A$10:$F$203, 6, FALSE)</f>
        <v>80</v>
      </c>
      <c r="J386" s="9">
        <f>VLOOKUP($C386,Vertices!$A$10:$F$203, 3, FALSE)</f>
        <v>100</v>
      </c>
      <c r="K386" s="10">
        <f>VLOOKUP($C386,Vertices!$A$10:$F$203, 4, FALSE)</f>
        <v>0</v>
      </c>
      <c r="L386" s="10">
        <f>VLOOKUP($C386,Vertices!$A$10:$F$203, 5, FALSE)</f>
        <v>0</v>
      </c>
      <c r="M386" s="11">
        <f>VLOOKUP($C386,Vertices!$A$10:$F$203, 6, FALSE)</f>
        <v>100</v>
      </c>
      <c r="N386" s="9">
        <f>VLOOKUP($D386,Vertices!$A$10:$F$203, 3, FALSE)</f>
        <v>100</v>
      </c>
      <c r="O386" s="10">
        <f>VLOOKUP($D386,Vertices!$A$10:$F$203, 4, FALSE)</f>
        <v>0</v>
      </c>
      <c r="P386" s="10">
        <f>VLOOKUP($D386,Vertices!$A$10:$F$203, 5, FALSE)</f>
        <v>100</v>
      </c>
      <c r="Q386" s="11">
        <f>VLOOKUP($D386,Vertices!$A$10:$F$203, 6, FALSE)</f>
        <v>100</v>
      </c>
    </row>
    <row r="387" spans="1:17" x14ac:dyDescent="0.25">
      <c r="A387">
        <v>377</v>
      </c>
      <c r="B387">
        <v>178</v>
      </c>
      <c r="C387">
        <v>193</v>
      </c>
      <c r="D387">
        <v>180</v>
      </c>
      <c r="F387" s="9">
        <f>VLOOKUP($B387,Vertices!$A$10:$F$203, 3, FALSE)</f>
        <v>100</v>
      </c>
      <c r="G387" s="10">
        <f>VLOOKUP($B387,Vertices!$A$10:$F$203, 4, FALSE)</f>
        <v>0</v>
      </c>
      <c r="H387" s="10">
        <f>VLOOKUP($B387,Vertices!$A$10:$F$203, 5, FALSE)</f>
        <v>40</v>
      </c>
      <c r="I387" s="11">
        <f>VLOOKUP($B387,Vertices!$A$10:$F$203, 6, FALSE)</f>
        <v>80</v>
      </c>
      <c r="J387" s="9">
        <f>VLOOKUP($C387,Vertices!$A$10:$F$203, 3, FALSE)</f>
        <v>100</v>
      </c>
      <c r="K387" s="10">
        <f>VLOOKUP($C387,Vertices!$A$10:$F$203, 4, FALSE)</f>
        <v>0</v>
      </c>
      <c r="L387" s="10">
        <f>VLOOKUP($C387,Vertices!$A$10:$F$203, 5, FALSE)</f>
        <v>100</v>
      </c>
      <c r="M387" s="11">
        <f>VLOOKUP($C387,Vertices!$A$10:$F$203, 6, FALSE)</f>
        <v>100</v>
      </c>
      <c r="N387" s="9">
        <f>VLOOKUP($D387,Vertices!$A$10:$F$203, 3, FALSE)</f>
        <v>100</v>
      </c>
      <c r="O387" s="10">
        <f>VLOOKUP($D387,Vertices!$A$10:$F$203, 4, FALSE)</f>
        <v>0</v>
      </c>
      <c r="P387" s="10">
        <f>VLOOKUP($D387,Vertices!$A$10:$F$203, 5, FALSE)</f>
        <v>70</v>
      </c>
      <c r="Q387" s="11">
        <f>VLOOKUP($D387,Vertices!$A$10:$F$203, 6, FALSE)</f>
        <v>80</v>
      </c>
    </row>
    <row r="388" spans="1:17" x14ac:dyDescent="0.25">
      <c r="A388">
        <v>378</v>
      </c>
      <c r="B388">
        <v>180</v>
      </c>
      <c r="C388">
        <v>193</v>
      </c>
      <c r="D388">
        <v>187</v>
      </c>
      <c r="F388" s="9">
        <f>VLOOKUP($B388,Vertices!$A$10:$F$203, 3, FALSE)</f>
        <v>100</v>
      </c>
      <c r="G388" s="10">
        <f>VLOOKUP($B388,Vertices!$A$10:$F$203, 4, FALSE)</f>
        <v>0</v>
      </c>
      <c r="H388" s="10">
        <f>VLOOKUP($B388,Vertices!$A$10:$F$203, 5, FALSE)</f>
        <v>70</v>
      </c>
      <c r="I388" s="11">
        <f>VLOOKUP($B388,Vertices!$A$10:$F$203, 6, FALSE)</f>
        <v>80</v>
      </c>
      <c r="J388" s="9">
        <f>VLOOKUP($C388,Vertices!$A$10:$F$203, 3, FALSE)</f>
        <v>100</v>
      </c>
      <c r="K388" s="10">
        <f>VLOOKUP($C388,Vertices!$A$10:$F$203, 4, FALSE)</f>
        <v>0</v>
      </c>
      <c r="L388" s="10">
        <f>VLOOKUP($C388,Vertices!$A$10:$F$203, 5, FALSE)</f>
        <v>100</v>
      </c>
      <c r="M388" s="11">
        <f>VLOOKUP($C388,Vertices!$A$10:$F$203, 6, FALSE)</f>
        <v>100</v>
      </c>
      <c r="N388" s="9">
        <f>VLOOKUP($D388,Vertices!$A$10:$F$203, 3, FALSE)</f>
        <v>100</v>
      </c>
      <c r="O388" s="10">
        <f>VLOOKUP($D388,Vertices!$A$10:$F$203, 4, FALSE)</f>
        <v>0</v>
      </c>
      <c r="P388" s="10">
        <f>VLOOKUP($D388,Vertices!$A$10:$F$203, 5, FALSE)</f>
        <v>100</v>
      </c>
      <c r="Q388" s="11">
        <f>VLOOKUP($D388,Vertices!$A$10:$F$203, 6, FALSE)</f>
        <v>80</v>
      </c>
    </row>
    <row r="389" spans="1:17" x14ac:dyDescent="0.25">
      <c r="A389">
        <v>379</v>
      </c>
      <c r="B389">
        <v>193</v>
      </c>
      <c r="C389">
        <v>189</v>
      </c>
      <c r="D389">
        <v>190</v>
      </c>
      <c r="F389" s="9">
        <f>VLOOKUP($B389,Vertices!$A$10:$F$203, 3, FALSE)</f>
        <v>100</v>
      </c>
      <c r="G389" s="10">
        <f>VLOOKUP($B389,Vertices!$A$10:$F$203, 4, FALSE)</f>
        <v>0</v>
      </c>
      <c r="H389" s="10">
        <f>VLOOKUP($B389,Vertices!$A$10:$F$203, 5, FALSE)</f>
        <v>100</v>
      </c>
      <c r="I389" s="11">
        <f>VLOOKUP($B389,Vertices!$A$10:$F$203, 6, FALSE)</f>
        <v>100</v>
      </c>
      <c r="J389" s="9">
        <f>VLOOKUP($C389,Vertices!$A$10:$F$203, 3, FALSE)</f>
        <v>100</v>
      </c>
      <c r="K389" s="10">
        <f>VLOOKUP($C389,Vertices!$A$10:$F$203, 4, FALSE)</f>
        <v>0</v>
      </c>
      <c r="L389" s="10">
        <f>VLOOKUP($C389,Vertices!$A$10:$F$203, 5, FALSE)</f>
        <v>0</v>
      </c>
      <c r="M389" s="11">
        <f>VLOOKUP($C389,Vertices!$A$10:$F$203, 6, FALSE)</f>
        <v>100</v>
      </c>
      <c r="N389" s="9">
        <f>VLOOKUP($D389,Vertices!$A$10:$F$203, 3, FALSE)</f>
        <v>100</v>
      </c>
      <c r="O389" s="10">
        <f>VLOOKUP($D389,Vertices!$A$10:$F$203, 4, FALSE)</f>
        <v>100</v>
      </c>
      <c r="P389" s="10">
        <f>VLOOKUP($D389,Vertices!$A$10:$F$203, 5, FALSE)</f>
        <v>0</v>
      </c>
      <c r="Q389" s="11">
        <f>VLOOKUP($D389,Vertices!$A$10:$F$203, 6, FALSE)</f>
        <v>100</v>
      </c>
    </row>
    <row r="390" spans="1:17" x14ac:dyDescent="0.25">
      <c r="A390">
        <v>380</v>
      </c>
      <c r="B390">
        <v>193</v>
      </c>
      <c r="C390">
        <v>188</v>
      </c>
      <c r="D390">
        <v>191</v>
      </c>
      <c r="F390" s="9">
        <f>VLOOKUP($B390,Vertices!$A$10:$F$203, 3, FALSE)</f>
        <v>100</v>
      </c>
      <c r="G390" s="10">
        <f>VLOOKUP($B390,Vertices!$A$10:$F$203, 4, FALSE)</f>
        <v>0</v>
      </c>
      <c r="H390" s="10">
        <f>VLOOKUP($B390,Vertices!$A$10:$F$203, 5, FALSE)</f>
        <v>100</v>
      </c>
      <c r="I390" s="11">
        <f>VLOOKUP($B390,Vertices!$A$10:$F$203, 6, FALSE)</f>
        <v>100</v>
      </c>
      <c r="J390" s="9">
        <f>VLOOKUP($C390,Vertices!$A$10:$F$203, 3, FALSE)</f>
        <v>0</v>
      </c>
      <c r="K390" s="10">
        <f>VLOOKUP($C390,Vertices!$A$10:$F$203, 4, FALSE)</f>
        <v>100</v>
      </c>
      <c r="L390" s="10">
        <f>VLOOKUP($C390,Vertices!$A$10:$F$203, 5, FALSE)</f>
        <v>0</v>
      </c>
      <c r="M390" s="11">
        <f>VLOOKUP($C390,Vertices!$A$10:$F$203, 6, FALSE)</f>
        <v>100</v>
      </c>
      <c r="N390" s="9">
        <f>VLOOKUP($D390,Vertices!$A$10:$F$203, 3, FALSE)</f>
        <v>0</v>
      </c>
      <c r="O390" s="10">
        <f>VLOOKUP($D390,Vertices!$A$10:$F$203, 4, FALSE)</f>
        <v>0</v>
      </c>
      <c r="P390" s="10">
        <f>VLOOKUP($D390,Vertices!$A$10:$F$203, 5, FALSE)</f>
        <v>100</v>
      </c>
      <c r="Q390" s="11">
        <f>VLOOKUP($D390,Vertices!$A$10:$F$203, 6, FALSE)</f>
        <v>100</v>
      </c>
    </row>
    <row r="391" spans="1:17" x14ac:dyDescent="0.25">
      <c r="A391">
        <v>381</v>
      </c>
      <c r="B391">
        <v>193</v>
      </c>
      <c r="C391">
        <v>190</v>
      </c>
      <c r="D391">
        <v>188</v>
      </c>
      <c r="F391" s="9">
        <f>VLOOKUP($B391,Vertices!$A$10:$F$203, 3, FALSE)</f>
        <v>100</v>
      </c>
      <c r="G391" s="10">
        <f>VLOOKUP($B391,Vertices!$A$10:$F$203, 4, FALSE)</f>
        <v>0</v>
      </c>
      <c r="H391" s="10">
        <f>VLOOKUP($B391,Vertices!$A$10:$F$203, 5, FALSE)</f>
        <v>100</v>
      </c>
      <c r="I391" s="11">
        <f>VLOOKUP($B391,Vertices!$A$10:$F$203, 6, FALSE)</f>
        <v>100</v>
      </c>
      <c r="J391" s="9">
        <f>VLOOKUP($C391,Vertices!$A$10:$F$203, 3, FALSE)</f>
        <v>100</v>
      </c>
      <c r="K391" s="10">
        <f>VLOOKUP($C391,Vertices!$A$10:$F$203, 4, FALSE)</f>
        <v>100</v>
      </c>
      <c r="L391" s="10">
        <f>VLOOKUP($C391,Vertices!$A$10:$F$203, 5, FALSE)</f>
        <v>0</v>
      </c>
      <c r="M391" s="11">
        <f>VLOOKUP($C391,Vertices!$A$10:$F$203, 6, FALSE)</f>
        <v>100</v>
      </c>
      <c r="N391" s="9">
        <f>VLOOKUP($D391,Vertices!$A$10:$F$203, 3, FALSE)</f>
        <v>0</v>
      </c>
      <c r="O391" s="10">
        <f>VLOOKUP($D391,Vertices!$A$10:$F$203, 4, FALSE)</f>
        <v>100</v>
      </c>
      <c r="P391" s="10">
        <f>VLOOKUP($D391,Vertices!$A$10:$F$203, 5, FALSE)</f>
        <v>0</v>
      </c>
      <c r="Q391" s="11">
        <f>VLOOKUP($D391,Vertices!$A$10:$F$203, 6, FALSE)</f>
        <v>100</v>
      </c>
    </row>
    <row r="392" spans="1:17" ht="15.75" thickBot="1" x14ac:dyDescent="0.3">
      <c r="A392">
        <v>382</v>
      </c>
      <c r="B392">
        <v>191</v>
      </c>
      <c r="C392">
        <v>188</v>
      </c>
      <c r="D392">
        <v>192</v>
      </c>
      <c r="F392" s="12">
        <f>VLOOKUP($B392,Vertices!$A$10:$F$203, 3, FALSE)</f>
        <v>0</v>
      </c>
      <c r="G392" s="13">
        <f>VLOOKUP($B392,Vertices!$A$10:$F$203, 4, FALSE)</f>
        <v>0</v>
      </c>
      <c r="H392" s="13">
        <f>VLOOKUP($B392,Vertices!$A$10:$F$203, 5, FALSE)</f>
        <v>100</v>
      </c>
      <c r="I392" s="14">
        <f>VLOOKUP($B392,Vertices!$A$10:$F$203, 6, FALSE)</f>
        <v>100</v>
      </c>
      <c r="J392" s="12">
        <f>VLOOKUP($C392,Vertices!$A$10:$F$203, 3, FALSE)</f>
        <v>0</v>
      </c>
      <c r="K392" s="13">
        <f>VLOOKUP($C392,Vertices!$A$10:$F$203, 4, FALSE)</f>
        <v>100</v>
      </c>
      <c r="L392" s="13">
        <f>VLOOKUP($C392,Vertices!$A$10:$F$203, 5, FALSE)</f>
        <v>0</v>
      </c>
      <c r="M392" s="14">
        <f>VLOOKUP($C392,Vertices!$A$10:$F$203, 6, FALSE)</f>
        <v>100</v>
      </c>
      <c r="N392" s="12">
        <f>VLOOKUP($D392,Vertices!$A$10:$F$203, 3, FALSE)</f>
        <v>0</v>
      </c>
      <c r="O392" s="13">
        <f>VLOOKUP($D392,Vertices!$A$10:$F$203, 4, FALSE)</f>
        <v>100</v>
      </c>
      <c r="P392" s="13">
        <f>VLOOKUP($D392,Vertices!$A$10:$F$203, 5, FALSE)</f>
        <v>100</v>
      </c>
      <c r="Q392" s="14">
        <f>VLOOKUP($D392,Vertices!$A$10:$F$203, 6, FALSE)</f>
        <v>100</v>
      </c>
    </row>
  </sheetData>
  <mergeCells count="3">
    <mergeCell ref="F9:I9"/>
    <mergeCell ref="J9:M9"/>
    <mergeCell ref="N9:Q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92"/>
  <sheetViews>
    <sheetView workbookViewId="0">
      <selection activeCell="A2" sqref="A2"/>
    </sheetView>
  </sheetViews>
  <sheetFormatPr defaultRowHeight="15" x14ac:dyDescent="0.25"/>
  <cols>
    <col min="3" max="3" width="9.85546875" bestFit="1" customWidth="1"/>
  </cols>
  <sheetData>
    <row r="1" spans="1:15" ht="21" x14ac:dyDescent="0.35">
      <c r="A1" s="1" t="s">
        <v>33</v>
      </c>
    </row>
    <row r="3" spans="1:15" ht="18" customHeight="1" x14ac:dyDescent="0.3">
      <c r="A3" s="35"/>
      <c r="B3" s="36" t="s">
        <v>22</v>
      </c>
      <c r="C3" s="37" t="str">
        <f>IF(ISTEXT(INDEX(INPUTdata!$B1:$B40, MATCH("DESCRIPTOR",INPUTdata!$A1:$A40,FALSE))),INDEX(INPUTdata!$B1:$B40,MATCH("DESCRIPTOR",INPUTdata!$A1:$A40,FALSE)), IF(ISTEXT(INDEX(INPUTdata!$B1:$B40,MATCH("FILE_DESCRIPTOR",INPUTdata!$A1:$A40,FALSE))),INDEX(INPUTdata!$B1:$B40,MATCH("FILE_DESCRIPTOR",INPUTdata!$A1:$A40,FALSE)),""))</f>
        <v>ISO15339-2-CRPC6</v>
      </c>
    </row>
    <row r="4" spans="1:15" ht="18" customHeight="1" x14ac:dyDescent="0.3">
      <c r="A4" s="35"/>
      <c r="B4" s="36" t="s">
        <v>23</v>
      </c>
      <c r="C4" s="38">
        <f>N8</f>
        <v>389561.53522466682</v>
      </c>
    </row>
    <row r="6" spans="1:15" x14ac:dyDescent="0.25">
      <c r="C6" s="15" t="s">
        <v>19</v>
      </c>
      <c r="D6" s="15" t="s">
        <v>20</v>
      </c>
      <c r="E6" s="15" t="s">
        <v>21</v>
      </c>
      <c r="M6" s="15" t="s">
        <v>24</v>
      </c>
      <c r="N6">
        <f>COUNTIF(N11:N1522,"&lt;-0.001")</f>
        <v>0</v>
      </c>
    </row>
    <row r="7" spans="1:15" x14ac:dyDescent="0.25">
      <c r="B7" s="4" t="s">
        <v>25</v>
      </c>
      <c r="C7" s="16">
        <f>AVERAGE(Vertices!G11,Vertices!G200)</f>
        <v>51.454999999999998</v>
      </c>
      <c r="D7" s="16">
        <v>0</v>
      </c>
      <c r="E7" s="16">
        <v>0</v>
      </c>
    </row>
    <row r="8" spans="1:15" x14ac:dyDescent="0.25">
      <c r="N8" s="17">
        <f>SUM(N11:N392)</f>
        <v>389561.53522466682</v>
      </c>
      <c r="O8" s="17">
        <f>SUM(O11:O392)</f>
        <v>389561.53522466682</v>
      </c>
    </row>
    <row r="9" spans="1:15" x14ac:dyDescent="0.25">
      <c r="A9" s="5"/>
      <c r="B9" s="44" t="s">
        <v>26</v>
      </c>
      <c r="C9" s="45"/>
      <c r="D9" s="45"/>
      <c r="E9" s="46"/>
      <c r="F9" s="44" t="s">
        <v>27</v>
      </c>
      <c r="G9" s="45"/>
      <c r="H9" s="45"/>
      <c r="I9" s="46"/>
      <c r="J9" s="44" t="s">
        <v>28</v>
      </c>
      <c r="K9" s="45"/>
      <c r="L9" s="45"/>
      <c r="M9" s="46"/>
      <c r="N9" s="5" t="s">
        <v>34</v>
      </c>
      <c r="O9" s="5" t="s">
        <v>38</v>
      </c>
    </row>
    <row r="10" spans="1:15" x14ac:dyDescent="0.25">
      <c r="A10" s="4" t="s">
        <v>15</v>
      </c>
      <c r="B10" s="18" t="s">
        <v>9</v>
      </c>
      <c r="C10" s="7" t="s">
        <v>29</v>
      </c>
      <c r="D10" s="7" t="s">
        <v>30</v>
      </c>
      <c r="E10" s="19" t="s">
        <v>31</v>
      </c>
      <c r="F10" s="18" t="s">
        <v>9</v>
      </c>
      <c r="G10" s="7" t="s">
        <v>29</v>
      </c>
      <c r="H10" s="7" t="s">
        <v>30</v>
      </c>
      <c r="I10" s="19" t="s">
        <v>31</v>
      </c>
      <c r="J10" s="18" t="s">
        <v>9</v>
      </c>
      <c r="K10" s="7" t="s">
        <v>29</v>
      </c>
      <c r="L10" s="7" t="s">
        <v>30</v>
      </c>
      <c r="M10" s="19" t="s">
        <v>31</v>
      </c>
      <c r="N10" s="20" t="s">
        <v>32</v>
      </c>
      <c r="O10" s="20" t="s">
        <v>39</v>
      </c>
    </row>
    <row r="11" spans="1:15" x14ac:dyDescent="0.25">
      <c r="A11">
        <f>Faces!A11</f>
        <v>1</v>
      </c>
      <c r="B11" s="21">
        <f>Faces!B11</f>
        <v>1</v>
      </c>
      <c r="C11" s="22">
        <f>VLOOKUP(B11,Vertices!$A$11:$J$203,7,FALSE )-$C$7</f>
        <v>43.545000000000002</v>
      </c>
      <c r="D11" s="22">
        <f>VLOOKUP(B11,Vertices!$A$11:$J$203,8,FALSE )-$D$7</f>
        <v>1</v>
      </c>
      <c r="E11" s="23">
        <f>VLOOKUP(B11,Vertices!$A$11:$J$203,9,FALSE )-$E$7</f>
        <v>-4</v>
      </c>
      <c r="F11" s="21">
        <f>Faces!C11</f>
        <v>8</v>
      </c>
      <c r="G11" s="22">
        <f>VLOOKUP(F11,Vertices!$A$11:$J$203,7,FALSE )-$C$7</f>
        <v>34.704999999999998</v>
      </c>
      <c r="H11" s="22">
        <f>VLOOKUP(F11,Vertices!$A$11:$J$203,8,FALSE )-$D$7</f>
        <v>4.1500000000000004</v>
      </c>
      <c r="I11" s="23">
        <f>VLOOKUP(F11,Vertices!$A$11:$J$203,9,FALSE )-$E$7</f>
        <v>-9.6999999999999993</v>
      </c>
      <c r="J11" s="21">
        <f>Faces!D11</f>
        <v>7</v>
      </c>
      <c r="K11" s="22">
        <f>VLOOKUP(J11,Vertices!$A$11:$J$203,7,FALSE )-$C$7</f>
        <v>39.534999999999997</v>
      </c>
      <c r="L11" s="22">
        <f>VLOOKUP(J11,Vertices!$A$11:$J$203,8,FALSE )-$D$7</f>
        <v>-2.33</v>
      </c>
      <c r="M11" s="23">
        <f>VLOOKUP(J11,Vertices!$A$11:$J$203,9,FALSE )-$E$7</f>
        <v>-8.84</v>
      </c>
      <c r="N11" s="16">
        <f>-1*(C11*H11*M11+D11*I11*K11+E11*G11*L11-C11*I11*L11-D11*G11*M11-E11*H11*K11)/6</f>
        <v>279.76968583333343</v>
      </c>
      <c r="O11" s="16">
        <f>ABS(N11)</f>
        <v>279.76968583333343</v>
      </c>
    </row>
    <row r="12" spans="1:15" x14ac:dyDescent="0.25">
      <c r="A12">
        <f>Faces!A12</f>
        <v>2</v>
      </c>
      <c r="B12" s="21">
        <f>Faces!B12</f>
        <v>1</v>
      </c>
      <c r="C12" s="22">
        <f>VLOOKUP(B12,Vertices!$A$11:$J$203,7,FALSE )-$C$7</f>
        <v>43.545000000000002</v>
      </c>
      <c r="D12" s="22">
        <f>VLOOKUP(B12,Vertices!$A$11:$J$203,8,FALSE )-$D$7</f>
        <v>1</v>
      </c>
      <c r="E12" s="23">
        <f>VLOOKUP(B12,Vertices!$A$11:$J$203,9,FALSE )-$E$7</f>
        <v>-4</v>
      </c>
      <c r="F12" s="21">
        <f>Faces!C12</f>
        <v>2</v>
      </c>
      <c r="G12" s="22">
        <f>VLOOKUP(F12,Vertices!$A$11:$J$203,7,FALSE )-$C$7</f>
        <v>38.435000000000002</v>
      </c>
      <c r="H12" s="22">
        <f>VLOOKUP(F12,Vertices!$A$11:$J$203,8,FALSE )-$D$7</f>
        <v>7.72</v>
      </c>
      <c r="I12" s="23">
        <f>VLOOKUP(F12,Vertices!$A$11:$J$203,9,FALSE )-$E$7</f>
        <v>-5.04</v>
      </c>
      <c r="J12" s="21">
        <f>Faces!D12</f>
        <v>8</v>
      </c>
      <c r="K12" s="22">
        <f>VLOOKUP(J12,Vertices!$A$11:$J$203,7,FALSE )-$C$7</f>
        <v>34.704999999999998</v>
      </c>
      <c r="L12" s="22">
        <f>VLOOKUP(J12,Vertices!$A$11:$J$203,8,FALSE )-$D$7</f>
        <v>4.1500000000000004</v>
      </c>
      <c r="M12" s="23">
        <f>VLOOKUP(J12,Vertices!$A$11:$J$203,9,FALSE )-$E$7</f>
        <v>-9.6999999999999993</v>
      </c>
      <c r="N12" s="16">
        <f t="shared" ref="N12:N75" si="0">-1*(C12*H12*M12+D12*I12*K12+E12*G12*L12-C12*I12*L12-D12*G12*M12-E12*H12*K12)/6</f>
        <v>286.41014333333328</v>
      </c>
      <c r="O12" s="16">
        <f t="shared" ref="O12:O75" si="1">ABS(N12)</f>
        <v>286.41014333333328</v>
      </c>
    </row>
    <row r="13" spans="1:15" x14ac:dyDescent="0.25">
      <c r="A13">
        <f>Faces!A13</f>
        <v>3</v>
      </c>
      <c r="B13" s="21">
        <f>Faces!B13</f>
        <v>7</v>
      </c>
      <c r="C13" s="22">
        <f>VLOOKUP(B13,Vertices!$A$11:$J$203,7,FALSE )-$C$7</f>
        <v>39.534999999999997</v>
      </c>
      <c r="D13" s="22">
        <f>VLOOKUP(B13,Vertices!$A$11:$J$203,8,FALSE )-$D$7</f>
        <v>-2.33</v>
      </c>
      <c r="E13" s="23">
        <f>VLOOKUP(B13,Vertices!$A$11:$J$203,9,FALSE )-$E$7</f>
        <v>-8.84</v>
      </c>
      <c r="F13" s="21">
        <f>Faces!C13</f>
        <v>14</v>
      </c>
      <c r="G13" s="22">
        <f>VLOOKUP(F13,Vertices!$A$11:$J$203,7,FALSE )-$C$7</f>
        <v>30.995000000000005</v>
      </c>
      <c r="H13" s="22">
        <f>VLOOKUP(F13,Vertices!$A$11:$J$203,8,FALSE )-$D$7</f>
        <v>0.61</v>
      </c>
      <c r="I13" s="23">
        <f>VLOOKUP(F13,Vertices!$A$11:$J$203,9,FALSE )-$E$7</f>
        <v>-14.26</v>
      </c>
      <c r="J13" s="21">
        <f>Faces!D13</f>
        <v>13</v>
      </c>
      <c r="K13" s="22">
        <f>VLOOKUP(J13,Vertices!$A$11:$J$203,7,FALSE )-$C$7</f>
        <v>35.635000000000005</v>
      </c>
      <c r="L13" s="22">
        <f>VLOOKUP(J13,Vertices!$A$11:$J$203,8,FALSE )-$D$7</f>
        <v>-5.66</v>
      </c>
      <c r="M13" s="23">
        <f>VLOOKUP(J13,Vertices!$A$11:$J$203,9,FALSE )-$E$7</f>
        <v>-13.59</v>
      </c>
      <c r="N13" s="16">
        <f t="shared" si="0"/>
        <v>262.19098233333335</v>
      </c>
      <c r="O13" s="16">
        <f t="shared" si="1"/>
        <v>262.19098233333335</v>
      </c>
    </row>
    <row r="14" spans="1:15" x14ac:dyDescent="0.25">
      <c r="A14">
        <f>Faces!A14</f>
        <v>4</v>
      </c>
      <c r="B14" s="21">
        <f>Faces!B14</f>
        <v>7</v>
      </c>
      <c r="C14" s="22">
        <f>VLOOKUP(B14,Vertices!$A$11:$J$203,7,FALSE )-$C$7</f>
        <v>39.534999999999997</v>
      </c>
      <c r="D14" s="22">
        <f>VLOOKUP(B14,Vertices!$A$11:$J$203,8,FALSE )-$D$7</f>
        <v>-2.33</v>
      </c>
      <c r="E14" s="23">
        <f>VLOOKUP(B14,Vertices!$A$11:$J$203,9,FALSE )-$E$7</f>
        <v>-8.84</v>
      </c>
      <c r="F14" s="21">
        <f>Faces!C14</f>
        <v>8</v>
      </c>
      <c r="G14" s="22">
        <f>VLOOKUP(F14,Vertices!$A$11:$J$203,7,FALSE )-$C$7</f>
        <v>34.704999999999998</v>
      </c>
      <c r="H14" s="22">
        <f>VLOOKUP(F14,Vertices!$A$11:$J$203,8,FALSE )-$D$7</f>
        <v>4.1500000000000004</v>
      </c>
      <c r="I14" s="23">
        <f>VLOOKUP(F14,Vertices!$A$11:$J$203,9,FALSE )-$E$7</f>
        <v>-9.6999999999999993</v>
      </c>
      <c r="J14" s="21">
        <f>Faces!D14</f>
        <v>14</v>
      </c>
      <c r="K14" s="22">
        <f>VLOOKUP(J14,Vertices!$A$11:$J$203,7,FALSE )-$C$7</f>
        <v>30.995000000000005</v>
      </c>
      <c r="L14" s="22">
        <f>VLOOKUP(J14,Vertices!$A$11:$J$203,8,FALSE )-$D$7</f>
        <v>0.61</v>
      </c>
      <c r="M14" s="23">
        <f>VLOOKUP(J14,Vertices!$A$11:$J$203,9,FALSE )-$E$7</f>
        <v>-14.26</v>
      </c>
      <c r="N14" s="16">
        <f t="shared" si="0"/>
        <v>268.05953933333325</v>
      </c>
      <c r="O14" s="16">
        <f t="shared" si="1"/>
        <v>268.05953933333325</v>
      </c>
    </row>
    <row r="15" spans="1:15" x14ac:dyDescent="0.25">
      <c r="A15">
        <f>Faces!A15</f>
        <v>5</v>
      </c>
      <c r="B15" s="21">
        <f>Faces!B15</f>
        <v>8</v>
      </c>
      <c r="C15" s="22">
        <f>VLOOKUP(B15,Vertices!$A$11:$J$203,7,FALSE )-$C$7</f>
        <v>34.704999999999998</v>
      </c>
      <c r="D15" s="22">
        <f>VLOOKUP(B15,Vertices!$A$11:$J$203,8,FALSE )-$D$7</f>
        <v>4.1500000000000004</v>
      </c>
      <c r="E15" s="23">
        <f>VLOOKUP(B15,Vertices!$A$11:$J$203,9,FALSE )-$E$7</f>
        <v>-9.6999999999999993</v>
      </c>
      <c r="F15" s="21">
        <f>Faces!C15</f>
        <v>15</v>
      </c>
      <c r="G15" s="22">
        <f>VLOOKUP(F15,Vertices!$A$11:$J$203,7,FALSE )-$C$7</f>
        <v>26.575000000000003</v>
      </c>
      <c r="H15" s="22">
        <f>VLOOKUP(F15,Vertices!$A$11:$J$203,8,FALSE )-$D$7</f>
        <v>6.71</v>
      </c>
      <c r="I15" s="23">
        <f>VLOOKUP(F15,Vertices!$A$11:$J$203,9,FALSE )-$E$7</f>
        <v>-14.88</v>
      </c>
      <c r="J15" s="21">
        <f>Faces!D15</f>
        <v>14</v>
      </c>
      <c r="K15" s="22">
        <f>VLOOKUP(J15,Vertices!$A$11:$J$203,7,FALSE )-$C$7</f>
        <v>30.995000000000005</v>
      </c>
      <c r="L15" s="22">
        <f>VLOOKUP(J15,Vertices!$A$11:$J$203,8,FALSE )-$D$7</f>
        <v>0.61</v>
      </c>
      <c r="M15" s="23">
        <f>VLOOKUP(J15,Vertices!$A$11:$J$203,9,FALSE )-$E$7</f>
        <v>-14.26</v>
      </c>
      <c r="N15" s="16">
        <f t="shared" si="0"/>
        <v>247.81962066666665</v>
      </c>
      <c r="O15" s="16">
        <f t="shared" si="1"/>
        <v>247.81962066666665</v>
      </c>
    </row>
    <row r="16" spans="1:15" x14ac:dyDescent="0.25">
      <c r="A16">
        <f>Faces!A16</f>
        <v>6</v>
      </c>
      <c r="B16" s="21">
        <f>Faces!B16</f>
        <v>8</v>
      </c>
      <c r="C16" s="22">
        <f>VLOOKUP(B16,Vertices!$A$11:$J$203,7,FALSE )-$C$7</f>
        <v>34.704999999999998</v>
      </c>
      <c r="D16" s="22">
        <f>VLOOKUP(B16,Vertices!$A$11:$J$203,8,FALSE )-$D$7</f>
        <v>4.1500000000000004</v>
      </c>
      <c r="E16" s="23">
        <f>VLOOKUP(B16,Vertices!$A$11:$J$203,9,FALSE )-$E$7</f>
        <v>-9.6999999999999993</v>
      </c>
      <c r="F16" s="21">
        <f>Faces!C16</f>
        <v>9</v>
      </c>
      <c r="G16" s="22">
        <f>VLOOKUP(F16,Vertices!$A$11:$J$203,7,FALSE )-$C$7</f>
        <v>30.055000000000007</v>
      </c>
      <c r="H16" s="22">
        <f>VLOOKUP(F16,Vertices!$A$11:$J$203,8,FALSE )-$D$7</f>
        <v>10.45</v>
      </c>
      <c r="I16" s="23">
        <f>VLOOKUP(F16,Vertices!$A$11:$J$203,9,FALSE )-$E$7</f>
        <v>-10.46</v>
      </c>
      <c r="J16" s="21">
        <f>Faces!D16</f>
        <v>15</v>
      </c>
      <c r="K16" s="22">
        <f>VLOOKUP(J16,Vertices!$A$11:$J$203,7,FALSE )-$C$7</f>
        <v>26.575000000000003</v>
      </c>
      <c r="L16" s="22">
        <f>VLOOKUP(J16,Vertices!$A$11:$J$203,8,FALSE )-$D$7</f>
        <v>6.71</v>
      </c>
      <c r="M16" s="23">
        <f>VLOOKUP(J16,Vertices!$A$11:$J$203,9,FALSE )-$E$7</f>
        <v>-14.88</v>
      </c>
      <c r="N16" s="16">
        <f t="shared" si="0"/>
        <v>253.45257533333316</v>
      </c>
      <c r="O16" s="16">
        <f t="shared" si="1"/>
        <v>253.45257533333316</v>
      </c>
    </row>
    <row r="17" spans="1:15" x14ac:dyDescent="0.25">
      <c r="A17">
        <f>Faces!A17</f>
        <v>7</v>
      </c>
      <c r="B17" s="21">
        <f>Faces!B17</f>
        <v>2</v>
      </c>
      <c r="C17" s="22">
        <f>VLOOKUP(B17,Vertices!$A$11:$J$203,7,FALSE )-$C$7</f>
        <v>38.435000000000002</v>
      </c>
      <c r="D17" s="22">
        <f>VLOOKUP(B17,Vertices!$A$11:$J$203,8,FALSE )-$D$7</f>
        <v>7.72</v>
      </c>
      <c r="E17" s="23">
        <f>VLOOKUP(B17,Vertices!$A$11:$J$203,9,FALSE )-$E$7</f>
        <v>-5.04</v>
      </c>
      <c r="F17" s="21">
        <f>Faces!C17</f>
        <v>9</v>
      </c>
      <c r="G17" s="22">
        <f>VLOOKUP(F17,Vertices!$A$11:$J$203,7,FALSE )-$C$7</f>
        <v>30.055000000000007</v>
      </c>
      <c r="H17" s="22">
        <f>VLOOKUP(F17,Vertices!$A$11:$J$203,8,FALSE )-$D$7</f>
        <v>10.45</v>
      </c>
      <c r="I17" s="23">
        <f>VLOOKUP(F17,Vertices!$A$11:$J$203,9,FALSE )-$E$7</f>
        <v>-10.46</v>
      </c>
      <c r="J17" s="21">
        <f>Faces!D17</f>
        <v>8</v>
      </c>
      <c r="K17" s="22">
        <f>VLOOKUP(J17,Vertices!$A$11:$J$203,7,FALSE )-$C$7</f>
        <v>34.704999999999998</v>
      </c>
      <c r="L17" s="22">
        <f>VLOOKUP(J17,Vertices!$A$11:$J$203,8,FALSE )-$D$7</f>
        <v>4.1500000000000004</v>
      </c>
      <c r="M17" s="23">
        <f>VLOOKUP(J17,Vertices!$A$11:$J$203,9,FALSE )-$E$7</f>
        <v>-9.6999999999999993</v>
      </c>
      <c r="N17" s="16">
        <f t="shared" si="0"/>
        <v>263.35967933333319</v>
      </c>
      <c r="O17" s="16">
        <f t="shared" si="1"/>
        <v>263.35967933333319</v>
      </c>
    </row>
    <row r="18" spans="1:15" x14ac:dyDescent="0.25">
      <c r="A18">
        <f>Faces!A18</f>
        <v>8</v>
      </c>
      <c r="B18" s="21">
        <f>Faces!B18</f>
        <v>2</v>
      </c>
      <c r="C18" s="22">
        <f>VLOOKUP(B18,Vertices!$A$11:$J$203,7,FALSE )-$C$7</f>
        <v>38.435000000000002</v>
      </c>
      <c r="D18" s="22">
        <f>VLOOKUP(B18,Vertices!$A$11:$J$203,8,FALSE )-$D$7</f>
        <v>7.72</v>
      </c>
      <c r="E18" s="23">
        <f>VLOOKUP(B18,Vertices!$A$11:$J$203,9,FALSE )-$E$7</f>
        <v>-5.04</v>
      </c>
      <c r="F18" s="21">
        <f>Faces!C18</f>
        <v>3</v>
      </c>
      <c r="G18" s="22">
        <f>VLOOKUP(F18,Vertices!$A$11:$J$203,7,FALSE )-$C$7</f>
        <v>33.594999999999999</v>
      </c>
      <c r="H18" s="22">
        <f>VLOOKUP(F18,Vertices!$A$11:$J$203,8,FALSE )-$D$7</f>
        <v>14.22</v>
      </c>
      <c r="I18" s="23">
        <f>VLOOKUP(F18,Vertices!$A$11:$J$203,9,FALSE )-$E$7</f>
        <v>-5.96</v>
      </c>
      <c r="J18" s="21">
        <f>Faces!D18</f>
        <v>9</v>
      </c>
      <c r="K18" s="22">
        <f>VLOOKUP(J18,Vertices!$A$11:$J$203,7,FALSE )-$C$7</f>
        <v>30.055000000000007</v>
      </c>
      <c r="L18" s="22">
        <f>VLOOKUP(J18,Vertices!$A$11:$J$203,8,FALSE )-$D$7</f>
        <v>10.45</v>
      </c>
      <c r="M18" s="23">
        <f>VLOOKUP(J18,Vertices!$A$11:$J$203,9,FALSE )-$E$7</f>
        <v>-10.46</v>
      </c>
      <c r="N18" s="16">
        <f t="shared" si="0"/>
        <v>268.07751333333334</v>
      </c>
      <c r="O18" s="16">
        <f t="shared" si="1"/>
        <v>268.07751333333334</v>
      </c>
    </row>
    <row r="19" spans="1:15" x14ac:dyDescent="0.25">
      <c r="A19">
        <f>Faces!A19</f>
        <v>9</v>
      </c>
      <c r="B19" s="21">
        <f>Faces!B19</f>
        <v>13</v>
      </c>
      <c r="C19" s="22">
        <f>VLOOKUP(B19,Vertices!$A$11:$J$203,7,FALSE )-$C$7</f>
        <v>35.635000000000005</v>
      </c>
      <c r="D19" s="22">
        <f>VLOOKUP(B19,Vertices!$A$11:$J$203,8,FALSE )-$D$7</f>
        <v>-5.66</v>
      </c>
      <c r="E19" s="23">
        <f>VLOOKUP(B19,Vertices!$A$11:$J$203,9,FALSE )-$E$7</f>
        <v>-13.59</v>
      </c>
      <c r="F19" s="21">
        <f>Faces!C19</f>
        <v>20</v>
      </c>
      <c r="G19" s="22">
        <f>VLOOKUP(F19,Vertices!$A$11:$J$203,7,FALSE )-$C$7</f>
        <v>23.475000000000009</v>
      </c>
      <c r="H19" s="22">
        <f>VLOOKUP(F19,Vertices!$A$11:$J$203,8,FALSE )-$D$7</f>
        <v>-6.85</v>
      </c>
      <c r="I19" s="23">
        <f>VLOOKUP(F19,Vertices!$A$11:$J$203,9,FALSE )-$E$7</f>
        <v>-23.48</v>
      </c>
      <c r="J19" s="21">
        <f>Faces!D19</f>
        <v>19</v>
      </c>
      <c r="K19" s="22">
        <f>VLOOKUP(J19,Vertices!$A$11:$J$203,7,FALSE )-$C$7</f>
        <v>27.695000000000007</v>
      </c>
      <c r="L19" s="22">
        <f>VLOOKUP(J19,Vertices!$A$11:$J$203,8,FALSE )-$D$7</f>
        <v>-12.76</v>
      </c>
      <c r="M19" s="23">
        <f>VLOOKUP(J19,Vertices!$A$11:$J$203,9,FALSE )-$E$7</f>
        <v>-23.17</v>
      </c>
      <c r="N19" s="16">
        <f t="shared" si="0"/>
        <v>487.66983533333308</v>
      </c>
      <c r="O19" s="16">
        <f t="shared" si="1"/>
        <v>487.66983533333308</v>
      </c>
    </row>
    <row r="20" spans="1:15" x14ac:dyDescent="0.25">
      <c r="A20">
        <f>Faces!A20</f>
        <v>10</v>
      </c>
      <c r="B20" s="21">
        <f>Faces!B20</f>
        <v>13</v>
      </c>
      <c r="C20" s="22">
        <f>VLOOKUP(B20,Vertices!$A$11:$J$203,7,FALSE )-$C$7</f>
        <v>35.635000000000005</v>
      </c>
      <c r="D20" s="22">
        <f>VLOOKUP(B20,Vertices!$A$11:$J$203,8,FALSE )-$D$7</f>
        <v>-5.66</v>
      </c>
      <c r="E20" s="23">
        <f>VLOOKUP(B20,Vertices!$A$11:$J$203,9,FALSE )-$E$7</f>
        <v>-13.59</v>
      </c>
      <c r="F20" s="21">
        <f>Faces!C20</f>
        <v>14</v>
      </c>
      <c r="G20" s="22">
        <f>VLOOKUP(F20,Vertices!$A$11:$J$203,7,FALSE )-$C$7</f>
        <v>30.995000000000005</v>
      </c>
      <c r="H20" s="22">
        <f>VLOOKUP(F20,Vertices!$A$11:$J$203,8,FALSE )-$D$7</f>
        <v>0.61</v>
      </c>
      <c r="I20" s="23">
        <f>VLOOKUP(F20,Vertices!$A$11:$J$203,9,FALSE )-$E$7</f>
        <v>-14.26</v>
      </c>
      <c r="J20" s="21">
        <f>Faces!D20</f>
        <v>20</v>
      </c>
      <c r="K20" s="22">
        <f>VLOOKUP(J20,Vertices!$A$11:$J$203,7,FALSE )-$C$7</f>
        <v>23.475000000000009</v>
      </c>
      <c r="L20" s="22">
        <f>VLOOKUP(J20,Vertices!$A$11:$J$203,8,FALSE )-$D$7</f>
        <v>-6.85</v>
      </c>
      <c r="M20" s="23">
        <f>VLOOKUP(J20,Vertices!$A$11:$J$203,9,FALSE )-$E$7</f>
        <v>-23.48</v>
      </c>
      <c r="N20" s="16">
        <f t="shared" si="0"/>
        <v>522.61841233333337</v>
      </c>
      <c r="O20" s="16">
        <f t="shared" si="1"/>
        <v>522.61841233333337</v>
      </c>
    </row>
    <row r="21" spans="1:15" x14ac:dyDescent="0.25">
      <c r="A21">
        <f>Faces!A21</f>
        <v>11</v>
      </c>
      <c r="B21" s="21">
        <f>Faces!B21</f>
        <v>14</v>
      </c>
      <c r="C21" s="22">
        <f>VLOOKUP(B21,Vertices!$A$11:$J$203,7,FALSE )-$C$7</f>
        <v>30.995000000000005</v>
      </c>
      <c r="D21" s="22">
        <f>VLOOKUP(B21,Vertices!$A$11:$J$203,8,FALSE )-$D$7</f>
        <v>0.61</v>
      </c>
      <c r="E21" s="23">
        <f>VLOOKUP(B21,Vertices!$A$11:$J$203,9,FALSE )-$E$7</f>
        <v>-14.26</v>
      </c>
      <c r="F21" s="21">
        <f>Faces!C21</f>
        <v>21</v>
      </c>
      <c r="G21" s="22">
        <f>VLOOKUP(F21,Vertices!$A$11:$J$203,7,FALSE )-$C$7</f>
        <v>19.454999999999998</v>
      </c>
      <c r="H21" s="22">
        <f>VLOOKUP(F21,Vertices!$A$11:$J$203,8,FALSE )-$D$7</f>
        <v>-1.1399999999999999</v>
      </c>
      <c r="I21" s="23">
        <f>VLOOKUP(F21,Vertices!$A$11:$J$203,9,FALSE )-$E$7</f>
        <v>-23.78</v>
      </c>
      <c r="J21" s="21">
        <f>Faces!D21</f>
        <v>20</v>
      </c>
      <c r="K21" s="22">
        <f>VLOOKUP(J21,Vertices!$A$11:$J$203,7,FALSE )-$C$7</f>
        <v>23.475000000000009</v>
      </c>
      <c r="L21" s="22">
        <f>VLOOKUP(J21,Vertices!$A$11:$J$203,8,FALSE )-$D$7</f>
        <v>-6.85</v>
      </c>
      <c r="M21" s="23">
        <f>VLOOKUP(J21,Vertices!$A$11:$J$203,9,FALSE )-$E$7</f>
        <v>-23.48</v>
      </c>
      <c r="N21" s="16">
        <f t="shared" si="0"/>
        <v>460.3879811666668</v>
      </c>
      <c r="O21" s="16">
        <f t="shared" si="1"/>
        <v>460.3879811666668</v>
      </c>
    </row>
    <row r="22" spans="1:15" x14ac:dyDescent="0.25">
      <c r="A22">
        <f>Faces!A22</f>
        <v>12</v>
      </c>
      <c r="B22" s="21">
        <f>Faces!B22</f>
        <v>14</v>
      </c>
      <c r="C22" s="22">
        <f>VLOOKUP(B22,Vertices!$A$11:$J$203,7,FALSE )-$C$7</f>
        <v>30.995000000000005</v>
      </c>
      <c r="D22" s="22">
        <f>VLOOKUP(B22,Vertices!$A$11:$J$203,8,FALSE )-$D$7</f>
        <v>0.61</v>
      </c>
      <c r="E22" s="23">
        <f>VLOOKUP(B22,Vertices!$A$11:$J$203,9,FALSE )-$E$7</f>
        <v>-14.26</v>
      </c>
      <c r="F22" s="21">
        <f>Faces!C22</f>
        <v>15</v>
      </c>
      <c r="G22" s="22">
        <f>VLOOKUP(F22,Vertices!$A$11:$J$203,7,FALSE )-$C$7</f>
        <v>26.575000000000003</v>
      </c>
      <c r="H22" s="22">
        <f>VLOOKUP(F22,Vertices!$A$11:$J$203,8,FALSE )-$D$7</f>
        <v>6.71</v>
      </c>
      <c r="I22" s="23">
        <f>VLOOKUP(F22,Vertices!$A$11:$J$203,9,FALSE )-$E$7</f>
        <v>-14.88</v>
      </c>
      <c r="J22" s="21">
        <f>Faces!D22</f>
        <v>21</v>
      </c>
      <c r="K22" s="22">
        <f>VLOOKUP(J22,Vertices!$A$11:$J$203,7,FALSE )-$C$7</f>
        <v>19.454999999999998</v>
      </c>
      <c r="L22" s="22">
        <f>VLOOKUP(J22,Vertices!$A$11:$J$203,8,FALSE )-$D$7</f>
        <v>-1.1399999999999999</v>
      </c>
      <c r="M22" s="23">
        <f>VLOOKUP(J22,Vertices!$A$11:$J$203,9,FALSE )-$E$7</f>
        <v>-23.78</v>
      </c>
      <c r="N22" s="16">
        <f t="shared" si="0"/>
        <v>494.83235850000011</v>
      </c>
      <c r="O22" s="16">
        <f t="shared" si="1"/>
        <v>494.83235850000011</v>
      </c>
    </row>
    <row r="23" spans="1:15" x14ac:dyDescent="0.25">
      <c r="A23">
        <f>Faces!A23</f>
        <v>13</v>
      </c>
      <c r="B23" s="21">
        <f>Faces!B23</f>
        <v>15</v>
      </c>
      <c r="C23" s="22">
        <f>VLOOKUP(B23,Vertices!$A$11:$J$203,7,FALSE )-$C$7</f>
        <v>26.575000000000003</v>
      </c>
      <c r="D23" s="22">
        <f>VLOOKUP(B23,Vertices!$A$11:$J$203,8,FALSE )-$D$7</f>
        <v>6.71</v>
      </c>
      <c r="E23" s="23">
        <f>VLOOKUP(B23,Vertices!$A$11:$J$203,9,FALSE )-$E$7</f>
        <v>-14.88</v>
      </c>
      <c r="F23" s="21">
        <f>Faces!C23</f>
        <v>22</v>
      </c>
      <c r="G23" s="22">
        <f>VLOOKUP(F23,Vertices!$A$11:$J$203,7,FALSE )-$C$7</f>
        <v>11.155000000000001</v>
      </c>
      <c r="H23" s="22">
        <f>VLOOKUP(F23,Vertices!$A$11:$J$203,8,FALSE )-$D$7</f>
        <v>11.35</v>
      </c>
      <c r="I23" s="23">
        <f>VLOOKUP(F23,Vertices!$A$11:$J$203,9,FALSE )-$E$7</f>
        <v>-24.11</v>
      </c>
      <c r="J23" s="21">
        <f>Faces!D23</f>
        <v>21</v>
      </c>
      <c r="K23" s="22">
        <f>VLOOKUP(J23,Vertices!$A$11:$J$203,7,FALSE )-$C$7</f>
        <v>19.454999999999998</v>
      </c>
      <c r="L23" s="22">
        <f>VLOOKUP(J23,Vertices!$A$11:$J$203,8,FALSE )-$D$7</f>
        <v>-1.1399999999999999</v>
      </c>
      <c r="M23" s="23">
        <f>VLOOKUP(J23,Vertices!$A$11:$J$203,9,FALSE )-$E$7</f>
        <v>-23.78</v>
      </c>
      <c r="N23" s="16">
        <f t="shared" si="0"/>
        <v>965.93582341666661</v>
      </c>
      <c r="O23" s="16">
        <f t="shared" si="1"/>
        <v>965.93582341666661</v>
      </c>
    </row>
    <row r="24" spans="1:15" x14ac:dyDescent="0.25">
      <c r="A24">
        <f>Faces!A24</f>
        <v>14</v>
      </c>
      <c r="B24" s="21">
        <f>Faces!B24</f>
        <v>15</v>
      </c>
      <c r="C24" s="22">
        <f>VLOOKUP(B24,Vertices!$A$11:$J$203,7,FALSE )-$C$7</f>
        <v>26.575000000000003</v>
      </c>
      <c r="D24" s="22">
        <f>VLOOKUP(B24,Vertices!$A$11:$J$203,8,FALSE )-$D$7</f>
        <v>6.71</v>
      </c>
      <c r="E24" s="23">
        <f>VLOOKUP(B24,Vertices!$A$11:$J$203,9,FALSE )-$E$7</f>
        <v>-14.88</v>
      </c>
      <c r="F24" s="21">
        <f>Faces!C24</f>
        <v>16</v>
      </c>
      <c r="G24" s="22">
        <f>VLOOKUP(F24,Vertices!$A$11:$J$203,7,FALSE )-$C$7</f>
        <v>17.394999999999996</v>
      </c>
      <c r="H24" s="22">
        <f>VLOOKUP(F24,Vertices!$A$11:$J$203,8,FALSE )-$D$7</f>
        <v>20.07</v>
      </c>
      <c r="I24" s="23">
        <f>VLOOKUP(F24,Vertices!$A$11:$J$203,9,FALSE )-$E$7</f>
        <v>-15.71</v>
      </c>
      <c r="J24" s="21">
        <f>Faces!D24</f>
        <v>22</v>
      </c>
      <c r="K24" s="22">
        <f>VLOOKUP(J24,Vertices!$A$11:$J$203,7,FALSE )-$C$7</f>
        <v>11.155000000000001</v>
      </c>
      <c r="L24" s="22">
        <f>VLOOKUP(J24,Vertices!$A$11:$J$203,8,FALSE )-$D$7</f>
        <v>11.35</v>
      </c>
      <c r="M24" s="23">
        <f>VLOOKUP(J24,Vertices!$A$11:$J$203,9,FALSE )-$E$7</f>
        <v>-24.11</v>
      </c>
      <c r="N24" s="16">
        <f t="shared" si="0"/>
        <v>1014.831864666667</v>
      </c>
      <c r="O24" s="16">
        <f t="shared" si="1"/>
        <v>1014.831864666667</v>
      </c>
    </row>
    <row r="25" spans="1:15" x14ac:dyDescent="0.25">
      <c r="A25">
        <f>Faces!A25</f>
        <v>15</v>
      </c>
      <c r="B25" s="21">
        <f>Faces!B25</f>
        <v>9</v>
      </c>
      <c r="C25" s="22">
        <f>VLOOKUP(B25,Vertices!$A$11:$J$203,7,FALSE )-$C$7</f>
        <v>30.055000000000007</v>
      </c>
      <c r="D25" s="22">
        <f>VLOOKUP(B25,Vertices!$A$11:$J$203,8,FALSE )-$D$7</f>
        <v>10.45</v>
      </c>
      <c r="E25" s="23">
        <f>VLOOKUP(B25,Vertices!$A$11:$J$203,9,FALSE )-$E$7</f>
        <v>-10.46</v>
      </c>
      <c r="F25" s="21">
        <f>Faces!C25</f>
        <v>16</v>
      </c>
      <c r="G25" s="22">
        <f>VLOOKUP(F25,Vertices!$A$11:$J$203,7,FALSE )-$C$7</f>
        <v>17.394999999999996</v>
      </c>
      <c r="H25" s="22">
        <f>VLOOKUP(F25,Vertices!$A$11:$J$203,8,FALSE )-$D$7</f>
        <v>20.07</v>
      </c>
      <c r="I25" s="23">
        <f>VLOOKUP(F25,Vertices!$A$11:$J$203,9,FALSE )-$E$7</f>
        <v>-15.71</v>
      </c>
      <c r="J25" s="21">
        <f>Faces!D25</f>
        <v>15</v>
      </c>
      <c r="K25" s="22">
        <f>VLOOKUP(J25,Vertices!$A$11:$J$203,7,FALSE )-$C$7</f>
        <v>26.575000000000003</v>
      </c>
      <c r="L25" s="22">
        <f>VLOOKUP(J25,Vertices!$A$11:$J$203,8,FALSE )-$D$7</f>
        <v>6.71</v>
      </c>
      <c r="M25" s="23">
        <f>VLOOKUP(J25,Vertices!$A$11:$J$203,9,FALSE )-$E$7</f>
        <v>-14.88</v>
      </c>
      <c r="N25" s="16">
        <f t="shared" si="0"/>
        <v>517.89195783333355</v>
      </c>
      <c r="O25" s="16">
        <f t="shared" si="1"/>
        <v>517.89195783333355</v>
      </c>
    </row>
    <row r="26" spans="1:15" x14ac:dyDescent="0.25">
      <c r="A26">
        <f>Faces!A26</f>
        <v>16</v>
      </c>
      <c r="B26" s="21">
        <f>Faces!B26</f>
        <v>9</v>
      </c>
      <c r="C26" s="22">
        <f>VLOOKUP(B26,Vertices!$A$11:$J$203,7,FALSE )-$C$7</f>
        <v>30.055000000000007</v>
      </c>
      <c r="D26" s="22">
        <f>VLOOKUP(B26,Vertices!$A$11:$J$203,8,FALSE )-$D$7</f>
        <v>10.45</v>
      </c>
      <c r="E26" s="23">
        <f>VLOOKUP(B26,Vertices!$A$11:$J$203,9,FALSE )-$E$7</f>
        <v>-10.46</v>
      </c>
      <c r="F26" s="21">
        <f>Faces!C26</f>
        <v>10</v>
      </c>
      <c r="G26" s="22">
        <f>VLOOKUP(F26,Vertices!$A$11:$J$203,7,FALSE )-$C$7</f>
        <v>20.475000000000009</v>
      </c>
      <c r="H26" s="22">
        <f>VLOOKUP(F26,Vertices!$A$11:$J$203,8,FALSE )-$D$7</f>
        <v>24.14</v>
      </c>
      <c r="I26" s="23">
        <f>VLOOKUP(F26,Vertices!$A$11:$J$203,9,FALSE )-$E$7</f>
        <v>-11.59</v>
      </c>
      <c r="J26" s="21">
        <f>Faces!D26</f>
        <v>16</v>
      </c>
      <c r="K26" s="22">
        <f>VLOOKUP(J26,Vertices!$A$11:$J$203,7,FALSE )-$C$7</f>
        <v>17.394999999999996</v>
      </c>
      <c r="L26" s="22">
        <f>VLOOKUP(J26,Vertices!$A$11:$J$203,8,FALSE )-$D$7</f>
        <v>20.07</v>
      </c>
      <c r="M26" s="23">
        <f>VLOOKUP(J26,Vertices!$A$11:$J$203,9,FALSE )-$E$7</f>
        <v>-15.71</v>
      </c>
      <c r="N26" s="16">
        <f t="shared" si="0"/>
        <v>509.73148541666779</v>
      </c>
      <c r="O26" s="16">
        <f t="shared" si="1"/>
        <v>509.73148541666779</v>
      </c>
    </row>
    <row r="27" spans="1:15" x14ac:dyDescent="0.25">
      <c r="A27">
        <f>Faces!A27</f>
        <v>17</v>
      </c>
      <c r="B27" s="21">
        <f>Faces!B27</f>
        <v>3</v>
      </c>
      <c r="C27" s="22">
        <f>VLOOKUP(B27,Vertices!$A$11:$J$203,7,FALSE )-$C$7</f>
        <v>33.594999999999999</v>
      </c>
      <c r="D27" s="22">
        <f>VLOOKUP(B27,Vertices!$A$11:$J$203,8,FALSE )-$D$7</f>
        <v>14.22</v>
      </c>
      <c r="E27" s="23">
        <f>VLOOKUP(B27,Vertices!$A$11:$J$203,9,FALSE )-$E$7</f>
        <v>-5.96</v>
      </c>
      <c r="F27" s="21">
        <f>Faces!C27</f>
        <v>10</v>
      </c>
      <c r="G27" s="22">
        <f>VLOOKUP(F27,Vertices!$A$11:$J$203,7,FALSE )-$C$7</f>
        <v>20.475000000000009</v>
      </c>
      <c r="H27" s="22">
        <f>VLOOKUP(F27,Vertices!$A$11:$J$203,8,FALSE )-$D$7</f>
        <v>24.14</v>
      </c>
      <c r="I27" s="23">
        <f>VLOOKUP(F27,Vertices!$A$11:$J$203,9,FALSE )-$E$7</f>
        <v>-11.59</v>
      </c>
      <c r="J27" s="21">
        <f>Faces!D27</f>
        <v>9</v>
      </c>
      <c r="K27" s="22">
        <f>VLOOKUP(J27,Vertices!$A$11:$J$203,7,FALSE )-$C$7</f>
        <v>30.055000000000007</v>
      </c>
      <c r="L27" s="22">
        <f>VLOOKUP(J27,Vertices!$A$11:$J$203,8,FALSE )-$D$7</f>
        <v>10.45</v>
      </c>
      <c r="M27" s="23">
        <f>VLOOKUP(J27,Vertices!$A$11:$J$203,9,FALSE )-$E$7</f>
        <v>-10.46</v>
      </c>
      <c r="N27" s="16">
        <f t="shared" si="0"/>
        <v>545.495237083333</v>
      </c>
      <c r="O27" s="16">
        <f t="shared" si="1"/>
        <v>545.495237083333</v>
      </c>
    </row>
    <row r="28" spans="1:15" x14ac:dyDescent="0.25">
      <c r="A28">
        <f>Faces!A28</f>
        <v>18</v>
      </c>
      <c r="B28" s="21">
        <f>Faces!B28</f>
        <v>3</v>
      </c>
      <c r="C28" s="22">
        <f>VLOOKUP(B28,Vertices!$A$11:$J$203,7,FALSE )-$C$7</f>
        <v>33.594999999999999</v>
      </c>
      <c r="D28" s="22">
        <f>VLOOKUP(B28,Vertices!$A$11:$J$203,8,FALSE )-$D$7</f>
        <v>14.22</v>
      </c>
      <c r="E28" s="23">
        <f>VLOOKUP(B28,Vertices!$A$11:$J$203,9,FALSE )-$E$7</f>
        <v>-5.96</v>
      </c>
      <c r="F28" s="21">
        <f>Faces!C28</f>
        <v>4</v>
      </c>
      <c r="G28" s="22">
        <f>VLOOKUP(F28,Vertices!$A$11:$J$203,7,FALSE )-$C$7</f>
        <v>23.635000000000005</v>
      </c>
      <c r="H28" s="22">
        <f>VLOOKUP(F28,Vertices!$A$11:$J$203,8,FALSE )-$D$7</f>
        <v>28.3</v>
      </c>
      <c r="I28" s="23">
        <f>VLOOKUP(F28,Vertices!$A$11:$J$203,9,FALSE )-$E$7</f>
        <v>-7.25</v>
      </c>
      <c r="J28" s="21">
        <f>Faces!D28</f>
        <v>10</v>
      </c>
      <c r="K28" s="22">
        <f>VLOOKUP(J28,Vertices!$A$11:$J$203,7,FALSE )-$C$7</f>
        <v>20.475000000000009</v>
      </c>
      <c r="L28" s="22">
        <f>VLOOKUP(J28,Vertices!$A$11:$J$203,8,FALSE )-$D$7</f>
        <v>24.14</v>
      </c>
      <c r="M28" s="23">
        <f>VLOOKUP(J28,Vertices!$A$11:$J$203,9,FALSE )-$E$7</f>
        <v>-11.59</v>
      </c>
      <c r="N28" s="16">
        <f t="shared" si="0"/>
        <v>550.3358226666669</v>
      </c>
      <c r="O28" s="16">
        <f t="shared" si="1"/>
        <v>550.3358226666669</v>
      </c>
    </row>
    <row r="29" spans="1:15" x14ac:dyDescent="0.25">
      <c r="A29">
        <f>Faces!A29</f>
        <v>19</v>
      </c>
      <c r="B29" s="21">
        <f>Faces!B29</f>
        <v>19</v>
      </c>
      <c r="C29" s="22">
        <f>VLOOKUP(B29,Vertices!$A$11:$J$203,7,FALSE )-$C$7</f>
        <v>27.695000000000007</v>
      </c>
      <c r="D29" s="22">
        <f>VLOOKUP(B29,Vertices!$A$11:$J$203,8,FALSE )-$D$7</f>
        <v>-12.76</v>
      </c>
      <c r="E29" s="23">
        <f>VLOOKUP(B29,Vertices!$A$11:$J$203,9,FALSE )-$E$7</f>
        <v>-23.17</v>
      </c>
      <c r="F29" s="21">
        <f>Faces!C29</f>
        <v>26</v>
      </c>
      <c r="G29" s="22">
        <f>VLOOKUP(F29,Vertices!$A$11:$J$203,7,FALSE )-$C$7</f>
        <v>11.774999999999999</v>
      </c>
      <c r="H29" s="22">
        <f>VLOOKUP(F29,Vertices!$A$11:$J$203,8,FALSE )-$D$7</f>
        <v>-19.670000000000002</v>
      </c>
      <c r="I29" s="23">
        <f>VLOOKUP(F29,Vertices!$A$11:$J$203,9,FALSE )-$E$7</f>
        <v>-37.4</v>
      </c>
      <c r="J29" s="21">
        <f>Faces!D29</f>
        <v>25</v>
      </c>
      <c r="K29" s="22">
        <f>VLOOKUP(J29,Vertices!$A$11:$J$203,7,FALSE )-$C$7</f>
        <v>15.335000000000008</v>
      </c>
      <c r="L29" s="22">
        <f>VLOOKUP(J29,Vertices!$A$11:$J$203,8,FALSE )-$D$7</f>
        <v>-25.16</v>
      </c>
      <c r="M29" s="23">
        <f>VLOOKUP(J29,Vertices!$A$11:$J$203,9,FALSE )-$E$7</f>
        <v>-37.630000000000003</v>
      </c>
      <c r="N29" s="16">
        <f t="shared" si="0"/>
        <v>670.25224616666685</v>
      </c>
      <c r="O29" s="16">
        <f t="shared" si="1"/>
        <v>670.25224616666685</v>
      </c>
    </row>
    <row r="30" spans="1:15" x14ac:dyDescent="0.25">
      <c r="A30">
        <f>Faces!A30</f>
        <v>20</v>
      </c>
      <c r="B30" s="21">
        <f>Faces!B30</f>
        <v>19</v>
      </c>
      <c r="C30" s="22">
        <f>VLOOKUP(B30,Vertices!$A$11:$J$203,7,FALSE )-$C$7</f>
        <v>27.695000000000007</v>
      </c>
      <c r="D30" s="22">
        <f>VLOOKUP(B30,Vertices!$A$11:$J$203,8,FALSE )-$D$7</f>
        <v>-12.76</v>
      </c>
      <c r="E30" s="23">
        <f>VLOOKUP(B30,Vertices!$A$11:$J$203,9,FALSE )-$E$7</f>
        <v>-23.17</v>
      </c>
      <c r="F30" s="21">
        <f>Faces!C30</f>
        <v>20</v>
      </c>
      <c r="G30" s="22">
        <f>VLOOKUP(F30,Vertices!$A$11:$J$203,7,FALSE )-$C$7</f>
        <v>23.475000000000009</v>
      </c>
      <c r="H30" s="22">
        <f>VLOOKUP(F30,Vertices!$A$11:$J$203,8,FALSE )-$D$7</f>
        <v>-6.85</v>
      </c>
      <c r="I30" s="23">
        <f>VLOOKUP(F30,Vertices!$A$11:$J$203,9,FALSE )-$E$7</f>
        <v>-23.48</v>
      </c>
      <c r="J30" s="21">
        <f>Faces!D30</f>
        <v>26</v>
      </c>
      <c r="K30" s="22">
        <f>VLOOKUP(J30,Vertices!$A$11:$J$203,7,FALSE )-$C$7</f>
        <v>11.774999999999999</v>
      </c>
      <c r="L30" s="22">
        <f>VLOOKUP(J30,Vertices!$A$11:$J$203,8,FALSE )-$D$7</f>
        <v>-19.670000000000002</v>
      </c>
      <c r="M30" s="23">
        <f>VLOOKUP(J30,Vertices!$A$11:$J$203,9,FALSE )-$E$7</f>
        <v>-37.4</v>
      </c>
      <c r="N30" s="16">
        <f t="shared" si="0"/>
        <v>756.80422116666671</v>
      </c>
      <c r="O30" s="16">
        <f t="shared" si="1"/>
        <v>756.80422116666671</v>
      </c>
    </row>
    <row r="31" spans="1:15" x14ac:dyDescent="0.25">
      <c r="A31">
        <f>Faces!A31</f>
        <v>21</v>
      </c>
      <c r="B31" s="21">
        <f>Faces!B31</f>
        <v>20</v>
      </c>
      <c r="C31" s="22">
        <f>VLOOKUP(B31,Vertices!$A$11:$J$203,7,FALSE )-$C$7</f>
        <v>23.475000000000009</v>
      </c>
      <c r="D31" s="22">
        <f>VLOOKUP(B31,Vertices!$A$11:$J$203,8,FALSE )-$D$7</f>
        <v>-6.85</v>
      </c>
      <c r="E31" s="23">
        <f>VLOOKUP(B31,Vertices!$A$11:$J$203,9,FALSE )-$E$7</f>
        <v>-23.48</v>
      </c>
      <c r="F31" s="21">
        <f>Faces!C31</f>
        <v>27</v>
      </c>
      <c r="G31" s="22">
        <f>VLOOKUP(F31,Vertices!$A$11:$J$203,7,FALSE )-$C$7</f>
        <v>8.3950000000000031</v>
      </c>
      <c r="H31" s="22">
        <f>VLOOKUP(F31,Vertices!$A$11:$J$203,8,FALSE )-$D$7</f>
        <v>-14.41</v>
      </c>
      <c r="I31" s="23">
        <f>VLOOKUP(F31,Vertices!$A$11:$J$203,9,FALSE )-$E$7</f>
        <v>-37.22</v>
      </c>
      <c r="J31" s="21">
        <f>Faces!D31</f>
        <v>26</v>
      </c>
      <c r="K31" s="22">
        <f>VLOOKUP(J31,Vertices!$A$11:$J$203,7,FALSE )-$C$7</f>
        <v>11.774999999999999</v>
      </c>
      <c r="L31" s="22">
        <f>VLOOKUP(J31,Vertices!$A$11:$J$203,8,FALSE )-$D$7</f>
        <v>-19.670000000000002</v>
      </c>
      <c r="M31" s="23">
        <f>VLOOKUP(J31,Vertices!$A$11:$J$203,9,FALSE )-$E$7</f>
        <v>-37.4</v>
      </c>
      <c r="N31" s="16">
        <f t="shared" si="0"/>
        <v>631.72767966666629</v>
      </c>
      <c r="O31" s="16">
        <f t="shared" si="1"/>
        <v>631.72767966666629</v>
      </c>
    </row>
    <row r="32" spans="1:15" x14ac:dyDescent="0.25">
      <c r="A32">
        <f>Faces!A32</f>
        <v>22</v>
      </c>
      <c r="B32" s="21">
        <f>Faces!B32</f>
        <v>20</v>
      </c>
      <c r="C32" s="22">
        <f>VLOOKUP(B32,Vertices!$A$11:$J$203,7,FALSE )-$C$7</f>
        <v>23.475000000000009</v>
      </c>
      <c r="D32" s="22">
        <f>VLOOKUP(B32,Vertices!$A$11:$J$203,8,FALSE )-$D$7</f>
        <v>-6.85</v>
      </c>
      <c r="E32" s="23">
        <f>VLOOKUP(B32,Vertices!$A$11:$J$203,9,FALSE )-$E$7</f>
        <v>-23.48</v>
      </c>
      <c r="F32" s="21">
        <f>Faces!C32</f>
        <v>21</v>
      </c>
      <c r="G32" s="22">
        <f>VLOOKUP(F32,Vertices!$A$11:$J$203,7,FALSE )-$C$7</f>
        <v>19.454999999999998</v>
      </c>
      <c r="H32" s="22">
        <f>VLOOKUP(F32,Vertices!$A$11:$J$203,8,FALSE )-$D$7</f>
        <v>-1.1399999999999999</v>
      </c>
      <c r="I32" s="23">
        <f>VLOOKUP(F32,Vertices!$A$11:$J$203,9,FALSE )-$E$7</f>
        <v>-23.78</v>
      </c>
      <c r="J32" s="21">
        <f>Faces!D32</f>
        <v>27</v>
      </c>
      <c r="K32" s="22">
        <f>VLOOKUP(J32,Vertices!$A$11:$J$203,7,FALSE )-$C$7</f>
        <v>8.3950000000000031</v>
      </c>
      <c r="L32" s="22">
        <f>VLOOKUP(J32,Vertices!$A$11:$J$203,8,FALSE )-$D$7</f>
        <v>-14.41</v>
      </c>
      <c r="M32" s="23">
        <f>VLOOKUP(J32,Vertices!$A$11:$J$203,9,FALSE )-$E$7</f>
        <v>-37.22</v>
      </c>
      <c r="N32" s="16">
        <f t="shared" si="0"/>
        <v>713.83097916666702</v>
      </c>
      <c r="O32" s="16">
        <f t="shared" si="1"/>
        <v>713.83097916666702</v>
      </c>
    </row>
    <row r="33" spans="1:15" x14ac:dyDescent="0.25">
      <c r="A33">
        <f>Faces!A33</f>
        <v>23</v>
      </c>
      <c r="B33" s="21">
        <f>Faces!B33</f>
        <v>21</v>
      </c>
      <c r="C33" s="22">
        <f>VLOOKUP(B33,Vertices!$A$11:$J$203,7,FALSE )-$C$7</f>
        <v>19.454999999999998</v>
      </c>
      <c r="D33" s="22">
        <f>VLOOKUP(B33,Vertices!$A$11:$J$203,8,FALSE )-$D$7</f>
        <v>-1.1399999999999999</v>
      </c>
      <c r="E33" s="23">
        <f>VLOOKUP(B33,Vertices!$A$11:$J$203,9,FALSE )-$E$7</f>
        <v>-23.78</v>
      </c>
      <c r="F33" s="21">
        <f>Faces!C33</f>
        <v>28</v>
      </c>
      <c r="G33" s="22">
        <f>VLOOKUP(F33,Vertices!$A$11:$J$203,7,FALSE )-$C$7</f>
        <v>1.3049999999999997</v>
      </c>
      <c r="H33" s="22">
        <f>VLOOKUP(F33,Vertices!$A$11:$J$203,8,FALSE )-$D$7</f>
        <v>-2.91</v>
      </c>
      <c r="I33" s="23">
        <f>VLOOKUP(F33,Vertices!$A$11:$J$203,9,FALSE )-$E$7</f>
        <v>-36.75</v>
      </c>
      <c r="J33" s="21">
        <f>Faces!D33</f>
        <v>27</v>
      </c>
      <c r="K33" s="22">
        <f>VLOOKUP(J33,Vertices!$A$11:$J$203,7,FALSE )-$C$7</f>
        <v>8.3950000000000031</v>
      </c>
      <c r="L33" s="22">
        <f>VLOOKUP(J33,Vertices!$A$11:$J$203,8,FALSE )-$D$7</f>
        <v>-14.41</v>
      </c>
      <c r="M33" s="23">
        <f>VLOOKUP(J33,Vertices!$A$11:$J$203,9,FALSE )-$E$7</f>
        <v>-37.22</v>
      </c>
      <c r="N33" s="16">
        <f t="shared" si="0"/>
        <v>1338.8287787500001</v>
      </c>
      <c r="O33" s="16">
        <f t="shared" si="1"/>
        <v>1338.8287787500001</v>
      </c>
    </row>
    <row r="34" spans="1:15" x14ac:dyDescent="0.25">
      <c r="A34">
        <f>Faces!A34</f>
        <v>24</v>
      </c>
      <c r="B34" s="21">
        <f>Faces!B34</f>
        <v>21</v>
      </c>
      <c r="C34" s="22">
        <f>VLOOKUP(B34,Vertices!$A$11:$J$203,7,FALSE )-$C$7</f>
        <v>19.454999999999998</v>
      </c>
      <c r="D34" s="22">
        <f>VLOOKUP(B34,Vertices!$A$11:$J$203,8,FALSE )-$D$7</f>
        <v>-1.1399999999999999</v>
      </c>
      <c r="E34" s="23">
        <f>VLOOKUP(B34,Vertices!$A$11:$J$203,9,FALSE )-$E$7</f>
        <v>-23.78</v>
      </c>
      <c r="F34" s="21">
        <f>Faces!C34</f>
        <v>22</v>
      </c>
      <c r="G34" s="22">
        <f>VLOOKUP(F34,Vertices!$A$11:$J$203,7,FALSE )-$C$7</f>
        <v>11.155000000000001</v>
      </c>
      <c r="H34" s="22">
        <f>VLOOKUP(F34,Vertices!$A$11:$J$203,8,FALSE )-$D$7</f>
        <v>11.35</v>
      </c>
      <c r="I34" s="23">
        <f>VLOOKUP(F34,Vertices!$A$11:$J$203,9,FALSE )-$E$7</f>
        <v>-24.11</v>
      </c>
      <c r="J34" s="21">
        <f>Faces!D34</f>
        <v>28</v>
      </c>
      <c r="K34" s="22">
        <f>VLOOKUP(J34,Vertices!$A$11:$J$203,7,FALSE )-$C$7</f>
        <v>1.3049999999999997</v>
      </c>
      <c r="L34" s="22">
        <f>VLOOKUP(J34,Vertices!$A$11:$J$203,8,FALSE )-$D$7</f>
        <v>-2.91</v>
      </c>
      <c r="M34" s="23">
        <f>VLOOKUP(J34,Vertices!$A$11:$J$203,9,FALSE )-$E$7</f>
        <v>-36.75</v>
      </c>
      <c r="N34" s="16">
        <f t="shared" si="0"/>
        <v>1464.5352544999998</v>
      </c>
      <c r="O34" s="16">
        <f t="shared" si="1"/>
        <v>1464.5352544999998</v>
      </c>
    </row>
    <row r="35" spans="1:15" x14ac:dyDescent="0.25">
      <c r="A35">
        <f>Faces!A35</f>
        <v>25</v>
      </c>
      <c r="B35" s="21">
        <f>Faces!B35</f>
        <v>22</v>
      </c>
      <c r="C35" s="22">
        <f>VLOOKUP(B35,Vertices!$A$11:$J$203,7,FALSE )-$C$7</f>
        <v>11.155000000000001</v>
      </c>
      <c r="D35" s="22">
        <f>VLOOKUP(B35,Vertices!$A$11:$J$203,8,FALSE )-$D$7</f>
        <v>11.35</v>
      </c>
      <c r="E35" s="23">
        <f>VLOOKUP(B35,Vertices!$A$11:$J$203,9,FALSE )-$E$7</f>
        <v>-24.11</v>
      </c>
      <c r="F35" s="21">
        <f>Faces!C35</f>
        <v>29</v>
      </c>
      <c r="G35" s="22">
        <f>VLOOKUP(F35,Vertices!$A$11:$J$203,7,FALSE )-$C$7</f>
        <v>-9.9949999999999974</v>
      </c>
      <c r="H35" s="22">
        <f>VLOOKUP(F35,Vertices!$A$11:$J$203,8,FALSE )-$D$7</f>
        <v>16.82</v>
      </c>
      <c r="I35" s="23">
        <f>VLOOKUP(F35,Vertices!$A$11:$J$203,9,FALSE )-$E$7</f>
        <v>-35.880000000000003</v>
      </c>
      <c r="J35" s="21">
        <f>Faces!D35</f>
        <v>28</v>
      </c>
      <c r="K35" s="22">
        <f>VLOOKUP(J35,Vertices!$A$11:$J$203,7,FALSE )-$C$7</f>
        <v>1.3049999999999997</v>
      </c>
      <c r="L35" s="22">
        <f>VLOOKUP(J35,Vertices!$A$11:$J$203,8,FALSE )-$D$7</f>
        <v>-2.91</v>
      </c>
      <c r="M35" s="23">
        <f>VLOOKUP(J35,Vertices!$A$11:$J$203,9,FALSE )-$E$7</f>
        <v>-36.75</v>
      </c>
      <c r="N35" s="16">
        <f t="shared" si="0"/>
        <v>2155.4194524999998</v>
      </c>
      <c r="O35" s="16">
        <f t="shared" si="1"/>
        <v>2155.4194524999998</v>
      </c>
    </row>
    <row r="36" spans="1:15" x14ac:dyDescent="0.25">
      <c r="A36">
        <f>Faces!A36</f>
        <v>26</v>
      </c>
      <c r="B36" s="21">
        <f>Faces!B36</f>
        <v>22</v>
      </c>
      <c r="C36" s="22">
        <f>VLOOKUP(B36,Vertices!$A$11:$J$203,7,FALSE )-$C$7</f>
        <v>11.155000000000001</v>
      </c>
      <c r="D36" s="22">
        <f>VLOOKUP(B36,Vertices!$A$11:$J$203,8,FALSE )-$D$7</f>
        <v>11.35</v>
      </c>
      <c r="E36" s="23">
        <f>VLOOKUP(B36,Vertices!$A$11:$J$203,9,FALSE )-$E$7</f>
        <v>-24.11</v>
      </c>
      <c r="F36" s="21">
        <f>Faces!C36</f>
        <v>23</v>
      </c>
      <c r="G36" s="22">
        <f>VLOOKUP(F36,Vertices!$A$11:$J$203,7,FALSE )-$C$7</f>
        <v>-1.7950000000000017</v>
      </c>
      <c r="H36" s="22">
        <f>VLOOKUP(F36,Vertices!$A$11:$J$203,8,FALSE )-$D$7</f>
        <v>32.93</v>
      </c>
      <c r="I36" s="23">
        <f>VLOOKUP(F36,Vertices!$A$11:$J$203,9,FALSE )-$E$7</f>
        <v>-23.47</v>
      </c>
      <c r="J36" s="21">
        <f>Faces!D36</f>
        <v>29</v>
      </c>
      <c r="K36" s="22">
        <f>VLOOKUP(J36,Vertices!$A$11:$J$203,7,FALSE )-$C$7</f>
        <v>-9.9949999999999974</v>
      </c>
      <c r="L36" s="22">
        <f>VLOOKUP(J36,Vertices!$A$11:$J$203,8,FALSE )-$D$7</f>
        <v>16.82</v>
      </c>
      <c r="M36" s="23">
        <f>VLOOKUP(J36,Vertices!$A$11:$J$203,9,FALSE )-$E$7</f>
        <v>-35.880000000000003</v>
      </c>
      <c r="N36" s="16">
        <f t="shared" si="0"/>
        <v>2342.0578294999996</v>
      </c>
      <c r="O36" s="16">
        <f t="shared" si="1"/>
        <v>2342.0578294999996</v>
      </c>
    </row>
    <row r="37" spans="1:15" x14ac:dyDescent="0.25">
      <c r="A37">
        <f>Faces!A37</f>
        <v>27</v>
      </c>
      <c r="B37" s="21">
        <f>Faces!B37</f>
        <v>16</v>
      </c>
      <c r="C37" s="22">
        <f>VLOOKUP(B37,Vertices!$A$11:$J$203,7,FALSE )-$C$7</f>
        <v>17.394999999999996</v>
      </c>
      <c r="D37" s="22">
        <f>VLOOKUP(B37,Vertices!$A$11:$J$203,8,FALSE )-$D$7</f>
        <v>20.07</v>
      </c>
      <c r="E37" s="23">
        <f>VLOOKUP(B37,Vertices!$A$11:$J$203,9,FALSE )-$E$7</f>
        <v>-15.71</v>
      </c>
      <c r="F37" s="21">
        <f>Faces!C37</f>
        <v>23</v>
      </c>
      <c r="G37" s="22">
        <f>VLOOKUP(F37,Vertices!$A$11:$J$203,7,FALSE )-$C$7</f>
        <v>-1.7950000000000017</v>
      </c>
      <c r="H37" s="22">
        <f>VLOOKUP(F37,Vertices!$A$11:$J$203,8,FALSE )-$D$7</f>
        <v>32.93</v>
      </c>
      <c r="I37" s="23">
        <f>VLOOKUP(F37,Vertices!$A$11:$J$203,9,FALSE )-$E$7</f>
        <v>-23.47</v>
      </c>
      <c r="J37" s="21">
        <f>Faces!D37</f>
        <v>22</v>
      </c>
      <c r="K37" s="22">
        <f>VLOOKUP(J37,Vertices!$A$11:$J$203,7,FALSE )-$C$7</f>
        <v>11.155000000000001</v>
      </c>
      <c r="L37" s="22">
        <f>VLOOKUP(J37,Vertices!$A$11:$J$203,8,FALSE )-$D$7</f>
        <v>11.35</v>
      </c>
      <c r="M37" s="23">
        <f>VLOOKUP(J37,Vertices!$A$11:$J$203,9,FALSE )-$E$7</f>
        <v>-24.11</v>
      </c>
      <c r="N37" s="16">
        <f t="shared" si="0"/>
        <v>1534.8411079999994</v>
      </c>
      <c r="O37" s="16">
        <f t="shared" si="1"/>
        <v>1534.8411079999994</v>
      </c>
    </row>
    <row r="38" spans="1:15" x14ac:dyDescent="0.25">
      <c r="A38">
        <f>Faces!A38</f>
        <v>28</v>
      </c>
      <c r="B38" s="21">
        <f>Faces!B38</f>
        <v>16</v>
      </c>
      <c r="C38" s="22">
        <f>VLOOKUP(B38,Vertices!$A$11:$J$203,7,FALSE )-$C$7</f>
        <v>17.394999999999996</v>
      </c>
      <c r="D38" s="22">
        <f>VLOOKUP(B38,Vertices!$A$11:$J$203,8,FALSE )-$D$7</f>
        <v>20.07</v>
      </c>
      <c r="E38" s="23">
        <f>VLOOKUP(B38,Vertices!$A$11:$J$203,9,FALSE )-$E$7</f>
        <v>-15.71</v>
      </c>
      <c r="F38" s="21">
        <f>Faces!C38</f>
        <v>17</v>
      </c>
      <c r="G38" s="22">
        <f>VLOOKUP(F38,Vertices!$A$11:$J$203,7,FALSE )-$C$7</f>
        <v>3.4050000000000011</v>
      </c>
      <c r="H38" s="22">
        <f>VLOOKUP(F38,Vertices!$A$11:$J$203,8,FALSE )-$D$7</f>
        <v>42.94</v>
      </c>
      <c r="I38" s="23">
        <f>VLOOKUP(F38,Vertices!$A$11:$J$203,9,FALSE )-$E$7</f>
        <v>-15.19</v>
      </c>
      <c r="J38" s="21">
        <f>Faces!D38</f>
        <v>23</v>
      </c>
      <c r="K38" s="22">
        <f>VLOOKUP(J38,Vertices!$A$11:$J$203,7,FALSE )-$C$7</f>
        <v>-1.7950000000000017</v>
      </c>
      <c r="L38" s="22">
        <f>VLOOKUP(J38,Vertices!$A$11:$J$203,8,FALSE )-$D$7</f>
        <v>32.93</v>
      </c>
      <c r="M38" s="23">
        <f>VLOOKUP(J38,Vertices!$A$11:$J$203,9,FALSE )-$E$7</f>
        <v>-23.47</v>
      </c>
      <c r="N38" s="16">
        <f t="shared" si="0"/>
        <v>1608.4800201666665</v>
      </c>
      <c r="O38" s="16">
        <f t="shared" si="1"/>
        <v>1608.4800201666665</v>
      </c>
    </row>
    <row r="39" spans="1:15" x14ac:dyDescent="0.25">
      <c r="A39">
        <f>Faces!A39</f>
        <v>29</v>
      </c>
      <c r="B39" s="21">
        <f>Faces!B39</f>
        <v>10</v>
      </c>
      <c r="C39" s="22">
        <f>VLOOKUP(B39,Vertices!$A$11:$J$203,7,FALSE )-$C$7</f>
        <v>20.475000000000009</v>
      </c>
      <c r="D39" s="22">
        <f>VLOOKUP(B39,Vertices!$A$11:$J$203,8,FALSE )-$D$7</f>
        <v>24.14</v>
      </c>
      <c r="E39" s="23">
        <f>VLOOKUP(B39,Vertices!$A$11:$J$203,9,FALSE )-$E$7</f>
        <v>-11.59</v>
      </c>
      <c r="F39" s="21">
        <f>Faces!C39</f>
        <v>17</v>
      </c>
      <c r="G39" s="22">
        <f>VLOOKUP(F39,Vertices!$A$11:$J$203,7,FALSE )-$C$7</f>
        <v>3.4050000000000011</v>
      </c>
      <c r="H39" s="22">
        <f>VLOOKUP(F39,Vertices!$A$11:$J$203,8,FALSE )-$D$7</f>
        <v>42.94</v>
      </c>
      <c r="I39" s="23">
        <f>VLOOKUP(F39,Vertices!$A$11:$J$203,9,FALSE )-$E$7</f>
        <v>-15.19</v>
      </c>
      <c r="J39" s="21">
        <f>Faces!D39</f>
        <v>16</v>
      </c>
      <c r="K39" s="22">
        <f>VLOOKUP(J39,Vertices!$A$11:$J$203,7,FALSE )-$C$7</f>
        <v>17.394999999999996</v>
      </c>
      <c r="L39" s="22">
        <f>VLOOKUP(J39,Vertices!$A$11:$J$203,8,FALSE )-$D$7</f>
        <v>20.07</v>
      </c>
      <c r="M39" s="23">
        <f>VLOOKUP(J39,Vertices!$A$11:$J$203,9,FALSE )-$E$7</f>
        <v>-15.71</v>
      </c>
      <c r="N39" s="16">
        <f t="shared" si="0"/>
        <v>798.71600116666775</v>
      </c>
      <c r="O39" s="16">
        <f t="shared" si="1"/>
        <v>798.71600116666775</v>
      </c>
    </row>
    <row r="40" spans="1:15" x14ac:dyDescent="0.25">
      <c r="A40">
        <f>Faces!A40</f>
        <v>30</v>
      </c>
      <c r="B40" s="21">
        <f>Faces!B40</f>
        <v>10</v>
      </c>
      <c r="C40" s="22">
        <f>VLOOKUP(B40,Vertices!$A$11:$J$203,7,FALSE )-$C$7</f>
        <v>20.475000000000009</v>
      </c>
      <c r="D40" s="22">
        <f>VLOOKUP(B40,Vertices!$A$11:$J$203,8,FALSE )-$D$7</f>
        <v>24.14</v>
      </c>
      <c r="E40" s="23">
        <f>VLOOKUP(B40,Vertices!$A$11:$J$203,9,FALSE )-$E$7</f>
        <v>-11.59</v>
      </c>
      <c r="F40" s="21">
        <f>Faces!C40</f>
        <v>11</v>
      </c>
      <c r="G40" s="22">
        <f>VLOOKUP(F40,Vertices!$A$11:$J$203,7,FALSE )-$C$7</f>
        <v>5.9450000000000003</v>
      </c>
      <c r="H40" s="22">
        <f>VLOOKUP(F40,Vertices!$A$11:$J$203,8,FALSE )-$D$7</f>
        <v>47.81</v>
      </c>
      <c r="I40" s="23">
        <f>VLOOKUP(F40,Vertices!$A$11:$J$203,9,FALSE )-$E$7</f>
        <v>-11.05</v>
      </c>
      <c r="J40" s="21">
        <f>Faces!D40</f>
        <v>17</v>
      </c>
      <c r="K40" s="22">
        <f>VLOOKUP(J40,Vertices!$A$11:$J$203,7,FALSE )-$C$7</f>
        <v>3.4050000000000011</v>
      </c>
      <c r="L40" s="22">
        <f>VLOOKUP(J40,Vertices!$A$11:$J$203,8,FALSE )-$D$7</f>
        <v>42.94</v>
      </c>
      <c r="M40" s="23">
        <f>VLOOKUP(J40,Vertices!$A$11:$J$203,9,FALSE )-$E$7</f>
        <v>-15.19</v>
      </c>
      <c r="N40" s="16">
        <f t="shared" si="0"/>
        <v>825.79058716666748</v>
      </c>
      <c r="O40" s="16">
        <f t="shared" si="1"/>
        <v>825.79058716666748</v>
      </c>
    </row>
    <row r="41" spans="1:15" x14ac:dyDescent="0.25">
      <c r="A41">
        <f>Faces!A41</f>
        <v>31</v>
      </c>
      <c r="B41" s="21">
        <f>Faces!B41</f>
        <v>4</v>
      </c>
      <c r="C41" s="22">
        <f>VLOOKUP(B41,Vertices!$A$11:$J$203,7,FALSE )-$C$7</f>
        <v>23.635000000000005</v>
      </c>
      <c r="D41" s="22">
        <f>VLOOKUP(B41,Vertices!$A$11:$J$203,8,FALSE )-$D$7</f>
        <v>28.3</v>
      </c>
      <c r="E41" s="23">
        <f>VLOOKUP(B41,Vertices!$A$11:$J$203,9,FALSE )-$E$7</f>
        <v>-7.25</v>
      </c>
      <c r="F41" s="21">
        <f>Faces!C41</f>
        <v>11</v>
      </c>
      <c r="G41" s="22">
        <f>VLOOKUP(F41,Vertices!$A$11:$J$203,7,FALSE )-$C$7</f>
        <v>5.9450000000000003</v>
      </c>
      <c r="H41" s="22">
        <f>VLOOKUP(F41,Vertices!$A$11:$J$203,8,FALSE )-$D$7</f>
        <v>47.81</v>
      </c>
      <c r="I41" s="23">
        <f>VLOOKUP(F41,Vertices!$A$11:$J$203,9,FALSE )-$E$7</f>
        <v>-11.05</v>
      </c>
      <c r="J41" s="21">
        <f>Faces!D41</f>
        <v>10</v>
      </c>
      <c r="K41" s="22">
        <f>VLOOKUP(J41,Vertices!$A$11:$J$203,7,FALSE )-$C$7</f>
        <v>20.475000000000009</v>
      </c>
      <c r="L41" s="22">
        <f>VLOOKUP(J41,Vertices!$A$11:$J$203,8,FALSE )-$D$7</f>
        <v>24.14</v>
      </c>
      <c r="M41" s="23">
        <f>VLOOKUP(J41,Vertices!$A$11:$J$203,9,FALSE )-$E$7</f>
        <v>-11.59</v>
      </c>
      <c r="N41" s="16">
        <f t="shared" si="0"/>
        <v>864.71286150000049</v>
      </c>
      <c r="O41" s="16">
        <f t="shared" si="1"/>
        <v>864.71286150000049</v>
      </c>
    </row>
    <row r="42" spans="1:15" x14ac:dyDescent="0.25">
      <c r="A42">
        <f>Faces!A42</f>
        <v>32</v>
      </c>
      <c r="B42" s="21">
        <f>Faces!B42</f>
        <v>4</v>
      </c>
      <c r="C42" s="22">
        <f>VLOOKUP(B42,Vertices!$A$11:$J$203,7,FALSE )-$C$7</f>
        <v>23.635000000000005</v>
      </c>
      <c r="D42" s="22">
        <f>VLOOKUP(B42,Vertices!$A$11:$J$203,8,FALSE )-$D$7</f>
        <v>28.3</v>
      </c>
      <c r="E42" s="23">
        <f>VLOOKUP(B42,Vertices!$A$11:$J$203,9,FALSE )-$E$7</f>
        <v>-7.25</v>
      </c>
      <c r="F42" s="21">
        <f>Faces!C42</f>
        <v>5</v>
      </c>
      <c r="G42" s="22">
        <f>VLOOKUP(F42,Vertices!$A$11:$J$203,7,FALSE )-$C$7</f>
        <v>8.5150000000000006</v>
      </c>
      <c r="H42" s="22">
        <f>VLOOKUP(F42,Vertices!$A$11:$J$203,8,FALSE )-$D$7</f>
        <v>52.78</v>
      </c>
      <c r="I42" s="23">
        <f>VLOOKUP(F42,Vertices!$A$11:$J$203,9,FALSE )-$E$7</f>
        <v>-6.79</v>
      </c>
      <c r="J42" s="21">
        <f>Faces!D42</f>
        <v>11</v>
      </c>
      <c r="K42" s="22">
        <f>VLOOKUP(J42,Vertices!$A$11:$J$203,7,FALSE )-$C$7</f>
        <v>5.9450000000000003</v>
      </c>
      <c r="L42" s="22">
        <f>VLOOKUP(J42,Vertices!$A$11:$J$203,8,FALSE )-$D$7</f>
        <v>47.81</v>
      </c>
      <c r="M42" s="23">
        <f>VLOOKUP(J42,Vertices!$A$11:$J$203,9,FALSE )-$E$7</f>
        <v>-11.05</v>
      </c>
      <c r="N42" s="16">
        <f t="shared" si="0"/>
        <v>877.9941885000004</v>
      </c>
      <c r="O42" s="16">
        <f t="shared" si="1"/>
        <v>877.9941885000004</v>
      </c>
    </row>
    <row r="43" spans="1:15" x14ac:dyDescent="0.25">
      <c r="A43">
        <f>Faces!A43</f>
        <v>33</v>
      </c>
      <c r="B43" s="21">
        <f>Faces!B43</f>
        <v>25</v>
      </c>
      <c r="C43" s="22">
        <f>VLOOKUP(B43,Vertices!$A$11:$J$203,7,FALSE )-$C$7</f>
        <v>15.335000000000008</v>
      </c>
      <c r="D43" s="22">
        <f>VLOOKUP(B43,Vertices!$A$11:$J$203,8,FALSE )-$D$7</f>
        <v>-25.16</v>
      </c>
      <c r="E43" s="23">
        <f>VLOOKUP(B43,Vertices!$A$11:$J$203,9,FALSE )-$E$7</f>
        <v>-37.630000000000003</v>
      </c>
      <c r="F43" s="21">
        <f>Faces!C43</f>
        <v>32</v>
      </c>
      <c r="G43" s="22">
        <f>VLOOKUP(F43,Vertices!$A$11:$J$203,7,FALSE )-$C$7</f>
        <v>1.615000000000002</v>
      </c>
      <c r="H43" s="22">
        <f>VLOOKUP(F43,Vertices!$A$11:$J$203,8,FALSE )-$D$7</f>
        <v>-32.1</v>
      </c>
      <c r="I43" s="23">
        <f>VLOOKUP(F43,Vertices!$A$11:$J$203,9,FALSE )-$E$7</f>
        <v>-49.14</v>
      </c>
      <c r="J43" s="21">
        <f>Faces!D43</f>
        <v>31</v>
      </c>
      <c r="K43" s="22">
        <f>VLOOKUP(J43,Vertices!$A$11:$J$203,7,FALSE )-$C$7</f>
        <v>4.5450000000000017</v>
      </c>
      <c r="L43" s="22">
        <f>VLOOKUP(J43,Vertices!$A$11:$J$203,8,FALSE )-$D$7</f>
        <v>-37</v>
      </c>
      <c r="M43" s="23">
        <f>VLOOKUP(J43,Vertices!$A$11:$J$203,9,FALSE )-$E$7</f>
        <v>-50</v>
      </c>
      <c r="N43" s="16">
        <f t="shared" si="0"/>
        <v>487.15792949999997</v>
      </c>
      <c r="O43" s="16">
        <f t="shared" si="1"/>
        <v>487.15792949999997</v>
      </c>
    </row>
    <row r="44" spans="1:15" x14ac:dyDescent="0.25">
      <c r="A44">
        <f>Faces!A44</f>
        <v>34</v>
      </c>
      <c r="B44" s="21">
        <f>Faces!B44</f>
        <v>25</v>
      </c>
      <c r="C44" s="22">
        <f>VLOOKUP(B44,Vertices!$A$11:$J$203,7,FALSE )-$C$7</f>
        <v>15.335000000000008</v>
      </c>
      <c r="D44" s="22">
        <f>VLOOKUP(B44,Vertices!$A$11:$J$203,8,FALSE )-$D$7</f>
        <v>-25.16</v>
      </c>
      <c r="E44" s="23">
        <f>VLOOKUP(B44,Vertices!$A$11:$J$203,9,FALSE )-$E$7</f>
        <v>-37.630000000000003</v>
      </c>
      <c r="F44" s="21">
        <f>Faces!C44</f>
        <v>26</v>
      </c>
      <c r="G44" s="22">
        <f>VLOOKUP(F44,Vertices!$A$11:$J$203,7,FALSE )-$C$7</f>
        <v>11.774999999999999</v>
      </c>
      <c r="H44" s="22">
        <f>VLOOKUP(F44,Vertices!$A$11:$J$203,8,FALSE )-$D$7</f>
        <v>-19.670000000000002</v>
      </c>
      <c r="I44" s="23">
        <f>VLOOKUP(F44,Vertices!$A$11:$J$203,9,FALSE )-$E$7</f>
        <v>-37.4</v>
      </c>
      <c r="J44" s="21">
        <f>Faces!D44</f>
        <v>32</v>
      </c>
      <c r="K44" s="22">
        <f>VLOOKUP(J44,Vertices!$A$11:$J$203,7,FALSE )-$C$7</f>
        <v>1.615000000000002</v>
      </c>
      <c r="L44" s="22">
        <f>VLOOKUP(J44,Vertices!$A$11:$J$203,8,FALSE )-$D$7</f>
        <v>-32.1</v>
      </c>
      <c r="M44" s="23">
        <f>VLOOKUP(J44,Vertices!$A$11:$J$203,9,FALSE )-$E$7</f>
        <v>-49.14</v>
      </c>
      <c r="N44" s="16">
        <f t="shared" si="0"/>
        <v>599.71619891666637</v>
      </c>
      <c r="O44" s="16">
        <f t="shared" si="1"/>
        <v>599.71619891666637</v>
      </c>
    </row>
    <row r="45" spans="1:15" x14ac:dyDescent="0.25">
      <c r="A45">
        <f>Faces!A45</f>
        <v>35</v>
      </c>
      <c r="B45" s="21">
        <f>Faces!B45</f>
        <v>26</v>
      </c>
      <c r="C45" s="22">
        <f>VLOOKUP(B45,Vertices!$A$11:$J$203,7,FALSE )-$C$7</f>
        <v>11.774999999999999</v>
      </c>
      <c r="D45" s="22">
        <f>VLOOKUP(B45,Vertices!$A$11:$J$203,8,FALSE )-$D$7</f>
        <v>-19.670000000000002</v>
      </c>
      <c r="E45" s="23">
        <f>VLOOKUP(B45,Vertices!$A$11:$J$203,9,FALSE )-$E$7</f>
        <v>-37.4</v>
      </c>
      <c r="F45" s="21">
        <f>Faces!C45</f>
        <v>33</v>
      </c>
      <c r="G45" s="22">
        <f>VLOOKUP(F45,Vertices!$A$11:$J$203,7,FALSE )-$C$7</f>
        <v>-1.2250000000000014</v>
      </c>
      <c r="H45" s="22">
        <f>VLOOKUP(F45,Vertices!$A$11:$J$203,8,FALSE )-$D$7</f>
        <v>-27.18</v>
      </c>
      <c r="I45" s="23">
        <f>VLOOKUP(F45,Vertices!$A$11:$J$203,9,FALSE )-$E$7</f>
        <v>-48.51</v>
      </c>
      <c r="J45" s="21">
        <f>Faces!D45</f>
        <v>32</v>
      </c>
      <c r="K45" s="22">
        <f>VLOOKUP(J45,Vertices!$A$11:$J$203,7,FALSE )-$C$7</f>
        <v>1.615000000000002</v>
      </c>
      <c r="L45" s="22">
        <f>VLOOKUP(J45,Vertices!$A$11:$J$203,8,FALSE )-$D$7</f>
        <v>-32.1</v>
      </c>
      <c r="M45" s="23">
        <f>VLOOKUP(J45,Vertices!$A$11:$J$203,9,FALSE )-$E$7</f>
        <v>-49.14</v>
      </c>
      <c r="N45" s="16">
        <f t="shared" si="0"/>
        <v>499.32962074999961</v>
      </c>
      <c r="O45" s="16">
        <f t="shared" si="1"/>
        <v>499.32962074999961</v>
      </c>
    </row>
    <row r="46" spans="1:15" x14ac:dyDescent="0.25">
      <c r="A46">
        <f>Faces!A46</f>
        <v>36</v>
      </c>
      <c r="B46" s="21">
        <f>Faces!B46</f>
        <v>26</v>
      </c>
      <c r="C46" s="22">
        <f>VLOOKUP(B46,Vertices!$A$11:$J$203,7,FALSE )-$C$7</f>
        <v>11.774999999999999</v>
      </c>
      <c r="D46" s="22">
        <f>VLOOKUP(B46,Vertices!$A$11:$J$203,8,FALSE )-$D$7</f>
        <v>-19.670000000000002</v>
      </c>
      <c r="E46" s="23">
        <f>VLOOKUP(B46,Vertices!$A$11:$J$203,9,FALSE )-$E$7</f>
        <v>-37.4</v>
      </c>
      <c r="F46" s="21">
        <f>Faces!C46</f>
        <v>27</v>
      </c>
      <c r="G46" s="22">
        <f>VLOOKUP(F46,Vertices!$A$11:$J$203,7,FALSE )-$C$7</f>
        <v>8.3950000000000031</v>
      </c>
      <c r="H46" s="22">
        <f>VLOOKUP(F46,Vertices!$A$11:$J$203,8,FALSE )-$D$7</f>
        <v>-14.41</v>
      </c>
      <c r="I46" s="23">
        <f>VLOOKUP(F46,Vertices!$A$11:$J$203,9,FALSE )-$E$7</f>
        <v>-37.22</v>
      </c>
      <c r="J46" s="21">
        <f>Faces!D46</f>
        <v>33</v>
      </c>
      <c r="K46" s="22">
        <f>VLOOKUP(J46,Vertices!$A$11:$J$203,7,FALSE )-$C$7</f>
        <v>-1.2250000000000014</v>
      </c>
      <c r="L46" s="22">
        <f>VLOOKUP(J46,Vertices!$A$11:$J$203,8,FALSE )-$D$7</f>
        <v>-27.18</v>
      </c>
      <c r="M46" s="23">
        <f>VLOOKUP(J46,Vertices!$A$11:$J$203,9,FALSE )-$E$7</f>
        <v>-48.51</v>
      </c>
      <c r="N46" s="16">
        <f t="shared" si="0"/>
        <v>565.71524733333297</v>
      </c>
      <c r="O46" s="16">
        <f t="shared" si="1"/>
        <v>565.71524733333297</v>
      </c>
    </row>
    <row r="47" spans="1:15" x14ac:dyDescent="0.25">
      <c r="A47">
        <f>Faces!A47</f>
        <v>37</v>
      </c>
      <c r="B47" s="21">
        <f>Faces!B47</f>
        <v>27</v>
      </c>
      <c r="C47" s="22">
        <f>VLOOKUP(B47,Vertices!$A$11:$J$203,7,FALSE )-$C$7</f>
        <v>8.3950000000000031</v>
      </c>
      <c r="D47" s="22">
        <f>VLOOKUP(B47,Vertices!$A$11:$J$203,8,FALSE )-$D$7</f>
        <v>-14.41</v>
      </c>
      <c r="E47" s="23">
        <f>VLOOKUP(B47,Vertices!$A$11:$J$203,9,FALSE )-$E$7</f>
        <v>-37.22</v>
      </c>
      <c r="F47" s="21">
        <f>Faces!C47</f>
        <v>34</v>
      </c>
      <c r="G47" s="22">
        <f>VLOOKUP(F47,Vertices!$A$11:$J$203,7,FALSE )-$C$7</f>
        <v>-7.3350000000000009</v>
      </c>
      <c r="H47" s="22">
        <f>VLOOKUP(F47,Vertices!$A$11:$J$203,8,FALSE )-$D$7</f>
        <v>-16.25</v>
      </c>
      <c r="I47" s="23">
        <f>VLOOKUP(F47,Vertices!$A$11:$J$203,9,FALSE )-$E$7</f>
        <v>-47.39</v>
      </c>
      <c r="J47" s="21">
        <f>Faces!D47</f>
        <v>33</v>
      </c>
      <c r="K47" s="22">
        <f>VLOOKUP(J47,Vertices!$A$11:$J$203,7,FALSE )-$C$7</f>
        <v>-1.2250000000000014</v>
      </c>
      <c r="L47" s="22">
        <f>VLOOKUP(J47,Vertices!$A$11:$J$203,8,FALSE )-$D$7</f>
        <v>-27.18</v>
      </c>
      <c r="M47" s="23">
        <f>VLOOKUP(J47,Vertices!$A$11:$J$203,9,FALSE )-$E$7</f>
        <v>-48.51</v>
      </c>
      <c r="N47" s="16">
        <f t="shared" si="0"/>
        <v>1097.3698894166671</v>
      </c>
      <c r="O47" s="16">
        <f t="shared" si="1"/>
        <v>1097.3698894166671</v>
      </c>
    </row>
    <row r="48" spans="1:15" x14ac:dyDescent="0.25">
      <c r="A48">
        <f>Faces!A48</f>
        <v>38</v>
      </c>
      <c r="B48" s="21">
        <f>Faces!B48</f>
        <v>27</v>
      </c>
      <c r="C48" s="22">
        <f>VLOOKUP(B48,Vertices!$A$11:$J$203,7,FALSE )-$C$7</f>
        <v>8.3950000000000031</v>
      </c>
      <c r="D48" s="22">
        <f>VLOOKUP(B48,Vertices!$A$11:$J$203,8,FALSE )-$D$7</f>
        <v>-14.41</v>
      </c>
      <c r="E48" s="23">
        <f>VLOOKUP(B48,Vertices!$A$11:$J$203,9,FALSE )-$E$7</f>
        <v>-37.22</v>
      </c>
      <c r="F48" s="21">
        <f>Faces!C48</f>
        <v>28</v>
      </c>
      <c r="G48" s="22">
        <f>VLOOKUP(F48,Vertices!$A$11:$J$203,7,FALSE )-$C$7</f>
        <v>1.3049999999999997</v>
      </c>
      <c r="H48" s="22">
        <f>VLOOKUP(F48,Vertices!$A$11:$J$203,8,FALSE )-$D$7</f>
        <v>-2.91</v>
      </c>
      <c r="I48" s="23">
        <f>VLOOKUP(F48,Vertices!$A$11:$J$203,9,FALSE )-$E$7</f>
        <v>-36.75</v>
      </c>
      <c r="J48" s="21">
        <f>Faces!D48</f>
        <v>34</v>
      </c>
      <c r="K48" s="22">
        <f>VLOOKUP(J48,Vertices!$A$11:$J$203,7,FALSE )-$C$7</f>
        <v>-7.3350000000000009</v>
      </c>
      <c r="L48" s="22">
        <f>VLOOKUP(J48,Vertices!$A$11:$J$203,8,FALSE )-$D$7</f>
        <v>-16.25</v>
      </c>
      <c r="M48" s="23">
        <f>VLOOKUP(J48,Vertices!$A$11:$J$203,9,FALSE )-$E$7</f>
        <v>-47.39</v>
      </c>
      <c r="N48" s="16">
        <f t="shared" si="0"/>
        <v>1174.5790695000003</v>
      </c>
      <c r="O48" s="16">
        <f t="shared" si="1"/>
        <v>1174.5790695000003</v>
      </c>
    </row>
    <row r="49" spans="1:15" x14ac:dyDescent="0.25">
      <c r="A49">
        <f>Faces!A49</f>
        <v>39</v>
      </c>
      <c r="B49" s="21">
        <f>Faces!B49</f>
        <v>28</v>
      </c>
      <c r="C49" s="22">
        <f>VLOOKUP(B49,Vertices!$A$11:$J$203,7,FALSE )-$C$7</f>
        <v>1.3049999999999997</v>
      </c>
      <c r="D49" s="22">
        <f>VLOOKUP(B49,Vertices!$A$11:$J$203,8,FALSE )-$D$7</f>
        <v>-2.91</v>
      </c>
      <c r="E49" s="23">
        <f>VLOOKUP(B49,Vertices!$A$11:$J$203,9,FALSE )-$E$7</f>
        <v>-36.75</v>
      </c>
      <c r="F49" s="21">
        <f>Faces!C49</f>
        <v>35</v>
      </c>
      <c r="G49" s="22">
        <f>VLOOKUP(F49,Vertices!$A$11:$J$203,7,FALSE )-$C$7</f>
        <v>-17.225000000000001</v>
      </c>
      <c r="H49" s="22">
        <f>VLOOKUP(F49,Vertices!$A$11:$J$203,8,FALSE )-$D$7</f>
        <v>2.27</v>
      </c>
      <c r="I49" s="23">
        <f>VLOOKUP(F49,Vertices!$A$11:$J$203,9,FALSE )-$E$7</f>
        <v>-46.2</v>
      </c>
      <c r="J49" s="21">
        <f>Faces!D49</f>
        <v>34</v>
      </c>
      <c r="K49" s="22">
        <f>VLOOKUP(J49,Vertices!$A$11:$J$203,7,FALSE )-$C$7</f>
        <v>-7.3350000000000009</v>
      </c>
      <c r="L49" s="22">
        <f>VLOOKUP(J49,Vertices!$A$11:$J$203,8,FALSE )-$D$7</f>
        <v>-16.25</v>
      </c>
      <c r="M49" s="23">
        <f>VLOOKUP(J49,Vertices!$A$11:$J$203,9,FALSE )-$E$7</f>
        <v>-47.39</v>
      </c>
      <c r="N49" s="16">
        <f t="shared" si="0"/>
        <v>1771.5489015000005</v>
      </c>
      <c r="O49" s="16">
        <f t="shared" si="1"/>
        <v>1771.5489015000005</v>
      </c>
    </row>
    <row r="50" spans="1:15" x14ac:dyDescent="0.25">
      <c r="A50">
        <f>Faces!A50</f>
        <v>40</v>
      </c>
      <c r="B50" s="21">
        <f>Faces!B50</f>
        <v>28</v>
      </c>
      <c r="C50" s="22">
        <f>VLOOKUP(B50,Vertices!$A$11:$J$203,7,FALSE )-$C$7</f>
        <v>1.3049999999999997</v>
      </c>
      <c r="D50" s="22">
        <f>VLOOKUP(B50,Vertices!$A$11:$J$203,8,FALSE )-$D$7</f>
        <v>-2.91</v>
      </c>
      <c r="E50" s="23">
        <f>VLOOKUP(B50,Vertices!$A$11:$J$203,9,FALSE )-$E$7</f>
        <v>-36.75</v>
      </c>
      <c r="F50" s="21">
        <f>Faces!C50</f>
        <v>29</v>
      </c>
      <c r="G50" s="22">
        <f>VLOOKUP(F50,Vertices!$A$11:$J$203,7,FALSE )-$C$7</f>
        <v>-9.9949999999999974</v>
      </c>
      <c r="H50" s="22">
        <f>VLOOKUP(F50,Vertices!$A$11:$J$203,8,FALSE )-$D$7</f>
        <v>16.82</v>
      </c>
      <c r="I50" s="23">
        <f>VLOOKUP(F50,Vertices!$A$11:$J$203,9,FALSE )-$E$7</f>
        <v>-35.880000000000003</v>
      </c>
      <c r="J50" s="21">
        <f>Faces!D50</f>
        <v>35</v>
      </c>
      <c r="K50" s="22">
        <f>VLOOKUP(J50,Vertices!$A$11:$J$203,7,FALSE )-$C$7</f>
        <v>-17.225000000000001</v>
      </c>
      <c r="L50" s="22">
        <f>VLOOKUP(J50,Vertices!$A$11:$J$203,8,FALSE )-$D$7</f>
        <v>2.27</v>
      </c>
      <c r="M50" s="23">
        <f>VLOOKUP(J50,Vertices!$A$11:$J$203,9,FALSE )-$E$7</f>
        <v>-46.2</v>
      </c>
      <c r="N50" s="16">
        <f t="shared" si="0"/>
        <v>1862.6835382500003</v>
      </c>
      <c r="O50" s="16">
        <f t="shared" si="1"/>
        <v>1862.6835382500003</v>
      </c>
    </row>
    <row r="51" spans="1:15" x14ac:dyDescent="0.25">
      <c r="A51">
        <f>Faces!A51</f>
        <v>41</v>
      </c>
      <c r="B51" s="21">
        <f>Faces!B51</f>
        <v>29</v>
      </c>
      <c r="C51" s="22">
        <f>VLOOKUP(B51,Vertices!$A$11:$J$203,7,FALSE )-$C$7</f>
        <v>-9.9949999999999974</v>
      </c>
      <c r="D51" s="22">
        <f>VLOOKUP(B51,Vertices!$A$11:$J$203,8,FALSE )-$D$7</f>
        <v>16.82</v>
      </c>
      <c r="E51" s="23">
        <f>VLOOKUP(B51,Vertices!$A$11:$J$203,9,FALSE )-$E$7</f>
        <v>-35.880000000000003</v>
      </c>
      <c r="F51" s="21">
        <f>Faces!C51</f>
        <v>36</v>
      </c>
      <c r="G51" s="22">
        <f>VLOOKUP(F51,Vertices!$A$11:$J$203,7,FALSE )-$C$7</f>
        <v>-26.454999999999998</v>
      </c>
      <c r="H51" s="22">
        <f>VLOOKUP(F51,Vertices!$A$11:$J$203,8,FALSE )-$D$7</f>
        <v>20</v>
      </c>
      <c r="I51" s="23">
        <f>VLOOKUP(F51,Vertices!$A$11:$J$203,9,FALSE )-$E$7</f>
        <v>-46</v>
      </c>
      <c r="J51" s="21">
        <f>Faces!D51</f>
        <v>35</v>
      </c>
      <c r="K51" s="22">
        <f>VLOOKUP(J51,Vertices!$A$11:$J$203,7,FALSE )-$C$7</f>
        <v>-17.225000000000001</v>
      </c>
      <c r="L51" s="22">
        <f>VLOOKUP(J51,Vertices!$A$11:$J$203,8,FALSE )-$D$7</f>
        <v>2.27</v>
      </c>
      <c r="M51" s="23">
        <f>VLOOKUP(J51,Vertices!$A$11:$J$203,9,FALSE )-$E$7</f>
        <v>-46.2</v>
      </c>
      <c r="N51" s="16">
        <f t="shared" si="0"/>
        <v>1540.7819770000003</v>
      </c>
      <c r="O51" s="16">
        <f t="shared" si="1"/>
        <v>1540.7819770000003</v>
      </c>
    </row>
    <row r="52" spans="1:15" x14ac:dyDescent="0.25">
      <c r="A52">
        <f>Faces!A52</f>
        <v>42</v>
      </c>
      <c r="B52" s="21">
        <f>Faces!B52</f>
        <v>29</v>
      </c>
      <c r="C52" s="22">
        <f>VLOOKUP(B52,Vertices!$A$11:$J$203,7,FALSE )-$C$7</f>
        <v>-9.9949999999999974</v>
      </c>
      <c r="D52" s="22">
        <f>VLOOKUP(B52,Vertices!$A$11:$J$203,8,FALSE )-$D$7</f>
        <v>16.82</v>
      </c>
      <c r="E52" s="23">
        <f>VLOOKUP(B52,Vertices!$A$11:$J$203,9,FALSE )-$E$7</f>
        <v>-35.880000000000003</v>
      </c>
      <c r="F52" s="21">
        <f>Faces!C52</f>
        <v>30</v>
      </c>
      <c r="G52" s="22">
        <f>VLOOKUP(F52,Vertices!$A$11:$J$203,7,FALSE )-$C$7</f>
        <v>-19.614999999999998</v>
      </c>
      <c r="H52" s="22">
        <f>VLOOKUP(F52,Vertices!$A$11:$J$203,8,FALSE )-$D$7</f>
        <v>35.11</v>
      </c>
      <c r="I52" s="23">
        <f>VLOOKUP(F52,Vertices!$A$11:$J$203,9,FALSE )-$E$7</f>
        <v>-35.020000000000003</v>
      </c>
      <c r="J52" s="21">
        <f>Faces!D52</f>
        <v>36</v>
      </c>
      <c r="K52" s="22">
        <f>VLOOKUP(J52,Vertices!$A$11:$J$203,7,FALSE )-$C$7</f>
        <v>-26.454999999999998</v>
      </c>
      <c r="L52" s="22">
        <f>VLOOKUP(J52,Vertices!$A$11:$J$203,8,FALSE )-$D$7</f>
        <v>20</v>
      </c>
      <c r="M52" s="23">
        <f>VLOOKUP(J52,Vertices!$A$11:$J$203,9,FALSE )-$E$7</f>
        <v>-46</v>
      </c>
      <c r="N52" s="16">
        <f t="shared" si="0"/>
        <v>1617.0684553333333</v>
      </c>
      <c r="O52" s="16">
        <f t="shared" si="1"/>
        <v>1617.0684553333333</v>
      </c>
    </row>
    <row r="53" spans="1:15" x14ac:dyDescent="0.25">
      <c r="A53">
        <f>Faces!A53</f>
        <v>43</v>
      </c>
      <c r="B53" s="21">
        <f>Faces!B53</f>
        <v>23</v>
      </c>
      <c r="C53" s="22">
        <f>VLOOKUP(B53,Vertices!$A$11:$J$203,7,FALSE )-$C$7</f>
        <v>-1.7950000000000017</v>
      </c>
      <c r="D53" s="22">
        <f>VLOOKUP(B53,Vertices!$A$11:$J$203,8,FALSE )-$D$7</f>
        <v>32.93</v>
      </c>
      <c r="E53" s="23">
        <f>VLOOKUP(B53,Vertices!$A$11:$J$203,9,FALSE )-$E$7</f>
        <v>-23.47</v>
      </c>
      <c r="F53" s="21">
        <f>Faces!C53</f>
        <v>30</v>
      </c>
      <c r="G53" s="22">
        <f>VLOOKUP(F53,Vertices!$A$11:$J$203,7,FALSE )-$C$7</f>
        <v>-19.614999999999998</v>
      </c>
      <c r="H53" s="22">
        <f>VLOOKUP(F53,Vertices!$A$11:$J$203,8,FALSE )-$D$7</f>
        <v>35.11</v>
      </c>
      <c r="I53" s="23">
        <f>VLOOKUP(F53,Vertices!$A$11:$J$203,9,FALSE )-$E$7</f>
        <v>-35.020000000000003</v>
      </c>
      <c r="J53" s="21">
        <f>Faces!D53</f>
        <v>29</v>
      </c>
      <c r="K53" s="22">
        <f>VLOOKUP(J53,Vertices!$A$11:$J$203,7,FALSE )-$C$7</f>
        <v>-9.9949999999999974</v>
      </c>
      <c r="L53" s="22">
        <f>VLOOKUP(J53,Vertices!$A$11:$J$203,8,FALSE )-$D$7</f>
        <v>16.82</v>
      </c>
      <c r="M53" s="23">
        <f>VLOOKUP(J53,Vertices!$A$11:$J$203,9,FALSE )-$E$7</f>
        <v>-35.880000000000003</v>
      </c>
      <c r="N53" s="16">
        <f t="shared" si="0"/>
        <v>1823.0513269166665</v>
      </c>
      <c r="O53" s="16">
        <f t="shared" si="1"/>
        <v>1823.0513269166665</v>
      </c>
    </row>
    <row r="54" spans="1:15" x14ac:dyDescent="0.25">
      <c r="A54">
        <f>Faces!A54</f>
        <v>44</v>
      </c>
      <c r="B54" s="21">
        <f>Faces!B54</f>
        <v>23</v>
      </c>
      <c r="C54" s="22">
        <f>VLOOKUP(B54,Vertices!$A$11:$J$203,7,FALSE )-$C$7</f>
        <v>-1.7950000000000017</v>
      </c>
      <c r="D54" s="22">
        <f>VLOOKUP(B54,Vertices!$A$11:$J$203,8,FALSE )-$D$7</f>
        <v>32.93</v>
      </c>
      <c r="E54" s="23">
        <f>VLOOKUP(B54,Vertices!$A$11:$J$203,9,FALSE )-$E$7</f>
        <v>-23.47</v>
      </c>
      <c r="F54" s="21">
        <f>Faces!C54</f>
        <v>24</v>
      </c>
      <c r="G54" s="22">
        <f>VLOOKUP(F54,Vertices!$A$11:$J$203,7,FALSE )-$C$7</f>
        <v>-12.424999999999997</v>
      </c>
      <c r="H54" s="22">
        <f>VLOOKUP(F54,Vertices!$A$11:$J$203,8,FALSE )-$D$7</f>
        <v>52.81</v>
      </c>
      <c r="I54" s="23">
        <f>VLOOKUP(F54,Vertices!$A$11:$J$203,9,FALSE )-$E$7</f>
        <v>-21.85</v>
      </c>
      <c r="J54" s="21">
        <f>Faces!D54</f>
        <v>30</v>
      </c>
      <c r="K54" s="22">
        <f>VLOOKUP(J54,Vertices!$A$11:$J$203,7,FALSE )-$C$7</f>
        <v>-19.614999999999998</v>
      </c>
      <c r="L54" s="22">
        <f>VLOOKUP(J54,Vertices!$A$11:$J$203,8,FALSE )-$D$7</f>
        <v>35.11</v>
      </c>
      <c r="M54" s="23">
        <f>VLOOKUP(J54,Vertices!$A$11:$J$203,9,FALSE )-$E$7</f>
        <v>-35.020000000000003</v>
      </c>
      <c r="N54" s="16">
        <f t="shared" si="0"/>
        <v>2057.6350431666665</v>
      </c>
      <c r="O54" s="16">
        <f t="shared" si="1"/>
        <v>2057.6350431666665</v>
      </c>
    </row>
    <row r="55" spans="1:15" x14ac:dyDescent="0.25">
      <c r="A55">
        <f>Faces!A55</f>
        <v>45</v>
      </c>
      <c r="B55" s="21">
        <f>Faces!B55</f>
        <v>17</v>
      </c>
      <c r="C55" s="22">
        <f>VLOOKUP(B55,Vertices!$A$11:$J$203,7,FALSE )-$C$7</f>
        <v>3.4050000000000011</v>
      </c>
      <c r="D55" s="22">
        <f>VLOOKUP(B55,Vertices!$A$11:$J$203,8,FALSE )-$D$7</f>
        <v>42.94</v>
      </c>
      <c r="E55" s="23">
        <f>VLOOKUP(B55,Vertices!$A$11:$J$203,9,FALSE )-$E$7</f>
        <v>-15.19</v>
      </c>
      <c r="F55" s="21">
        <f>Faces!C55</f>
        <v>24</v>
      </c>
      <c r="G55" s="22">
        <f>VLOOKUP(F55,Vertices!$A$11:$J$203,7,FALSE )-$C$7</f>
        <v>-12.424999999999997</v>
      </c>
      <c r="H55" s="22">
        <f>VLOOKUP(F55,Vertices!$A$11:$J$203,8,FALSE )-$D$7</f>
        <v>52.81</v>
      </c>
      <c r="I55" s="23">
        <f>VLOOKUP(F55,Vertices!$A$11:$J$203,9,FALSE )-$E$7</f>
        <v>-21.85</v>
      </c>
      <c r="J55" s="21">
        <f>Faces!D55</f>
        <v>23</v>
      </c>
      <c r="K55" s="22">
        <f>VLOOKUP(J55,Vertices!$A$11:$J$203,7,FALSE )-$C$7</f>
        <v>-1.7950000000000017</v>
      </c>
      <c r="L55" s="22">
        <f>VLOOKUP(J55,Vertices!$A$11:$J$203,8,FALSE )-$D$7</f>
        <v>32.93</v>
      </c>
      <c r="M55" s="23">
        <f>VLOOKUP(J55,Vertices!$A$11:$J$203,9,FALSE )-$E$7</f>
        <v>-23.47</v>
      </c>
      <c r="N55" s="16">
        <f t="shared" si="0"/>
        <v>1305.5020906666666</v>
      </c>
      <c r="O55" s="16">
        <f t="shared" si="1"/>
        <v>1305.5020906666666</v>
      </c>
    </row>
    <row r="56" spans="1:15" x14ac:dyDescent="0.25">
      <c r="A56">
        <f>Faces!A56</f>
        <v>46</v>
      </c>
      <c r="B56" s="21">
        <f>Faces!B56</f>
        <v>17</v>
      </c>
      <c r="C56" s="22">
        <f>VLOOKUP(B56,Vertices!$A$11:$J$203,7,FALSE )-$C$7</f>
        <v>3.4050000000000011</v>
      </c>
      <c r="D56" s="22">
        <f>VLOOKUP(B56,Vertices!$A$11:$J$203,8,FALSE )-$D$7</f>
        <v>42.94</v>
      </c>
      <c r="E56" s="23">
        <f>VLOOKUP(B56,Vertices!$A$11:$J$203,9,FALSE )-$E$7</f>
        <v>-15.19</v>
      </c>
      <c r="F56" s="21">
        <f>Faces!C56</f>
        <v>18</v>
      </c>
      <c r="G56" s="22">
        <f>VLOOKUP(F56,Vertices!$A$11:$J$203,7,FALSE )-$C$7</f>
        <v>-7.8549999999999969</v>
      </c>
      <c r="H56" s="22">
        <f>VLOOKUP(F56,Vertices!$A$11:$J$203,8,FALSE )-$D$7</f>
        <v>63.95</v>
      </c>
      <c r="I56" s="23">
        <f>VLOOKUP(F56,Vertices!$A$11:$J$203,9,FALSE )-$E$7</f>
        <v>-13.07</v>
      </c>
      <c r="J56" s="21">
        <f>Faces!D56</f>
        <v>24</v>
      </c>
      <c r="K56" s="22">
        <f>VLOOKUP(J56,Vertices!$A$11:$J$203,7,FALSE )-$C$7</f>
        <v>-12.424999999999997</v>
      </c>
      <c r="L56" s="22">
        <f>VLOOKUP(J56,Vertices!$A$11:$J$203,8,FALSE )-$D$7</f>
        <v>52.81</v>
      </c>
      <c r="M56" s="23">
        <f>VLOOKUP(J56,Vertices!$A$11:$J$203,9,FALSE )-$E$7</f>
        <v>-21.85</v>
      </c>
      <c r="N56" s="16">
        <f t="shared" si="0"/>
        <v>1428.7905969999999</v>
      </c>
      <c r="O56" s="16">
        <f t="shared" si="1"/>
        <v>1428.7905969999999</v>
      </c>
    </row>
    <row r="57" spans="1:15" x14ac:dyDescent="0.25">
      <c r="A57">
        <f>Faces!A57</f>
        <v>47</v>
      </c>
      <c r="B57" s="21">
        <f>Faces!B57</f>
        <v>11</v>
      </c>
      <c r="C57" s="22">
        <f>VLOOKUP(B57,Vertices!$A$11:$J$203,7,FALSE )-$C$7</f>
        <v>5.9450000000000003</v>
      </c>
      <c r="D57" s="22">
        <f>VLOOKUP(B57,Vertices!$A$11:$J$203,8,FALSE )-$D$7</f>
        <v>47.81</v>
      </c>
      <c r="E57" s="23">
        <f>VLOOKUP(B57,Vertices!$A$11:$J$203,9,FALSE )-$E$7</f>
        <v>-11.05</v>
      </c>
      <c r="F57" s="21">
        <f>Faces!C57</f>
        <v>18</v>
      </c>
      <c r="G57" s="22">
        <f>VLOOKUP(F57,Vertices!$A$11:$J$203,7,FALSE )-$C$7</f>
        <v>-7.8549999999999969</v>
      </c>
      <c r="H57" s="22">
        <f>VLOOKUP(F57,Vertices!$A$11:$J$203,8,FALSE )-$D$7</f>
        <v>63.95</v>
      </c>
      <c r="I57" s="23">
        <f>VLOOKUP(F57,Vertices!$A$11:$J$203,9,FALSE )-$E$7</f>
        <v>-13.07</v>
      </c>
      <c r="J57" s="21">
        <f>Faces!D57</f>
        <v>17</v>
      </c>
      <c r="K57" s="22">
        <f>VLOOKUP(J57,Vertices!$A$11:$J$203,7,FALSE )-$C$7</f>
        <v>3.4050000000000011</v>
      </c>
      <c r="L57" s="22">
        <f>VLOOKUP(J57,Vertices!$A$11:$J$203,8,FALSE )-$D$7</f>
        <v>42.94</v>
      </c>
      <c r="M57" s="23">
        <f>VLOOKUP(J57,Vertices!$A$11:$J$203,9,FALSE )-$E$7</f>
        <v>-15.19</v>
      </c>
      <c r="N57" s="16">
        <f t="shared" si="0"/>
        <v>689.58848616666671</v>
      </c>
      <c r="O57" s="16">
        <f t="shared" si="1"/>
        <v>689.58848616666671</v>
      </c>
    </row>
    <row r="58" spans="1:15" x14ac:dyDescent="0.25">
      <c r="A58">
        <f>Faces!A58</f>
        <v>48</v>
      </c>
      <c r="B58" s="21">
        <f>Faces!B58</f>
        <v>11</v>
      </c>
      <c r="C58" s="22">
        <f>VLOOKUP(B58,Vertices!$A$11:$J$203,7,FALSE )-$C$7</f>
        <v>5.9450000000000003</v>
      </c>
      <c r="D58" s="22">
        <f>VLOOKUP(B58,Vertices!$A$11:$J$203,8,FALSE )-$D$7</f>
        <v>47.81</v>
      </c>
      <c r="E58" s="23">
        <f>VLOOKUP(B58,Vertices!$A$11:$J$203,9,FALSE )-$E$7</f>
        <v>-11.05</v>
      </c>
      <c r="F58" s="21">
        <f>Faces!C58</f>
        <v>12</v>
      </c>
      <c r="G58" s="22">
        <f>VLOOKUP(F58,Vertices!$A$11:$J$203,7,FALSE )-$C$7</f>
        <v>-5.634999999999998</v>
      </c>
      <c r="H58" s="22">
        <f>VLOOKUP(F58,Vertices!$A$11:$J$203,8,FALSE )-$D$7</f>
        <v>69.39</v>
      </c>
      <c r="I58" s="23">
        <f>VLOOKUP(F58,Vertices!$A$11:$J$203,9,FALSE )-$E$7</f>
        <v>-8.6300000000000008</v>
      </c>
      <c r="J58" s="21">
        <f>Faces!D58</f>
        <v>18</v>
      </c>
      <c r="K58" s="22">
        <f>VLOOKUP(J58,Vertices!$A$11:$J$203,7,FALSE )-$C$7</f>
        <v>-7.8549999999999969</v>
      </c>
      <c r="L58" s="22">
        <f>VLOOKUP(J58,Vertices!$A$11:$J$203,8,FALSE )-$D$7</f>
        <v>63.95</v>
      </c>
      <c r="M58" s="23">
        <f>VLOOKUP(J58,Vertices!$A$11:$J$203,9,FALSE )-$E$7</f>
        <v>-13.07</v>
      </c>
      <c r="N58" s="16">
        <f t="shared" si="0"/>
        <v>738.64128733333291</v>
      </c>
      <c r="O58" s="16">
        <f t="shared" si="1"/>
        <v>738.64128733333291</v>
      </c>
    </row>
    <row r="59" spans="1:15" x14ac:dyDescent="0.25">
      <c r="A59">
        <f>Faces!A59</f>
        <v>49</v>
      </c>
      <c r="B59" s="21">
        <f>Faces!B59</f>
        <v>5</v>
      </c>
      <c r="C59" s="22">
        <f>VLOOKUP(B59,Vertices!$A$11:$J$203,7,FALSE )-$C$7</f>
        <v>8.5150000000000006</v>
      </c>
      <c r="D59" s="22">
        <f>VLOOKUP(B59,Vertices!$A$11:$J$203,8,FALSE )-$D$7</f>
        <v>52.78</v>
      </c>
      <c r="E59" s="23">
        <f>VLOOKUP(B59,Vertices!$A$11:$J$203,9,FALSE )-$E$7</f>
        <v>-6.79</v>
      </c>
      <c r="F59" s="21">
        <f>Faces!C59</f>
        <v>12</v>
      </c>
      <c r="G59" s="22">
        <f>VLOOKUP(F59,Vertices!$A$11:$J$203,7,FALSE )-$C$7</f>
        <v>-5.634999999999998</v>
      </c>
      <c r="H59" s="22">
        <f>VLOOKUP(F59,Vertices!$A$11:$J$203,8,FALSE )-$D$7</f>
        <v>69.39</v>
      </c>
      <c r="I59" s="23">
        <f>VLOOKUP(F59,Vertices!$A$11:$J$203,9,FALSE )-$E$7</f>
        <v>-8.6300000000000008</v>
      </c>
      <c r="J59" s="21">
        <f>Faces!D59</f>
        <v>11</v>
      </c>
      <c r="K59" s="22">
        <f>VLOOKUP(J59,Vertices!$A$11:$J$203,7,FALSE )-$C$7</f>
        <v>5.9450000000000003</v>
      </c>
      <c r="L59" s="22">
        <f>VLOOKUP(J59,Vertices!$A$11:$J$203,8,FALSE )-$D$7</f>
        <v>47.81</v>
      </c>
      <c r="M59" s="23">
        <f>VLOOKUP(J59,Vertices!$A$11:$J$203,9,FALSE )-$E$7</f>
        <v>-11.05</v>
      </c>
      <c r="N59" s="16">
        <f t="shared" si="0"/>
        <v>729.94610583333326</v>
      </c>
      <c r="O59" s="16">
        <f t="shared" si="1"/>
        <v>729.94610583333326</v>
      </c>
    </row>
    <row r="60" spans="1:15" x14ac:dyDescent="0.25">
      <c r="A60">
        <f>Faces!A60</f>
        <v>50</v>
      </c>
      <c r="B60" s="21">
        <f>Faces!B60</f>
        <v>5</v>
      </c>
      <c r="C60" s="22">
        <f>VLOOKUP(B60,Vertices!$A$11:$J$203,7,FALSE )-$C$7</f>
        <v>8.5150000000000006</v>
      </c>
      <c r="D60" s="22">
        <f>VLOOKUP(B60,Vertices!$A$11:$J$203,8,FALSE )-$D$7</f>
        <v>52.78</v>
      </c>
      <c r="E60" s="23">
        <f>VLOOKUP(B60,Vertices!$A$11:$J$203,9,FALSE )-$E$7</f>
        <v>-6.79</v>
      </c>
      <c r="F60" s="21">
        <f>Faces!C60</f>
        <v>6</v>
      </c>
      <c r="G60" s="22">
        <f>VLOOKUP(F60,Vertices!$A$11:$J$203,7,FALSE )-$C$7</f>
        <v>-3.4549999999999983</v>
      </c>
      <c r="H60" s="22">
        <f>VLOOKUP(F60,Vertices!$A$11:$J$203,8,FALSE )-$D$7</f>
        <v>75</v>
      </c>
      <c r="I60" s="23">
        <f>VLOOKUP(F60,Vertices!$A$11:$J$203,9,FALSE )-$E$7</f>
        <v>-4</v>
      </c>
      <c r="J60" s="21">
        <f>Faces!D60</f>
        <v>12</v>
      </c>
      <c r="K60" s="22">
        <f>VLOOKUP(J60,Vertices!$A$11:$J$203,7,FALSE )-$C$7</f>
        <v>-5.634999999999998</v>
      </c>
      <c r="L60" s="22">
        <f>VLOOKUP(J60,Vertices!$A$11:$J$203,8,FALSE )-$D$7</f>
        <v>69.39</v>
      </c>
      <c r="M60" s="23">
        <f>VLOOKUP(J60,Vertices!$A$11:$J$203,9,FALSE )-$E$7</f>
        <v>-8.6300000000000008</v>
      </c>
      <c r="N60" s="16">
        <f t="shared" si="0"/>
        <v>795.62407524999992</v>
      </c>
      <c r="O60" s="16">
        <f t="shared" si="1"/>
        <v>795.62407524999992</v>
      </c>
    </row>
    <row r="61" spans="1:15" x14ac:dyDescent="0.25">
      <c r="A61">
        <f>Faces!A61</f>
        <v>51</v>
      </c>
      <c r="B61" s="21">
        <f>Faces!B61</f>
        <v>1</v>
      </c>
      <c r="C61" s="22">
        <f>VLOOKUP(B61,Vertices!$A$11:$J$203,7,FALSE )-$C$7</f>
        <v>43.545000000000002</v>
      </c>
      <c r="D61" s="22">
        <f>VLOOKUP(B61,Vertices!$A$11:$J$203,8,FALSE )-$D$7</f>
        <v>1</v>
      </c>
      <c r="E61" s="23">
        <f>VLOOKUP(B61,Vertices!$A$11:$J$203,9,FALSE )-$E$7</f>
        <v>-4</v>
      </c>
      <c r="F61" s="21">
        <f>Faces!C61</f>
        <v>38</v>
      </c>
      <c r="G61" s="22">
        <f>VLOOKUP(F61,Vertices!$A$11:$J$203,7,FALSE )-$C$7</f>
        <v>37.805000000000007</v>
      </c>
      <c r="H61" s="22">
        <f>VLOOKUP(F61,Vertices!$A$11:$J$203,8,FALSE )-$D$7</f>
        <v>6.85</v>
      </c>
      <c r="I61" s="23">
        <f>VLOOKUP(F61,Vertices!$A$11:$J$203,9,FALSE )-$E$7</f>
        <v>3.27</v>
      </c>
      <c r="J61" s="21">
        <f>Faces!D61</f>
        <v>2</v>
      </c>
      <c r="K61" s="22">
        <f>VLOOKUP(J61,Vertices!$A$11:$J$203,7,FALSE )-$C$7</f>
        <v>38.435000000000002</v>
      </c>
      <c r="L61" s="22">
        <f>VLOOKUP(J61,Vertices!$A$11:$J$203,8,FALSE )-$D$7</f>
        <v>7.72</v>
      </c>
      <c r="M61" s="23">
        <f>VLOOKUP(J61,Vertices!$A$11:$J$203,9,FALSE )-$E$7</f>
        <v>-5.04</v>
      </c>
      <c r="N61" s="16">
        <f t="shared" si="0"/>
        <v>400.11578800000007</v>
      </c>
      <c r="O61" s="16">
        <f t="shared" si="1"/>
        <v>400.11578800000007</v>
      </c>
    </row>
    <row r="62" spans="1:15" x14ac:dyDescent="0.25">
      <c r="A62">
        <f>Faces!A62</f>
        <v>52</v>
      </c>
      <c r="B62" s="21">
        <f>Faces!B62</f>
        <v>1</v>
      </c>
      <c r="C62" s="22">
        <f>VLOOKUP(B62,Vertices!$A$11:$J$203,7,FALSE )-$C$7</f>
        <v>43.545000000000002</v>
      </c>
      <c r="D62" s="22">
        <f>VLOOKUP(B62,Vertices!$A$11:$J$203,8,FALSE )-$D$7</f>
        <v>1</v>
      </c>
      <c r="E62" s="23">
        <f>VLOOKUP(B62,Vertices!$A$11:$J$203,9,FALSE )-$E$7</f>
        <v>-4</v>
      </c>
      <c r="F62" s="21">
        <f>Faces!C62</f>
        <v>37</v>
      </c>
      <c r="G62" s="22">
        <f>VLOOKUP(F62,Vertices!$A$11:$J$203,7,FALSE )-$C$7</f>
        <v>42.765000000000001</v>
      </c>
      <c r="H62" s="22">
        <f>VLOOKUP(F62,Vertices!$A$11:$J$203,8,FALSE )-$D$7</f>
        <v>0.12</v>
      </c>
      <c r="I62" s="23">
        <f>VLOOKUP(F62,Vertices!$A$11:$J$203,9,FALSE )-$E$7</f>
        <v>4.76</v>
      </c>
      <c r="J62" s="21">
        <f>Faces!D62</f>
        <v>38</v>
      </c>
      <c r="K62" s="22">
        <f>VLOOKUP(J62,Vertices!$A$11:$J$203,7,FALSE )-$C$7</f>
        <v>37.805000000000007</v>
      </c>
      <c r="L62" s="22">
        <f>VLOOKUP(J62,Vertices!$A$11:$J$203,8,FALSE )-$D$7</f>
        <v>6.85</v>
      </c>
      <c r="M62" s="23">
        <f>VLOOKUP(J62,Vertices!$A$11:$J$203,9,FALSE )-$E$7</f>
        <v>3.27</v>
      </c>
      <c r="N62" s="16">
        <f t="shared" si="0"/>
        <v>419.37426033333332</v>
      </c>
      <c r="O62" s="16">
        <f t="shared" si="1"/>
        <v>419.37426033333332</v>
      </c>
    </row>
    <row r="63" spans="1:15" x14ac:dyDescent="0.25">
      <c r="A63">
        <f>Faces!A63</f>
        <v>53</v>
      </c>
      <c r="B63" s="21">
        <f>Faces!B63</f>
        <v>2</v>
      </c>
      <c r="C63" s="22">
        <f>VLOOKUP(B63,Vertices!$A$11:$J$203,7,FALSE )-$C$7</f>
        <v>38.435000000000002</v>
      </c>
      <c r="D63" s="22">
        <f>VLOOKUP(B63,Vertices!$A$11:$J$203,8,FALSE )-$D$7</f>
        <v>7.72</v>
      </c>
      <c r="E63" s="23">
        <f>VLOOKUP(B63,Vertices!$A$11:$J$203,9,FALSE )-$E$7</f>
        <v>-5.04</v>
      </c>
      <c r="F63" s="21">
        <f>Faces!C63</f>
        <v>39</v>
      </c>
      <c r="G63" s="22">
        <f>VLOOKUP(F63,Vertices!$A$11:$J$203,7,FALSE )-$C$7</f>
        <v>33.045000000000002</v>
      </c>
      <c r="H63" s="22">
        <f>VLOOKUP(F63,Vertices!$A$11:$J$203,8,FALSE )-$D$7</f>
        <v>13.39</v>
      </c>
      <c r="I63" s="23">
        <f>VLOOKUP(F63,Vertices!$A$11:$J$203,9,FALSE )-$E$7</f>
        <v>1.97</v>
      </c>
      <c r="J63" s="21">
        <f>Faces!D63</f>
        <v>3</v>
      </c>
      <c r="K63" s="22">
        <f>VLOOKUP(J63,Vertices!$A$11:$J$203,7,FALSE )-$C$7</f>
        <v>33.594999999999999</v>
      </c>
      <c r="L63" s="22">
        <f>VLOOKUP(J63,Vertices!$A$11:$J$203,8,FALSE )-$D$7</f>
        <v>14.22</v>
      </c>
      <c r="M63" s="23">
        <f>VLOOKUP(J63,Vertices!$A$11:$J$203,9,FALSE )-$E$7</f>
        <v>-5.96</v>
      </c>
      <c r="N63" s="16">
        <f t="shared" si="0"/>
        <v>368.95460083333347</v>
      </c>
      <c r="O63" s="16">
        <f t="shared" si="1"/>
        <v>368.95460083333347</v>
      </c>
    </row>
    <row r="64" spans="1:15" x14ac:dyDescent="0.25">
      <c r="A64">
        <f>Faces!A64</f>
        <v>54</v>
      </c>
      <c r="B64" s="21">
        <f>Faces!B64</f>
        <v>2</v>
      </c>
      <c r="C64" s="22">
        <f>VLOOKUP(B64,Vertices!$A$11:$J$203,7,FALSE )-$C$7</f>
        <v>38.435000000000002</v>
      </c>
      <c r="D64" s="22">
        <f>VLOOKUP(B64,Vertices!$A$11:$J$203,8,FALSE )-$D$7</f>
        <v>7.72</v>
      </c>
      <c r="E64" s="23">
        <f>VLOOKUP(B64,Vertices!$A$11:$J$203,9,FALSE )-$E$7</f>
        <v>-5.04</v>
      </c>
      <c r="F64" s="21">
        <f>Faces!C64</f>
        <v>38</v>
      </c>
      <c r="G64" s="22">
        <f>VLOOKUP(F64,Vertices!$A$11:$J$203,7,FALSE )-$C$7</f>
        <v>37.805000000000007</v>
      </c>
      <c r="H64" s="22">
        <f>VLOOKUP(F64,Vertices!$A$11:$J$203,8,FALSE )-$D$7</f>
        <v>6.85</v>
      </c>
      <c r="I64" s="23">
        <f>VLOOKUP(F64,Vertices!$A$11:$J$203,9,FALSE )-$E$7</f>
        <v>3.27</v>
      </c>
      <c r="J64" s="21">
        <f>Faces!D64</f>
        <v>39</v>
      </c>
      <c r="K64" s="22">
        <f>VLOOKUP(J64,Vertices!$A$11:$J$203,7,FALSE )-$C$7</f>
        <v>33.045000000000002</v>
      </c>
      <c r="L64" s="22">
        <f>VLOOKUP(J64,Vertices!$A$11:$J$203,8,FALSE )-$D$7</f>
        <v>13.39</v>
      </c>
      <c r="M64" s="23">
        <f>VLOOKUP(J64,Vertices!$A$11:$J$203,9,FALSE )-$E$7</f>
        <v>1.97</v>
      </c>
      <c r="N64" s="16">
        <f t="shared" si="0"/>
        <v>385.90446500000013</v>
      </c>
      <c r="O64" s="16">
        <f t="shared" si="1"/>
        <v>385.90446500000013</v>
      </c>
    </row>
    <row r="65" spans="1:15" x14ac:dyDescent="0.25">
      <c r="A65">
        <f>Faces!A65</f>
        <v>55</v>
      </c>
      <c r="B65" s="21">
        <f>Faces!B65</f>
        <v>38</v>
      </c>
      <c r="C65" s="22">
        <f>VLOOKUP(B65,Vertices!$A$11:$J$203,7,FALSE )-$C$7</f>
        <v>37.805000000000007</v>
      </c>
      <c r="D65" s="22">
        <f>VLOOKUP(B65,Vertices!$A$11:$J$203,8,FALSE )-$D$7</f>
        <v>6.85</v>
      </c>
      <c r="E65" s="23">
        <f>VLOOKUP(B65,Vertices!$A$11:$J$203,9,FALSE )-$E$7</f>
        <v>3.27</v>
      </c>
      <c r="F65" s="21">
        <f>Faces!C65</f>
        <v>50</v>
      </c>
      <c r="G65" s="22">
        <f>VLOOKUP(F65,Vertices!$A$11:$J$203,7,FALSE )-$C$7</f>
        <v>32.495000000000005</v>
      </c>
      <c r="H65" s="22">
        <f>VLOOKUP(F65,Vertices!$A$11:$J$203,8,FALSE )-$D$7</f>
        <v>12.54</v>
      </c>
      <c r="I65" s="23">
        <f>VLOOKUP(F65,Vertices!$A$11:$J$203,9,FALSE )-$E$7</f>
        <v>9.9</v>
      </c>
      <c r="J65" s="21">
        <f>Faces!D65</f>
        <v>39</v>
      </c>
      <c r="K65" s="22">
        <f>VLOOKUP(J65,Vertices!$A$11:$J$203,7,FALSE )-$C$7</f>
        <v>33.045000000000002</v>
      </c>
      <c r="L65" s="22">
        <f>VLOOKUP(J65,Vertices!$A$11:$J$203,8,FALSE )-$D$7</f>
        <v>13.39</v>
      </c>
      <c r="M65" s="23">
        <f>VLOOKUP(J65,Vertices!$A$11:$J$203,9,FALSE )-$E$7</f>
        <v>1.97</v>
      </c>
      <c r="N65" s="16">
        <f t="shared" si="0"/>
        <v>367.88864766666694</v>
      </c>
      <c r="O65" s="16">
        <f t="shared" si="1"/>
        <v>367.88864766666694</v>
      </c>
    </row>
    <row r="66" spans="1:15" x14ac:dyDescent="0.25">
      <c r="A66">
        <f>Faces!A66</f>
        <v>56</v>
      </c>
      <c r="B66" s="21">
        <f>Faces!B66</f>
        <v>38</v>
      </c>
      <c r="C66" s="22">
        <f>VLOOKUP(B66,Vertices!$A$11:$J$203,7,FALSE )-$C$7</f>
        <v>37.805000000000007</v>
      </c>
      <c r="D66" s="22">
        <f>VLOOKUP(B66,Vertices!$A$11:$J$203,8,FALSE )-$D$7</f>
        <v>6.85</v>
      </c>
      <c r="E66" s="23">
        <f>VLOOKUP(B66,Vertices!$A$11:$J$203,9,FALSE )-$E$7</f>
        <v>3.27</v>
      </c>
      <c r="F66" s="21">
        <f>Faces!C66</f>
        <v>49</v>
      </c>
      <c r="G66" s="22">
        <f>VLOOKUP(F66,Vertices!$A$11:$J$203,7,FALSE )-$C$7</f>
        <v>37.144999999999996</v>
      </c>
      <c r="H66" s="22">
        <f>VLOOKUP(F66,Vertices!$A$11:$J$203,8,FALSE )-$D$7</f>
        <v>6.01</v>
      </c>
      <c r="I66" s="23">
        <f>VLOOKUP(F66,Vertices!$A$11:$J$203,9,FALSE )-$E$7</f>
        <v>11.51</v>
      </c>
      <c r="J66" s="21">
        <f>Faces!D66</f>
        <v>50</v>
      </c>
      <c r="K66" s="22">
        <f>VLOOKUP(J66,Vertices!$A$11:$J$203,7,FALSE )-$C$7</f>
        <v>32.495000000000005</v>
      </c>
      <c r="L66" s="22">
        <f>VLOOKUP(J66,Vertices!$A$11:$J$203,8,FALSE )-$D$7</f>
        <v>12.54</v>
      </c>
      <c r="M66" s="23">
        <f>VLOOKUP(J66,Vertices!$A$11:$J$203,9,FALSE )-$E$7</f>
        <v>9.9</v>
      </c>
      <c r="N66" s="16">
        <f t="shared" si="0"/>
        <v>379.94379833333329</v>
      </c>
      <c r="O66" s="16">
        <f t="shared" si="1"/>
        <v>379.94379833333329</v>
      </c>
    </row>
    <row r="67" spans="1:15" x14ac:dyDescent="0.25">
      <c r="A67">
        <f>Faces!A67</f>
        <v>57</v>
      </c>
      <c r="B67" s="21">
        <f>Faces!B67</f>
        <v>37</v>
      </c>
      <c r="C67" s="22">
        <f>VLOOKUP(B67,Vertices!$A$11:$J$203,7,FALSE )-$C$7</f>
        <v>42.765000000000001</v>
      </c>
      <c r="D67" s="22">
        <f>VLOOKUP(B67,Vertices!$A$11:$J$203,8,FALSE )-$D$7</f>
        <v>0.12</v>
      </c>
      <c r="E67" s="23">
        <f>VLOOKUP(B67,Vertices!$A$11:$J$203,9,FALSE )-$E$7</f>
        <v>4.76</v>
      </c>
      <c r="F67" s="21">
        <f>Faces!C67</f>
        <v>49</v>
      </c>
      <c r="G67" s="22">
        <f>VLOOKUP(F67,Vertices!$A$11:$J$203,7,FALSE )-$C$7</f>
        <v>37.144999999999996</v>
      </c>
      <c r="H67" s="22">
        <f>VLOOKUP(F67,Vertices!$A$11:$J$203,8,FALSE )-$D$7</f>
        <v>6.01</v>
      </c>
      <c r="I67" s="23">
        <f>VLOOKUP(F67,Vertices!$A$11:$J$203,9,FALSE )-$E$7</f>
        <v>11.51</v>
      </c>
      <c r="J67" s="21">
        <f>Faces!D67</f>
        <v>38</v>
      </c>
      <c r="K67" s="22">
        <f>VLOOKUP(J67,Vertices!$A$11:$J$203,7,FALSE )-$C$7</f>
        <v>37.805000000000007</v>
      </c>
      <c r="L67" s="22">
        <f>VLOOKUP(J67,Vertices!$A$11:$J$203,8,FALSE )-$D$7</f>
        <v>6.85</v>
      </c>
      <c r="M67" s="23">
        <f>VLOOKUP(J67,Vertices!$A$11:$J$203,9,FALSE )-$E$7</f>
        <v>3.27</v>
      </c>
      <c r="N67" s="16">
        <f t="shared" si="0"/>
        <v>394.00240700000001</v>
      </c>
      <c r="O67" s="16">
        <f t="shared" si="1"/>
        <v>394.00240700000001</v>
      </c>
    </row>
    <row r="68" spans="1:15" x14ac:dyDescent="0.25">
      <c r="A68">
        <f>Faces!A68</f>
        <v>58</v>
      </c>
      <c r="B68" s="21">
        <f>Faces!B68</f>
        <v>37</v>
      </c>
      <c r="C68" s="22">
        <f>VLOOKUP(B68,Vertices!$A$11:$J$203,7,FALSE )-$C$7</f>
        <v>42.765000000000001</v>
      </c>
      <c r="D68" s="22">
        <f>VLOOKUP(B68,Vertices!$A$11:$J$203,8,FALSE )-$D$7</f>
        <v>0.12</v>
      </c>
      <c r="E68" s="23">
        <f>VLOOKUP(B68,Vertices!$A$11:$J$203,9,FALSE )-$E$7</f>
        <v>4.76</v>
      </c>
      <c r="F68" s="21">
        <f>Faces!C68</f>
        <v>48</v>
      </c>
      <c r="G68" s="22">
        <f>VLOOKUP(F68,Vertices!$A$11:$J$203,7,FALSE )-$C$7</f>
        <v>42.034999999999997</v>
      </c>
      <c r="H68" s="22">
        <f>VLOOKUP(F68,Vertices!$A$11:$J$203,8,FALSE )-$D$7</f>
        <v>-0.71</v>
      </c>
      <c r="I68" s="23">
        <f>VLOOKUP(F68,Vertices!$A$11:$J$203,9,FALSE )-$E$7</f>
        <v>13.36</v>
      </c>
      <c r="J68" s="21">
        <f>Faces!D68</f>
        <v>49</v>
      </c>
      <c r="K68" s="22">
        <f>VLOOKUP(J68,Vertices!$A$11:$J$203,7,FALSE )-$C$7</f>
        <v>37.144999999999996</v>
      </c>
      <c r="L68" s="22">
        <f>VLOOKUP(J68,Vertices!$A$11:$J$203,8,FALSE )-$D$7</f>
        <v>6.01</v>
      </c>
      <c r="M68" s="23">
        <f>VLOOKUP(J68,Vertices!$A$11:$J$203,9,FALSE )-$E$7</f>
        <v>11.51</v>
      </c>
      <c r="N68" s="16">
        <f t="shared" si="0"/>
        <v>408.94797175000002</v>
      </c>
      <c r="O68" s="16">
        <f t="shared" si="1"/>
        <v>408.94797175000002</v>
      </c>
    </row>
    <row r="69" spans="1:15" x14ac:dyDescent="0.25">
      <c r="A69">
        <f>Faces!A69</f>
        <v>59</v>
      </c>
      <c r="B69" s="21">
        <f>Faces!B69</f>
        <v>3</v>
      </c>
      <c r="C69" s="22">
        <f>VLOOKUP(B69,Vertices!$A$11:$J$203,7,FALSE )-$C$7</f>
        <v>33.594999999999999</v>
      </c>
      <c r="D69" s="22">
        <f>VLOOKUP(B69,Vertices!$A$11:$J$203,8,FALSE )-$D$7</f>
        <v>14.22</v>
      </c>
      <c r="E69" s="23">
        <f>VLOOKUP(B69,Vertices!$A$11:$J$203,9,FALSE )-$E$7</f>
        <v>-5.96</v>
      </c>
      <c r="F69" s="21">
        <f>Faces!C69</f>
        <v>40</v>
      </c>
      <c r="G69" s="22">
        <f>VLOOKUP(F69,Vertices!$A$11:$J$203,7,FALSE )-$C$7</f>
        <v>23.275000000000006</v>
      </c>
      <c r="H69" s="22">
        <f>VLOOKUP(F69,Vertices!$A$11:$J$203,8,FALSE )-$D$7</f>
        <v>27.53</v>
      </c>
      <c r="I69" s="23">
        <f>VLOOKUP(F69,Vertices!$A$11:$J$203,9,FALSE )-$E$7</f>
        <v>0.06</v>
      </c>
      <c r="J69" s="21">
        <f>Faces!D69</f>
        <v>4</v>
      </c>
      <c r="K69" s="22">
        <f>VLOOKUP(J69,Vertices!$A$11:$J$203,7,FALSE )-$C$7</f>
        <v>23.635000000000005</v>
      </c>
      <c r="L69" s="22">
        <f>VLOOKUP(J69,Vertices!$A$11:$J$203,8,FALSE )-$D$7</f>
        <v>28.3</v>
      </c>
      <c r="M69" s="23">
        <f>VLOOKUP(J69,Vertices!$A$11:$J$203,9,FALSE )-$E$7</f>
        <v>-7.25</v>
      </c>
      <c r="N69" s="16">
        <f t="shared" si="0"/>
        <v>731.73301708333292</v>
      </c>
      <c r="O69" s="16">
        <f t="shared" si="1"/>
        <v>731.73301708333292</v>
      </c>
    </row>
    <row r="70" spans="1:15" x14ac:dyDescent="0.25">
      <c r="A70">
        <f>Faces!A70</f>
        <v>60</v>
      </c>
      <c r="B70" s="21">
        <f>Faces!B70</f>
        <v>3</v>
      </c>
      <c r="C70" s="22">
        <f>VLOOKUP(B70,Vertices!$A$11:$J$203,7,FALSE )-$C$7</f>
        <v>33.594999999999999</v>
      </c>
      <c r="D70" s="22">
        <f>VLOOKUP(B70,Vertices!$A$11:$J$203,8,FALSE )-$D$7</f>
        <v>14.22</v>
      </c>
      <c r="E70" s="23">
        <f>VLOOKUP(B70,Vertices!$A$11:$J$203,9,FALSE )-$E$7</f>
        <v>-5.96</v>
      </c>
      <c r="F70" s="21">
        <f>Faces!C70</f>
        <v>39</v>
      </c>
      <c r="G70" s="22">
        <f>VLOOKUP(F70,Vertices!$A$11:$J$203,7,FALSE )-$C$7</f>
        <v>33.045000000000002</v>
      </c>
      <c r="H70" s="22">
        <f>VLOOKUP(F70,Vertices!$A$11:$J$203,8,FALSE )-$D$7</f>
        <v>13.39</v>
      </c>
      <c r="I70" s="23">
        <f>VLOOKUP(F70,Vertices!$A$11:$J$203,9,FALSE )-$E$7</f>
        <v>1.97</v>
      </c>
      <c r="J70" s="21">
        <f>Faces!D70</f>
        <v>40</v>
      </c>
      <c r="K70" s="22">
        <f>VLOOKUP(J70,Vertices!$A$11:$J$203,7,FALSE )-$C$7</f>
        <v>23.275000000000006</v>
      </c>
      <c r="L70" s="22">
        <f>VLOOKUP(J70,Vertices!$A$11:$J$203,8,FALSE )-$D$7</f>
        <v>27.53</v>
      </c>
      <c r="M70" s="23">
        <f>VLOOKUP(J70,Vertices!$A$11:$J$203,9,FALSE )-$E$7</f>
        <v>0.06</v>
      </c>
      <c r="N70" s="16">
        <f t="shared" si="0"/>
        <v>789.28716858333325</v>
      </c>
      <c r="O70" s="16">
        <f t="shared" si="1"/>
        <v>789.28716858333325</v>
      </c>
    </row>
    <row r="71" spans="1:15" x14ac:dyDescent="0.25">
      <c r="A71">
        <f>Faces!A71</f>
        <v>61</v>
      </c>
      <c r="B71" s="21">
        <f>Faces!B71</f>
        <v>39</v>
      </c>
      <c r="C71" s="22">
        <f>VLOOKUP(B71,Vertices!$A$11:$J$203,7,FALSE )-$C$7</f>
        <v>33.045000000000002</v>
      </c>
      <c r="D71" s="22">
        <f>VLOOKUP(B71,Vertices!$A$11:$J$203,8,FALSE )-$D$7</f>
        <v>13.39</v>
      </c>
      <c r="E71" s="23">
        <f>VLOOKUP(B71,Vertices!$A$11:$J$203,9,FALSE )-$E$7</f>
        <v>1.97</v>
      </c>
      <c r="F71" s="21">
        <f>Faces!C71</f>
        <v>51</v>
      </c>
      <c r="G71" s="22">
        <f>VLOOKUP(F71,Vertices!$A$11:$J$203,7,FALSE )-$C$7</f>
        <v>22.924999999999997</v>
      </c>
      <c r="H71" s="22">
        <f>VLOOKUP(F71,Vertices!$A$11:$J$203,8,FALSE )-$D$7</f>
        <v>26.78</v>
      </c>
      <c r="I71" s="23">
        <f>VLOOKUP(F71,Vertices!$A$11:$J$203,9,FALSE )-$E$7</f>
        <v>7.27</v>
      </c>
      <c r="J71" s="21">
        <f>Faces!D71</f>
        <v>40</v>
      </c>
      <c r="K71" s="22">
        <f>VLOOKUP(J71,Vertices!$A$11:$J$203,7,FALSE )-$C$7</f>
        <v>23.275000000000006</v>
      </c>
      <c r="L71" s="22">
        <f>VLOOKUP(J71,Vertices!$A$11:$J$203,8,FALSE )-$D$7</f>
        <v>27.53</v>
      </c>
      <c r="M71" s="23">
        <f>VLOOKUP(J71,Vertices!$A$11:$J$203,9,FALSE )-$E$7</f>
        <v>0.06</v>
      </c>
      <c r="N71" s="16">
        <f t="shared" si="0"/>
        <v>716.32187391666685</v>
      </c>
      <c r="O71" s="16">
        <f t="shared" si="1"/>
        <v>716.32187391666685</v>
      </c>
    </row>
    <row r="72" spans="1:15" x14ac:dyDescent="0.25">
      <c r="A72">
        <f>Faces!A72</f>
        <v>62</v>
      </c>
      <c r="B72" s="21">
        <f>Faces!B72</f>
        <v>39</v>
      </c>
      <c r="C72" s="22">
        <f>VLOOKUP(B72,Vertices!$A$11:$J$203,7,FALSE )-$C$7</f>
        <v>33.045000000000002</v>
      </c>
      <c r="D72" s="22">
        <f>VLOOKUP(B72,Vertices!$A$11:$J$203,8,FALSE )-$D$7</f>
        <v>13.39</v>
      </c>
      <c r="E72" s="23">
        <f>VLOOKUP(B72,Vertices!$A$11:$J$203,9,FALSE )-$E$7</f>
        <v>1.97</v>
      </c>
      <c r="F72" s="21">
        <f>Faces!C72</f>
        <v>50</v>
      </c>
      <c r="G72" s="22">
        <f>VLOOKUP(F72,Vertices!$A$11:$J$203,7,FALSE )-$C$7</f>
        <v>32.495000000000005</v>
      </c>
      <c r="H72" s="22">
        <f>VLOOKUP(F72,Vertices!$A$11:$J$203,8,FALSE )-$D$7</f>
        <v>12.54</v>
      </c>
      <c r="I72" s="23">
        <f>VLOOKUP(F72,Vertices!$A$11:$J$203,9,FALSE )-$E$7</f>
        <v>9.9</v>
      </c>
      <c r="J72" s="21">
        <f>Faces!D72</f>
        <v>51</v>
      </c>
      <c r="K72" s="22">
        <f>VLOOKUP(J72,Vertices!$A$11:$J$203,7,FALSE )-$C$7</f>
        <v>22.924999999999997</v>
      </c>
      <c r="L72" s="22">
        <f>VLOOKUP(J72,Vertices!$A$11:$J$203,8,FALSE )-$D$7</f>
        <v>26.78</v>
      </c>
      <c r="M72" s="23">
        <f>VLOOKUP(J72,Vertices!$A$11:$J$203,9,FALSE )-$E$7</f>
        <v>7.27</v>
      </c>
      <c r="N72" s="16">
        <f t="shared" si="0"/>
        <v>787.44435425000017</v>
      </c>
      <c r="O72" s="16">
        <f t="shared" si="1"/>
        <v>787.44435425000017</v>
      </c>
    </row>
    <row r="73" spans="1:15" x14ac:dyDescent="0.25">
      <c r="A73">
        <f>Faces!A73</f>
        <v>63</v>
      </c>
      <c r="B73" s="21">
        <f>Faces!B73</f>
        <v>50</v>
      </c>
      <c r="C73" s="22">
        <f>VLOOKUP(B73,Vertices!$A$11:$J$203,7,FALSE )-$C$7</f>
        <v>32.495000000000005</v>
      </c>
      <c r="D73" s="22">
        <f>VLOOKUP(B73,Vertices!$A$11:$J$203,8,FALSE )-$D$7</f>
        <v>12.54</v>
      </c>
      <c r="E73" s="23">
        <f>VLOOKUP(B73,Vertices!$A$11:$J$203,9,FALSE )-$E$7</f>
        <v>9.9</v>
      </c>
      <c r="F73" s="21">
        <f>Faces!C73</f>
        <v>62</v>
      </c>
      <c r="G73" s="22">
        <f>VLOOKUP(F73,Vertices!$A$11:$J$203,7,FALSE )-$C$7</f>
        <v>22.225000000000009</v>
      </c>
      <c r="H73" s="22">
        <f>VLOOKUP(F73,Vertices!$A$11:$J$203,8,FALSE )-$D$7</f>
        <v>25.38</v>
      </c>
      <c r="I73" s="23">
        <f>VLOOKUP(F73,Vertices!$A$11:$J$203,9,FALSE )-$E$7</f>
        <v>22.21</v>
      </c>
      <c r="J73" s="21">
        <f>Faces!D73</f>
        <v>51</v>
      </c>
      <c r="K73" s="22">
        <f>VLOOKUP(J73,Vertices!$A$11:$J$203,7,FALSE )-$C$7</f>
        <v>22.924999999999997</v>
      </c>
      <c r="L73" s="22">
        <f>VLOOKUP(J73,Vertices!$A$11:$J$203,8,FALSE )-$D$7</f>
        <v>26.78</v>
      </c>
      <c r="M73" s="23">
        <f>VLOOKUP(J73,Vertices!$A$11:$J$203,9,FALSE )-$E$7</f>
        <v>7.27</v>
      </c>
      <c r="N73" s="16">
        <f t="shared" si="0"/>
        <v>1473.4746256666676</v>
      </c>
      <c r="O73" s="16">
        <f t="shared" si="1"/>
        <v>1473.4746256666676</v>
      </c>
    </row>
    <row r="74" spans="1:15" x14ac:dyDescent="0.25">
      <c r="A74">
        <f>Faces!A74</f>
        <v>64</v>
      </c>
      <c r="B74" s="21">
        <f>Faces!B74</f>
        <v>50</v>
      </c>
      <c r="C74" s="22">
        <f>VLOOKUP(B74,Vertices!$A$11:$J$203,7,FALSE )-$C$7</f>
        <v>32.495000000000005</v>
      </c>
      <c r="D74" s="22">
        <f>VLOOKUP(B74,Vertices!$A$11:$J$203,8,FALSE )-$D$7</f>
        <v>12.54</v>
      </c>
      <c r="E74" s="23">
        <f>VLOOKUP(B74,Vertices!$A$11:$J$203,9,FALSE )-$E$7</f>
        <v>9.9</v>
      </c>
      <c r="F74" s="21">
        <f>Faces!C74</f>
        <v>61</v>
      </c>
      <c r="G74" s="22">
        <f>VLOOKUP(F74,Vertices!$A$11:$J$203,7,FALSE )-$C$7</f>
        <v>31.445000000000007</v>
      </c>
      <c r="H74" s="22">
        <f>VLOOKUP(F74,Vertices!$A$11:$J$203,8,FALSE )-$D$7</f>
        <v>11.2</v>
      </c>
      <c r="I74" s="23">
        <f>VLOOKUP(F74,Vertices!$A$11:$J$203,9,FALSE )-$E$7</f>
        <v>26.63</v>
      </c>
      <c r="J74" s="21">
        <f>Faces!D74</f>
        <v>62</v>
      </c>
      <c r="K74" s="22">
        <f>VLOOKUP(J74,Vertices!$A$11:$J$203,7,FALSE )-$C$7</f>
        <v>22.225000000000009</v>
      </c>
      <c r="L74" s="22">
        <f>VLOOKUP(J74,Vertices!$A$11:$J$203,8,FALSE )-$D$7</f>
        <v>25.38</v>
      </c>
      <c r="M74" s="23">
        <f>VLOOKUP(J74,Vertices!$A$11:$J$203,9,FALSE )-$E$7</f>
        <v>22.21</v>
      </c>
      <c r="N74" s="16">
        <f t="shared" si="0"/>
        <v>1629.7645401666666</v>
      </c>
      <c r="O74" s="16">
        <f t="shared" si="1"/>
        <v>1629.7645401666666</v>
      </c>
    </row>
    <row r="75" spans="1:15" x14ac:dyDescent="0.25">
      <c r="A75">
        <f>Faces!A75</f>
        <v>65</v>
      </c>
      <c r="B75" s="21">
        <f>Faces!B75</f>
        <v>49</v>
      </c>
      <c r="C75" s="22">
        <f>VLOOKUP(B75,Vertices!$A$11:$J$203,7,FALSE )-$C$7</f>
        <v>37.144999999999996</v>
      </c>
      <c r="D75" s="22">
        <f>VLOOKUP(B75,Vertices!$A$11:$J$203,8,FALSE )-$D$7</f>
        <v>6.01</v>
      </c>
      <c r="E75" s="23">
        <f>VLOOKUP(B75,Vertices!$A$11:$J$203,9,FALSE )-$E$7</f>
        <v>11.51</v>
      </c>
      <c r="F75" s="21">
        <f>Faces!C75</f>
        <v>61</v>
      </c>
      <c r="G75" s="22">
        <f>VLOOKUP(F75,Vertices!$A$11:$J$203,7,FALSE )-$C$7</f>
        <v>31.445000000000007</v>
      </c>
      <c r="H75" s="22">
        <f>VLOOKUP(F75,Vertices!$A$11:$J$203,8,FALSE )-$D$7</f>
        <v>11.2</v>
      </c>
      <c r="I75" s="23">
        <f>VLOOKUP(F75,Vertices!$A$11:$J$203,9,FALSE )-$E$7</f>
        <v>26.63</v>
      </c>
      <c r="J75" s="21">
        <f>Faces!D75</f>
        <v>50</v>
      </c>
      <c r="K75" s="22">
        <f>VLOOKUP(J75,Vertices!$A$11:$J$203,7,FALSE )-$C$7</f>
        <v>32.495000000000005</v>
      </c>
      <c r="L75" s="22">
        <f>VLOOKUP(J75,Vertices!$A$11:$J$203,8,FALSE )-$D$7</f>
        <v>12.54</v>
      </c>
      <c r="M75" s="23">
        <f>VLOOKUP(J75,Vertices!$A$11:$J$203,9,FALSE )-$E$7</f>
        <v>9.9</v>
      </c>
      <c r="N75" s="16">
        <f t="shared" si="0"/>
        <v>767.69690874999935</v>
      </c>
      <c r="O75" s="16">
        <f t="shared" si="1"/>
        <v>767.69690874999935</v>
      </c>
    </row>
    <row r="76" spans="1:15" x14ac:dyDescent="0.25">
      <c r="A76">
        <f>Faces!A76</f>
        <v>66</v>
      </c>
      <c r="B76" s="21">
        <f>Faces!B76</f>
        <v>49</v>
      </c>
      <c r="C76" s="22">
        <f>VLOOKUP(B76,Vertices!$A$11:$J$203,7,FALSE )-$C$7</f>
        <v>37.144999999999996</v>
      </c>
      <c r="D76" s="22">
        <f>VLOOKUP(B76,Vertices!$A$11:$J$203,8,FALSE )-$D$7</f>
        <v>6.01</v>
      </c>
      <c r="E76" s="23">
        <f>VLOOKUP(B76,Vertices!$A$11:$J$203,9,FALSE )-$E$7</f>
        <v>11.51</v>
      </c>
      <c r="F76" s="21">
        <f>Faces!C76</f>
        <v>60</v>
      </c>
      <c r="G76" s="22">
        <f>VLOOKUP(F76,Vertices!$A$11:$J$203,7,FALSE )-$C$7</f>
        <v>35.924999999999997</v>
      </c>
      <c r="H76" s="22">
        <f>VLOOKUP(F76,Vertices!$A$11:$J$203,8,FALSE )-$D$7</f>
        <v>4.6500000000000004</v>
      </c>
      <c r="I76" s="23">
        <f>VLOOKUP(F76,Vertices!$A$11:$J$203,9,FALSE )-$E$7</f>
        <v>28.98</v>
      </c>
      <c r="J76" s="21">
        <f>Faces!D76</f>
        <v>61</v>
      </c>
      <c r="K76" s="22">
        <f>VLOOKUP(J76,Vertices!$A$11:$J$203,7,FALSE )-$C$7</f>
        <v>31.445000000000007</v>
      </c>
      <c r="L76" s="22">
        <f>VLOOKUP(J76,Vertices!$A$11:$J$203,8,FALSE )-$D$7</f>
        <v>11.2</v>
      </c>
      <c r="M76" s="23">
        <f>VLOOKUP(J76,Vertices!$A$11:$J$203,9,FALSE )-$E$7</f>
        <v>26.63</v>
      </c>
      <c r="N76" s="16">
        <f t="shared" ref="N76:N139" si="2">-1*(C76*H76*M76+D76*I76*K76+E76*G76*L76-C76*I76*L76-D76*G76*M76-E76*H76*K76)/6</f>
        <v>796.90711274999978</v>
      </c>
      <c r="O76" s="16">
        <f t="shared" ref="O76:O139" si="3">ABS(N76)</f>
        <v>796.90711274999978</v>
      </c>
    </row>
    <row r="77" spans="1:15" x14ac:dyDescent="0.25">
      <c r="A77">
        <f>Faces!A77</f>
        <v>67</v>
      </c>
      <c r="B77" s="21">
        <f>Faces!B77</f>
        <v>48</v>
      </c>
      <c r="C77" s="22">
        <f>VLOOKUP(B77,Vertices!$A$11:$J$203,7,FALSE )-$C$7</f>
        <v>42.034999999999997</v>
      </c>
      <c r="D77" s="22">
        <f>VLOOKUP(B77,Vertices!$A$11:$J$203,8,FALSE )-$D$7</f>
        <v>-0.71</v>
      </c>
      <c r="E77" s="23">
        <f>VLOOKUP(B77,Vertices!$A$11:$J$203,9,FALSE )-$E$7</f>
        <v>13.36</v>
      </c>
      <c r="F77" s="21">
        <f>Faces!C77</f>
        <v>60</v>
      </c>
      <c r="G77" s="22">
        <f>VLOOKUP(F77,Vertices!$A$11:$J$203,7,FALSE )-$C$7</f>
        <v>35.924999999999997</v>
      </c>
      <c r="H77" s="22">
        <f>VLOOKUP(F77,Vertices!$A$11:$J$203,8,FALSE )-$D$7</f>
        <v>4.6500000000000004</v>
      </c>
      <c r="I77" s="23">
        <f>VLOOKUP(F77,Vertices!$A$11:$J$203,9,FALSE )-$E$7</f>
        <v>28.98</v>
      </c>
      <c r="J77" s="21">
        <f>Faces!D77</f>
        <v>49</v>
      </c>
      <c r="K77" s="22">
        <f>VLOOKUP(J77,Vertices!$A$11:$J$203,7,FALSE )-$C$7</f>
        <v>37.144999999999996</v>
      </c>
      <c r="L77" s="22">
        <f>VLOOKUP(J77,Vertices!$A$11:$J$203,8,FALSE )-$D$7</f>
        <v>6.01</v>
      </c>
      <c r="M77" s="23">
        <f>VLOOKUP(J77,Vertices!$A$11:$J$203,9,FALSE )-$E$7</f>
        <v>11.51</v>
      </c>
      <c r="N77" s="16">
        <f t="shared" si="2"/>
        <v>827.53418149999982</v>
      </c>
      <c r="O77" s="16">
        <f t="shared" si="3"/>
        <v>827.53418149999982</v>
      </c>
    </row>
    <row r="78" spans="1:15" x14ac:dyDescent="0.25">
      <c r="A78">
        <f>Faces!A78</f>
        <v>68</v>
      </c>
      <c r="B78" s="21">
        <f>Faces!B78</f>
        <v>48</v>
      </c>
      <c r="C78" s="22">
        <f>VLOOKUP(B78,Vertices!$A$11:$J$203,7,FALSE )-$C$7</f>
        <v>42.034999999999997</v>
      </c>
      <c r="D78" s="22">
        <f>VLOOKUP(B78,Vertices!$A$11:$J$203,8,FALSE )-$D$7</f>
        <v>-0.71</v>
      </c>
      <c r="E78" s="23">
        <f>VLOOKUP(B78,Vertices!$A$11:$J$203,9,FALSE )-$E$7</f>
        <v>13.36</v>
      </c>
      <c r="F78" s="21">
        <f>Faces!C78</f>
        <v>59</v>
      </c>
      <c r="G78" s="22">
        <f>VLOOKUP(F78,Vertices!$A$11:$J$203,7,FALSE )-$C$7</f>
        <v>40.674999999999997</v>
      </c>
      <c r="H78" s="22">
        <f>VLOOKUP(F78,Vertices!$A$11:$J$203,8,FALSE )-$D$7</f>
        <v>-2.16</v>
      </c>
      <c r="I78" s="23">
        <f>VLOOKUP(F78,Vertices!$A$11:$J$203,9,FALSE )-$E$7</f>
        <v>31.6</v>
      </c>
      <c r="J78" s="21">
        <f>Faces!D78</f>
        <v>60</v>
      </c>
      <c r="K78" s="22">
        <f>VLOOKUP(J78,Vertices!$A$11:$J$203,7,FALSE )-$C$7</f>
        <v>35.924999999999997</v>
      </c>
      <c r="L78" s="22">
        <f>VLOOKUP(J78,Vertices!$A$11:$J$203,8,FALSE )-$D$7</f>
        <v>4.6500000000000004</v>
      </c>
      <c r="M78" s="23">
        <f>VLOOKUP(J78,Vertices!$A$11:$J$203,9,FALSE )-$E$7</f>
        <v>28.98</v>
      </c>
      <c r="N78" s="16">
        <f t="shared" si="2"/>
        <v>868.89484050000021</v>
      </c>
      <c r="O78" s="16">
        <f t="shared" si="3"/>
        <v>868.89484050000021</v>
      </c>
    </row>
    <row r="79" spans="1:15" x14ac:dyDescent="0.25">
      <c r="A79">
        <f>Faces!A79</f>
        <v>69</v>
      </c>
      <c r="B79" s="21">
        <f>Faces!B79</f>
        <v>4</v>
      </c>
      <c r="C79" s="22">
        <f>VLOOKUP(B79,Vertices!$A$11:$J$203,7,FALSE )-$C$7</f>
        <v>23.635000000000005</v>
      </c>
      <c r="D79" s="22">
        <f>VLOOKUP(B79,Vertices!$A$11:$J$203,8,FALSE )-$D$7</f>
        <v>28.3</v>
      </c>
      <c r="E79" s="23">
        <f>VLOOKUP(B79,Vertices!$A$11:$J$203,9,FALSE )-$E$7</f>
        <v>-7.25</v>
      </c>
      <c r="F79" s="21">
        <f>Faces!C79</f>
        <v>41</v>
      </c>
      <c r="G79" s="22">
        <f>VLOOKUP(F79,Vertices!$A$11:$J$203,7,FALSE )-$C$7</f>
        <v>8.5150000000000006</v>
      </c>
      <c r="H79" s="22">
        <f>VLOOKUP(F79,Vertices!$A$11:$J$203,8,FALSE )-$D$7</f>
        <v>51.94</v>
      </c>
      <c r="I79" s="23">
        <f>VLOOKUP(F79,Vertices!$A$11:$J$203,9,FALSE )-$E$7</f>
        <v>-0.71</v>
      </c>
      <c r="J79" s="21">
        <f>Faces!D79</f>
        <v>5</v>
      </c>
      <c r="K79" s="22">
        <f>VLOOKUP(J79,Vertices!$A$11:$J$203,7,FALSE )-$C$7</f>
        <v>8.5150000000000006</v>
      </c>
      <c r="L79" s="22">
        <f>VLOOKUP(J79,Vertices!$A$11:$J$203,8,FALSE )-$D$7</f>
        <v>52.78</v>
      </c>
      <c r="M79" s="23">
        <f>VLOOKUP(J79,Vertices!$A$11:$J$203,9,FALSE )-$E$7</f>
        <v>-6.79</v>
      </c>
      <c r="N79" s="16">
        <f t="shared" si="2"/>
        <v>1006.0758379999997</v>
      </c>
      <c r="O79" s="16">
        <f t="shared" si="3"/>
        <v>1006.0758379999997</v>
      </c>
    </row>
    <row r="80" spans="1:15" x14ac:dyDescent="0.25">
      <c r="A80">
        <f>Faces!A80</f>
        <v>70</v>
      </c>
      <c r="B80" s="21">
        <f>Faces!B80</f>
        <v>4</v>
      </c>
      <c r="C80" s="22">
        <f>VLOOKUP(B80,Vertices!$A$11:$J$203,7,FALSE )-$C$7</f>
        <v>23.635000000000005</v>
      </c>
      <c r="D80" s="22">
        <f>VLOOKUP(B80,Vertices!$A$11:$J$203,8,FALSE )-$D$7</f>
        <v>28.3</v>
      </c>
      <c r="E80" s="23">
        <f>VLOOKUP(B80,Vertices!$A$11:$J$203,9,FALSE )-$E$7</f>
        <v>-7.25</v>
      </c>
      <c r="F80" s="21">
        <f>Faces!C80</f>
        <v>40</v>
      </c>
      <c r="G80" s="22">
        <f>VLOOKUP(F80,Vertices!$A$11:$J$203,7,FALSE )-$C$7</f>
        <v>23.275000000000006</v>
      </c>
      <c r="H80" s="22">
        <f>VLOOKUP(F80,Vertices!$A$11:$J$203,8,FALSE )-$D$7</f>
        <v>27.53</v>
      </c>
      <c r="I80" s="23">
        <f>VLOOKUP(F80,Vertices!$A$11:$J$203,9,FALSE )-$E$7</f>
        <v>0.06</v>
      </c>
      <c r="J80" s="21">
        <f>Faces!D80</f>
        <v>41</v>
      </c>
      <c r="K80" s="22">
        <f>VLOOKUP(J80,Vertices!$A$11:$J$203,7,FALSE )-$C$7</f>
        <v>8.5150000000000006</v>
      </c>
      <c r="L80" s="22">
        <f>VLOOKUP(J80,Vertices!$A$11:$J$203,8,FALSE )-$D$7</f>
        <v>51.94</v>
      </c>
      <c r="M80" s="23">
        <f>VLOOKUP(J80,Vertices!$A$11:$J$203,9,FALSE )-$E$7</f>
        <v>-0.71</v>
      </c>
      <c r="N80" s="16">
        <f t="shared" si="2"/>
        <v>1186.4216845000001</v>
      </c>
      <c r="O80" s="16">
        <f t="shared" si="3"/>
        <v>1186.4216845000001</v>
      </c>
    </row>
    <row r="81" spans="1:15" x14ac:dyDescent="0.25">
      <c r="A81">
        <f>Faces!A81</f>
        <v>71</v>
      </c>
      <c r="B81" s="21">
        <f>Faces!B81</f>
        <v>40</v>
      </c>
      <c r="C81" s="22">
        <f>VLOOKUP(B81,Vertices!$A$11:$J$203,7,FALSE )-$C$7</f>
        <v>23.275000000000006</v>
      </c>
      <c r="D81" s="22">
        <f>VLOOKUP(B81,Vertices!$A$11:$J$203,8,FALSE )-$D$7</f>
        <v>27.53</v>
      </c>
      <c r="E81" s="23">
        <f>VLOOKUP(B81,Vertices!$A$11:$J$203,9,FALSE )-$E$7</f>
        <v>0.06</v>
      </c>
      <c r="F81" s="21">
        <f>Faces!C81</f>
        <v>52</v>
      </c>
      <c r="G81" s="22">
        <f>VLOOKUP(F81,Vertices!$A$11:$J$203,7,FALSE )-$C$7</f>
        <v>8.4549999999999983</v>
      </c>
      <c r="H81" s="22">
        <f>VLOOKUP(F81,Vertices!$A$11:$J$203,8,FALSE )-$D$7</f>
        <v>51.04</v>
      </c>
      <c r="I81" s="23">
        <f>VLOOKUP(F81,Vertices!$A$11:$J$203,9,FALSE )-$E$7</f>
        <v>5.29</v>
      </c>
      <c r="J81" s="21">
        <f>Faces!D81</f>
        <v>41</v>
      </c>
      <c r="K81" s="22">
        <f>VLOOKUP(J81,Vertices!$A$11:$J$203,7,FALSE )-$C$7</f>
        <v>8.5150000000000006</v>
      </c>
      <c r="L81" s="22">
        <f>VLOOKUP(J81,Vertices!$A$11:$J$203,8,FALSE )-$D$7</f>
        <v>51.94</v>
      </c>
      <c r="M81" s="23">
        <f>VLOOKUP(J81,Vertices!$A$11:$J$203,9,FALSE )-$E$7</f>
        <v>-0.71</v>
      </c>
      <c r="N81" s="16">
        <f t="shared" si="2"/>
        <v>972.15675450000037</v>
      </c>
      <c r="O81" s="16">
        <f t="shared" si="3"/>
        <v>972.15675450000037</v>
      </c>
    </row>
    <row r="82" spans="1:15" x14ac:dyDescent="0.25">
      <c r="A82">
        <f>Faces!A82</f>
        <v>72</v>
      </c>
      <c r="B82" s="21">
        <f>Faces!B82</f>
        <v>40</v>
      </c>
      <c r="C82" s="22">
        <f>VLOOKUP(B82,Vertices!$A$11:$J$203,7,FALSE )-$C$7</f>
        <v>23.275000000000006</v>
      </c>
      <c r="D82" s="22">
        <f>VLOOKUP(B82,Vertices!$A$11:$J$203,8,FALSE )-$D$7</f>
        <v>27.53</v>
      </c>
      <c r="E82" s="23">
        <f>VLOOKUP(B82,Vertices!$A$11:$J$203,9,FALSE )-$E$7</f>
        <v>0.06</v>
      </c>
      <c r="F82" s="21">
        <f>Faces!C82</f>
        <v>51</v>
      </c>
      <c r="G82" s="22">
        <f>VLOOKUP(F82,Vertices!$A$11:$J$203,7,FALSE )-$C$7</f>
        <v>22.924999999999997</v>
      </c>
      <c r="H82" s="22">
        <f>VLOOKUP(F82,Vertices!$A$11:$J$203,8,FALSE )-$D$7</f>
        <v>26.78</v>
      </c>
      <c r="I82" s="23">
        <f>VLOOKUP(F82,Vertices!$A$11:$J$203,9,FALSE )-$E$7</f>
        <v>7.27</v>
      </c>
      <c r="J82" s="21">
        <f>Faces!D82</f>
        <v>52</v>
      </c>
      <c r="K82" s="22">
        <f>VLOOKUP(J82,Vertices!$A$11:$J$203,7,FALSE )-$C$7</f>
        <v>8.4549999999999983</v>
      </c>
      <c r="L82" s="22">
        <f>VLOOKUP(J82,Vertices!$A$11:$J$203,8,FALSE )-$D$7</f>
        <v>51.04</v>
      </c>
      <c r="M82" s="23">
        <f>VLOOKUP(J82,Vertices!$A$11:$J$203,9,FALSE )-$E$7</f>
        <v>5.29</v>
      </c>
      <c r="N82" s="16">
        <f t="shared" si="2"/>
        <v>1154.8303251666664</v>
      </c>
      <c r="O82" s="16">
        <f t="shared" si="3"/>
        <v>1154.8303251666664</v>
      </c>
    </row>
    <row r="83" spans="1:15" x14ac:dyDescent="0.25">
      <c r="A83">
        <f>Faces!A83</f>
        <v>73</v>
      </c>
      <c r="B83" s="21">
        <f>Faces!B83</f>
        <v>51</v>
      </c>
      <c r="C83" s="22">
        <f>VLOOKUP(B83,Vertices!$A$11:$J$203,7,FALSE )-$C$7</f>
        <v>22.924999999999997</v>
      </c>
      <c r="D83" s="22">
        <f>VLOOKUP(B83,Vertices!$A$11:$J$203,8,FALSE )-$D$7</f>
        <v>26.78</v>
      </c>
      <c r="E83" s="23">
        <f>VLOOKUP(B83,Vertices!$A$11:$J$203,9,FALSE )-$E$7</f>
        <v>7.27</v>
      </c>
      <c r="F83" s="21">
        <f>Faces!C83</f>
        <v>63</v>
      </c>
      <c r="G83" s="22">
        <f>VLOOKUP(F83,Vertices!$A$11:$J$203,7,FALSE )-$C$7</f>
        <v>8.2450000000000045</v>
      </c>
      <c r="H83" s="22">
        <f>VLOOKUP(F83,Vertices!$A$11:$J$203,8,FALSE )-$D$7</f>
        <v>49.54</v>
      </c>
      <c r="I83" s="23">
        <f>VLOOKUP(F83,Vertices!$A$11:$J$203,9,FALSE )-$E$7</f>
        <v>17.71</v>
      </c>
      <c r="J83" s="21">
        <f>Faces!D83</f>
        <v>52</v>
      </c>
      <c r="K83" s="22">
        <f>VLOOKUP(J83,Vertices!$A$11:$J$203,7,FALSE )-$C$7</f>
        <v>8.4549999999999983</v>
      </c>
      <c r="L83" s="22">
        <f>VLOOKUP(J83,Vertices!$A$11:$J$203,8,FALSE )-$D$7</f>
        <v>51.04</v>
      </c>
      <c r="M83" s="23">
        <f>VLOOKUP(J83,Vertices!$A$11:$J$203,9,FALSE )-$E$7</f>
        <v>5.29</v>
      </c>
      <c r="N83" s="16">
        <f t="shared" si="2"/>
        <v>1976.3710579999997</v>
      </c>
      <c r="O83" s="16">
        <f t="shared" si="3"/>
        <v>1976.3710579999997</v>
      </c>
    </row>
    <row r="84" spans="1:15" x14ac:dyDescent="0.25">
      <c r="A84">
        <f>Faces!A84</f>
        <v>74</v>
      </c>
      <c r="B84" s="21">
        <f>Faces!B84</f>
        <v>51</v>
      </c>
      <c r="C84" s="22">
        <f>VLOOKUP(B84,Vertices!$A$11:$J$203,7,FALSE )-$C$7</f>
        <v>22.924999999999997</v>
      </c>
      <c r="D84" s="22">
        <f>VLOOKUP(B84,Vertices!$A$11:$J$203,8,FALSE )-$D$7</f>
        <v>26.78</v>
      </c>
      <c r="E84" s="23">
        <f>VLOOKUP(B84,Vertices!$A$11:$J$203,9,FALSE )-$E$7</f>
        <v>7.27</v>
      </c>
      <c r="F84" s="21">
        <f>Faces!C84</f>
        <v>62</v>
      </c>
      <c r="G84" s="22">
        <f>VLOOKUP(F84,Vertices!$A$11:$J$203,7,FALSE )-$C$7</f>
        <v>22.225000000000009</v>
      </c>
      <c r="H84" s="22">
        <f>VLOOKUP(F84,Vertices!$A$11:$J$203,8,FALSE )-$D$7</f>
        <v>25.38</v>
      </c>
      <c r="I84" s="23">
        <f>VLOOKUP(F84,Vertices!$A$11:$J$203,9,FALSE )-$E$7</f>
        <v>22.21</v>
      </c>
      <c r="J84" s="21">
        <f>Faces!D84</f>
        <v>63</v>
      </c>
      <c r="K84" s="22">
        <f>VLOOKUP(J84,Vertices!$A$11:$J$203,7,FALSE )-$C$7</f>
        <v>8.2450000000000045</v>
      </c>
      <c r="L84" s="22">
        <f>VLOOKUP(J84,Vertices!$A$11:$J$203,8,FALSE )-$D$7</f>
        <v>49.54</v>
      </c>
      <c r="M84" s="23">
        <f>VLOOKUP(J84,Vertices!$A$11:$J$203,9,FALSE )-$E$7</f>
        <v>17.71</v>
      </c>
      <c r="N84" s="16">
        <f t="shared" si="2"/>
        <v>2345.5431726666666</v>
      </c>
      <c r="O84" s="16">
        <f t="shared" si="3"/>
        <v>2345.5431726666666</v>
      </c>
    </row>
    <row r="85" spans="1:15" x14ac:dyDescent="0.25">
      <c r="A85">
        <f>Faces!A85</f>
        <v>75</v>
      </c>
      <c r="B85" s="21">
        <f>Faces!B85</f>
        <v>62</v>
      </c>
      <c r="C85" s="22">
        <f>VLOOKUP(B85,Vertices!$A$11:$J$203,7,FALSE )-$C$7</f>
        <v>22.225000000000009</v>
      </c>
      <c r="D85" s="22">
        <f>VLOOKUP(B85,Vertices!$A$11:$J$203,8,FALSE )-$D$7</f>
        <v>25.38</v>
      </c>
      <c r="E85" s="23">
        <f>VLOOKUP(B85,Vertices!$A$11:$J$203,9,FALSE )-$E$7</f>
        <v>22.21</v>
      </c>
      <c r="F85" s="21">
        <f>Faces!C85</f>
        <v>74</v>
      </c>
      <c r="G85" s="22">
        <f>VLOOKUP(F85,Vertices!$A$11:$J$203,7,FALSE )-$C$7</f>
        <v>7.5549999999999997</v>
      </c>
      <c r="H85" s="22">
        <f>VLOOKUP(F85,Vertices!$A$11:$J$203,8,FALSE )-$D$7</f>
        <v>47.84</v>
      </c>
      <c r="I85" s="23">
        <f>VLOOKUP(F85,Vertices!$A$11:$J$203,9,FALSE )-$E$7</f>
        <v>37.979999999999997</v>
      </c>
      <c r="J85" s="21">
        <f>Faces!D85</f>
        <v>63</v>
      </c>
      <c r="K85" s="22">
        <f>VLOOKUP(J85,Vertices!$A$11:$J$203,7,FALSE )-$C$7</f>
        <v>8.2450000000000045</v>
      </c>
      <c r="L85" s="22">
        <f>VLOOKUP(J85,Vertices!$A$11:$J$203,8,FALSE )-$D$7</f>
        <v>49.54</v>
      </c>
      <c r="M85" s="23">
        <f>VLOOKUP(J85,Vertices!$A$11:$J$203,9,FALSE )-$E$7</f>
        <v>17.71</v>
      </c>
      <c r="N85" s="16">
        <f t="shared" si="2"/>
        <v>3147.1702603333342</v>
      </c>
      <c r="O85" s="16">
        <f t="shared" si="3"/>
        <v>3147.1702603333342</v>
      </c>
    </row>
    <row r="86" spans="1:15" x14ac:dyDescent="0.25">
      <c r="A86">
        <f>Faces!A86</f>
        <v>76</v>
      </c>
      <c r="B86" s="21">
        <f>Faces!B86</f>
        <v>62</v>
      </c>
      <c r="C86" s="22">
        <f>VLOOKUP(B86,Vertices!$A$11:$J$203,7,FALSE )-$C$7</f>
        <v>22.225000000000009</v>
      </c>
      <c r="D86" s="22">
        <f>VLOOKUP(B86,Vertices!$A$11:$J$203,8,FALSE )-$D$7</f>
        <v>25.38</v>
      </c>
      <c r="E86" s="23">
        <f>VLOOKUP(B86,Vertices!$A$11:$J$203,9,FALSE )-$E$7</f>
        <v>22.21</v>
      </c>
      <c r="F86" s="21">
        <f>Faces!C86</f>
        <v>73</v>
      </c>
      <c r="G86" s="22">
        <f>VLOOKUP(F86,Vertices!$A$11:$J$203,7,FALSE )-$C$7</f>
        <v>21.034999999999997</v>
      </c>
      <c r="H86" s="22">
        <f>VLOOKUP(F86,Vertices!$A$11:$J$203,8,FALSE )-$D$7</f>
        <v>24.04</v>
      </c>
      <c r="I86" s="23">
        <f>VLOOKUP(F86,Vertices!$A$11:$J$203,9,FALSE )-$E$7</f>
        <v>47.27</v>
      </c>
      <c r="J86" s="21">
        <f>Faces!D86</f>
        <v>74</v>
      </c>
      <c r="K86" s="22">
        <f>VLOOKUP(J86,Vertices!$A$11:$J$203,7,FALSE )-$C$7</f>
        <v>7.5549999999999997</v>
      </c>
      <c r="L86" s="22">
        <f>VLOOKUP(J86,Vertices!$A$11:$J$203,8,FALSE )-$D$7</f>
        <v>47.84</v>
      </c>
      <c r="M86" s="23">
        <f>VLOOKUP(J86,Vertices!$A$11:$J$203,9,FALSE )-$E$7</f>
        <v>37.979999999999997</v>
      </c>
      <c r="N86" s="16">
        <f t="shared" si="2"/>
        <v>3810.5538731666688</v>
      </c>
      <c r="O86" s="16">
        <f t="shared" si="3"/>
        <v>3810.5538731666688</v>
      </c>
    </row>
    <row r="87" spans="1:15" x14ac:dyDescent="0.25">
      <c r="A87">
        <f>Faces!A87</f>
        <v>77</v>
      </c>
      <c r="B87" s="21">
        <f>Faces!B87</f>
        <v>61</v>
      </c>
      <c r="C87" s="22">
        <f>VLOOKUP(B87,Vertices!$A$11:$J$203,7,FALSE )-$C$7</f>
        <v>31.445000000000007</v>
      </c>
      <c r="D87" s="22">
        <f>VLOOKUP(B87,Vertices!$A$11:$J$203,8,FALSE )-$D$7</f>
        <v>11.2</v>
      </c>
      <c r="E87" s="23">
        <f>VLOOKUP(B87,Vertices!$A$11:$J$203,9,FALSE )-$E$7</f>
        <v>26.63</v>
      </c>
      <c r="F87" s="21">
        <f>Faces!C87</f>
        <v>73</v>
      </c>
      <c r="G87" s="22">
        <f>VLOOKUP(F87,Vertices!$A$11:$J$203,7,FALSE )-$C$7</f>
        <v>21.034999999999997</v>
      </c>
      <c r="H87" s="22">
        <f>VLOOKUP(F87,Vertices!$A$11:$J$203,8,FALSE )-$D$7</f>
        <v>24.04</v>
      </c>
      <c r="I87" s="23">
        <f>VLOOKUP(F87,Vertices!$A$11:$J$203,9,FALSE )-$E$7</f>
        <v>47.27</v>
      </c>
      <c r="J87" s="21">
        <f>Faces!D87</f>
        <v>62</v>
      </c>
      <c r="K87" s="22">
        <f>VLOOKUP(J87,Vertices!$A$11:$J$203,7,FALSE )-$C$7</f>
        <v>22.225000000000009</v>
      </c>
      <c r="L87" s="22">
        <f>VLOOKUP(J87,Vertices!$A$11:$J$203,8,FALSE )-$D$7</f>
        <v>25.38</v>
      </c>
      <c r="M87" s="23">
        <f>VLOOKUP(J87,Vertices!$A$11:$J$203,9,FALSE )-$E$7</f>
        <v>22.21</v>
      </c>
      <c r="N87" s="16">
        <f t="shared" si="2"/>
        <v>2402.139555000002</v>
      </c>
      <c r="O87" s="16">
        <f t="shared" si="3"/>
        <v>2402.139555000002</v>
      </c>
    </row>
    <row r="88" spans="1:15" x14ac:dyDescent="0.25">
      <c r="A88">
        <f>Faces!A88</f>
        <v>78</v>
      </c>
      <c r="B88" s="21">
        <f>Faces!B88</f>
        <v>61</v>
      </c>
      <c r="C88" s="22">
        <f>VLOOKUP(B88,Vertices!$A$11:$J$203,7,FALSE )-$C$7</f>
        <v>31.445000000000007</v>
      </c>
      <c r="D88" s="22">
        <f>VLOOKUP(B88,Vertices!$A$11:$J$203,8,FALSE )-$D$7</f>
        <v>11.2</v>
      </c>
      <c r="E88" s="23">
        <f>VLOOKUP(B88,Vertices!$A$11:$J$203,9,FALSE )-$E$7</f>
        <v>26.63</v>
      </c>
      <c r="F88" s="21">
        <f>Faces!C88</f>
        <v>72</v>
      </c>
      <c r="G88" s="22">
        <f>VLOOKUP(F88,Vertices!$A$11:$J$203,7,FALSE )-$C$7</f>
        <v>29.924999999999997</v>
      </c>
      <c r="H88" s="22">
        <f>VLOOKUP(F88,Vertices!$A$11:$J$203,8,FALSE )-$D$7</f>
        <v>9.8699999999999992</v>
      </c>
      <c r="I88" s="23">
        <f>VLOOKUP(F88,Vertices!$A$11:$J$203,9,FALSE )-$E$7</f>
        <v>54.53</v>
      </c>
      <c r="J88" s="21">
        <f>Faces!D88</f>
        <v>73</v>
      </c>
      <c r="K88" s="22">
        <f>VLOOKUP(J88,Vertices!$A$11:$J$203,7,FALSE )-$C$7</f>
        <v>21.034999999999997</v>
      </c>
      <c r="L88" s="22">
        <f>VLOOKUP(J88,Vertices!$A$11:$J$203,8,FALSE )-$D$7</f>
        <v>24.04</v>
      </c>
      <c r="M88" s="23">
        <f>VLOOKUP(J88,Vertices!$A$11:$J$203,9,FALSE )-$E$7</f>
        <v>47.27</v>
      </c>
      <c r="N88" s="16">
        <f t="shared" si="2"/>
        <v>2652.9846945000027</v>
      </c>
      <c r="O88" s="16">
        <f t="shared" si="3"/>
        <v>2652.9846945000027</v>
      </c>
    </row>
    <row r="89" spans="1:15" x14ac:dyDescent="0.25">
      <c r="A89">
        <f>Faces!A89</f>
        <v>79</v>
      </c>
      <c r="B89" s="21">
        <f>Faces!B89</f>
        <v>60</v>
      </c>
      <c r="C89" s="22">
        <f>VLOOKUP(B89,Vertices!$A$11:$J$203,7,FALSE )-$C$7</f>
        <v>35.924999999999997</v>
      </c>
      <c r="D89" s="22">
        <f>VLOOKUP(B89,Vertices!$A$11:$J$203,8,FALSE )-$D$7</f>
        <v>4.6500000000000004</v>
      </c>
      <c r="E89" s="23">
        <f>VLOOKUP(B89,Vertices!$A$11:$J$203,9,FALSE )-$E$7</f>
        <v>28.98</v>
      </c>
      <c r="F89" s="21">
        <f>Faces!C89</f>
        <v>72</v>
      </c>
      <c r="G89" s="22">
        <f>VLOOKUP(F89,Vertices!$A$11:$J$203,7,FALSE )-$C$7</f>
        <v>29.924999999999997</v>
      </c>
      <c r="H89" s="22">
        <f>VLOOKUP(F89,Vertices!$A$11:$J$203,8,FALSE )-$D$7</f>
        <v>9.8699999999999992</v>
      </c>
      <c r="I89" s="23">
        <f>VLOOKUP(F89,Vertices!$A$11:$J$203,9,FALSE )-$E$7</f>
        <v>54.53</v>
      </c>
      <c r="J89" s="21">
        <f>Faces!D89</f>
        <v>61</v>
      </c>
      <c r="K89" s="22">
        <f>VLOOKUP(J89,Vertices!$A$11:$J$203,7,FALSE )-$C$7</f>
        <v>31.445000000000007</v>
      </c>
      <c r="L89" s="22">
        <f>VLOOKUP(J89,Vertices!$A$11:$J$203,8,FALSE )-$D$7</f>
        <v>11.2</v>
      </c>
      <c r="M89" s="23">
        <f>VLOOKUP(J89,Vertices!$A$11:$J$203,9,FALSE )-$E$7</f>
        <v>26.63</v>
      </c>
      <c r="N89" s="16">
        <f t="shared" si="2"/>
        <v>1251.9754082500006</v>
      </c>
      <c r="O89" s="16">
        <f t="shared" si="3"/>
        <v>1251.9754082500006</v>
      </c>
    </row>
    <row r="90" spans="1:15" x14ac:dyDescent="0.25">
      <c r="A90">
        <f>Faces!A90</f>
        <v>80</v>
      </c>
      <c r="B90" s="21">
        <f>Faces!B90</f>
        <v>60</v>
      </c>
      <c r="C90" s="22">
        <f>VLOOKUP(B90,Vertices!$A$11:$J$203,7,FALSE )-$C$7</f>
        <v>35.924999999999997</v>
      </c>
      <c r="D90" s="22">
        <f>VLOOKUP(B90,Vertices!$A$11:$J$203,8,FALSE )-$D$7</f>
        <v>4.6500000000000004</v>
      </c>
      <c r="E90" s="23">
        <f>VLOOKUP(B90,Vertices!$A$11:$J$203,9,FALSE )-$E$7</f>
        <v>28.98</v>
      </c>
      <c r="F90" s="21">
        <f>Faces!C90</f>
        <v>71</v>
      </c>
      <c r="G90" s="22">
        <f>VLOOKUP(F90,Vertices!$A$11:$J$203,7,FALSE )-$C$7</f>
        <v>34.234999999999999</v>
      </c>
      <c r="H90" s="22">
        <f>VLOOKUP(F90,Vertices!$A$11:$J$203,8,FALSE )-$D$7</f>
        <v>3.32</v>
      </c>
      <c r="I90" s="23">
        <f>VLOOKUP(F90,Vertices!$A$11:$J$203,9,FALSE )-$E$7</f>
        <v>58.28</v>
      </c>
      <c r="J90" s="21">
        <f>Faces!D90</f>
        <v>72</v>
      </c>
      <c r="K90" s="22">
        <f>VLOOKUP(J90,Vertices!$A$11:$J$203,7,FALSE )-$C$7</f>
        <v>29.924999999999997</v>
      </c>
      <c r="L90" s="22">
        <f>VLOOKUP(J90,Vertices!$A$11:$J$203,8,FALSE )-$D$7</f>
        <v>9.8699999999999992</v>
      </c>
      <c r="M90" s="23">
        <f>VLOOKUP(J90,Vertices!$A$11:$J$203,9,FALSE )-$E$7</f>
        <v>54.53</v>
      </c>
      <c r="N90" s="16">
        <f t="shared" si="2"/>
        <v>1303.16198775</v>
      </c>
      <c r="O90" s="16">
        <f t="shared" si="3"/>
        <v>1303.16198775</v>
      </c>
    </row>
    <row r="91" spans="1:15" x14ac:dyDescent="0.25">
      <c r="A91">
        <f>Faces!A91</f>
        <v>81</v>
      </c>
      <c r="B91" s="21">
        <f>Faces!B91</f>
        <v>59</v>
      </c>
      <c r="C91" s="22">
        <f>VLOOKUP(B91,Vertices!$A$11:$J$203,7,FALSE )-$C$7</f>
        <v>40.674999999999997</v>
      </c>
      <c r="D91" s="22">
        <f>VLOOKUP(B91,Vertices!$A$11:$J$203,8,FALSE )-$D$7</f>
        <v>-2.16</v>
      </c>
      <c r="E91" s="23">
        <f>VLOOKUP(B91,Vertices!$A$11:$J$203,9,FALSE )-$E$7</f>
        <v>31.6</v>
      </c>
      <c r="F91" s="21">
        <f>Faces!C91</f>
        <v>71</v>
      </c>
      <c r="G91" s="22">
        <f>VLOOKUP(F91,Vertices!$A$11:$J$203,7,FALSE )-$C$7</f>
        <v>34.234999999999999</v>
      </c>
      <c r="H91" s="22">
        <f>VLOOKUP(F91,Vertices!$A$11:$J$203,8,FALSE )-$D$7</f>
        <v>3.32</v>
      </c>
      <c r="I91" s="23">
        <f>VLOOKUP(F91,Vertices!$A$11:$J$203,9,FALSE )-$E$7</f>
        <v>58.28</v>
      </c>
      <c r="J91" s="21">
        <f>Faces!D91</f>
        <v>60</v>
      </c>
      <c r="K91" s="22">
        <f>VLOOKUP(J91,Vertices!$A$11:$J$203,7,FALSE )-$C$7</f>
        <v>35.924999999999997</v>
      </c>
      <c r="L91" s="22">
        <f>VLOOKUP(J91,Vertices!$A$11:$J$203,8,FALSE )-$D$7</f>
        <v>4.6500000000000004</v>
      </c>
      <c r="M91" s="23">
        <f>VLOOKUP(J91,Vertices!$A$11:$J$203,9,FALSE )-$E$7</f>
        <v>28.98</v>
      </c>
      <c r="N91" s="16">
        <f t="shared" si="2"/>
        <v>1371.2334769999998</v>
      </c>
      <c r="O91" s="16">
        <f t="shared" si="3"/>
        <v>1371.2334769999998</v>
      </c>
    </row>
    <row r="92" spans="1:15" x14ac:dyDescent="0.25">
      <c r="A92">
        <f>Faces!A92</f>
        <v>82</v>
      </c>
      <c r="B92" s="21">
        <f>Faces!B92</f>
        <v>59</v>
      </c>
      <c r="C92" s="22">
        <f>VLOOKUP(B92,Vertices!$A$11:$J$203,7,FALSE )-$C$7</f>
        <v>40.674999999999997</v>
      </c>
      <c r="D92" s="22">
        <f>VLOOKUP(B92,Vertices!$A$11:$J$203,8,FALSE )-$D$7</f>
        <v>-2.16</v>
      </c>
      <c r="E92" s="23">
        <f>VLOOKUP(B92,Vertices!$A$11:$J$203,9,FALSE )-$E$7</f>
        <v>31.6</v>
      </c>
      <c r="F92" s="21">
        <f>Faces!C92</f>
        <v>70</v>
      </c>
      <c r="G92" s="22">
        <f>VLOOKUP(F92,Vertices!$A$11:$J$203,7,FALSE )-$C$7</f>
        <v>38.835000000000008</v>
      </c>
      <c r="H92" s="22">
        <f>VLOOKUP(F92,Vertices!$A$11:$J$203,8,FALSE )-$D$7</f>
        <v>-3.55</v>
      </c>
      <c r="I92" s="23">
        <f>VLOOKUP(F92,Vertices!$A$11:$J$203,9,FALSE )-$E$7</f>
        <v>62.44</v>
      </c>
      <c r="J92" s="21">
        <f>Faces!D92</f>
        <v>71</v>
      </c>
      <c r="K92" s="22">
        <f>VLOOKUP(J92,Vertices!$A$11:$J$203,7,FALSE )-$C$7</f>
        <v>34.234999999999999</v>
      </c>
      <c r="L92" s="22">
        <f>VLOOKUP(J92,Vertices!$A$11:$J$203,8,FALSE )-$D$7</f>
        <v>3.32</v>
      </c>
      <c r="M92" s="23">
        <f>VLOOKUP(J92,Vertices!$A$11:$J$203,9,FALSE )-$E$7</f>
        <v>58.28</v>
      </c>
      <c r="N92" s="16">
        <f t="shared" si="2"/>
        <v>1443.5309343333327</v>
      </c>
      <c r="O92" s="16">
        <f t="shared" si="3"/>
        <v>1443.5309343333327</v>
      </c>
    </row>
    <row r="93" spans="1:15" x14ac:dyDescent="0.25">
      <c r="A93">
        <f>Faces!A93</f>
        <v>83</v>
      </c>
      <c r="B93" s="21">
        <f>Faces!B93</f>
        <v>5</v>
      </c>
      <c r="C93" s="22">
        <f>VLOOKUP(B93,Vertices!$A$11:$J$203,7,FALSE )-$C$7</f>
        <v>8.5150000000000006</v>
      </c>
      <c r="D93" s="22">
        <f>VLOOKUP(B93,Vertices!$A$11:$J$203,8,FALSE )-$D$7</f>
        <v>52.78</v>
      </c>
      <c r="E93" s="23">
        <f>VLOOKUP(B93,Vertices!$A$11:$J$203,9,FALSE )-$E$7</f>
        <v>-6.79</v>
      </c>
      <c r="F93" s="21">
        <f>Faces!C93</f>
        <v>42</v>
      </c>
      <c r="G93" s="22">
        <f>VLOOKUP(F93,Vertices!$A$11:$J$203,7,FALSE )-$C$7</f>
        <v>-3.1649999999999991</v>
      </c>
      <c r="H93" s="22">
        <f>VLOOKUP(F93,Vertices!$A$11:$J$203,8,FALSE )-$D$7</f>
        <v>74.099999999999994</v>
      </c>
      <c r="I93" s="23">
        <f>VLOOKUP(F93,Vertices!$A$11:$J$203,9,FALSE )-$E$7</f>
        <v>0.87</v>
      </c>
      <c r="J93" s="21">
        <f>Faces!D93</f>
        <v>6</v>
      </c>
      <c r="K93" s="22">
        <f>VLOOKUP(J93,Vertices!$A$11:$J$203,7,FALSE )-$C$7</f>
        <v>-3.4549999999999983</v>
      </c>
      <c r="L93" s="22">
        <f>VLOOKUP(J93,Vertices!$A$11:$J$203,8,FALSE )-$D$7</f>
        <v>75</v>
      </c>
      <c r="M93" s="23">
        <f>VLOOKUP(J93,Vertices!$A$11:$J$203,9,FALSE )-$E$7</f>
        <v>-4</v>
      </c>
      <c r="N93" s="16">
        <f t="shared" si="2"/>
        <v>672.14371799999981</v>
      </c>
      <c r="O93" s="16">
        <f t="shared" si="3"/>
        <v>672.14371799999981</v>
      </c>
    </row>
    <row r="94" spans="1:15" x14ac:dyDescent="0.25">
      <c r="A94">
        <f>Faces!A94</f>
        <v>84</v>
      </c>
      <c r="B94" s="21">
        <f>Faces!B94</f>
        <v>5</v>
      </c>
      <c r="C94" s="22">
        <f>VLOOKUP(B94,Vertices!$A$11:$J$203,7,FALSE )-$C$7</f>
        <v>8.5150000000000006</v>
      </c>
      <c r="D94" s="22">
        <f>VLOOKUP(B94,Vertices!$A$11:$J$203,8,FALSE )-$D$7</f>
        <v>52.78</v>
      </c>
      <c r="E94" s="23">
        <f>VLOOKUP(B94,Vertices!$A$11:$J$203,9,FALSE )-$E$7</f>
        <v>-6.79</v>
      </c>
      <c r="F94" s="21">
        <f>Faces!C94</f>
        <v>41</v>
      </c>
      <c r="G94" s="22">
        <f>VLOOKUP(F94,Vertices!$A$11:$J$203,7,FALSE )-$C$7</f>
        <v>8.5150000000000006</v>
      </c>
      <c r="H94" s="22">
        <f>VLOOKUP(F94,Vertices!$A$11:$J$203,8,FALSE )-$D$7</f>
        <v>51.94</v>
      </c>
      <c r="I94" s="23">
        <f>VLOOKUP(F94,Vertices!$A$11:$J$203,9,FALSE )-$E$7</f>
        <v>-0.71</v>
      </c>
      <c r="J94" s="21">
        <f>Faces!D94</f>
        <v>42</v>
      </c>
      <c r="K94" s="22">
        <f>VLOOKUP(J94,Vertices!$A$11:$J$203,7,FALSE )-$C$7</f>
        <v>-3.1649999999999991</v>
      </c>
      <c r="L94" s="22">
        <f>VLOOKUP(J94,Vertices!$A$11:$J$203,8,FALSE )-$D$7</f>
        <v>74.099999999999994</v>
      </c>
      <c r="M94" s="23">
        <f>VLOOKUP(J94,Vertices!$A$11:$J$203,9,FALSE )-$E$7</f>
        <v>0.87</v>
      </c>
      <c r="N94" s="16">
        <f t="shared" si="2"/>
        <v>806.67881399999987</v>
      </c>
      <c r="O94" s="16">
        <f t="shared" si="3"/>
        <v>806.67881399999987</v>
      </c>
    </row>
    <row r="95" spans="1:15" x14ac:dyDescent="0.25">
      <c r="A95">
        <f>Faces!A95</f>
        <v>85</v>
      </c>
      <c r="B95" s="21">
        <f>Faces!B95</f>
        <v>41</v>
      </c>
      <c r="C95" s="22">
        <f>VLOOKUP(B95,Vertices!$A$11:$J$203,7,FALSE )-$C$7</f>
        <v>8.5150000000000006</v>
      </c>
      <c r="D95" s="22">
        <f>VLOOKUP(B95,Vertices!$A$11:$J$203,8,FALSE )-$D$7</f>
        <v>51.94</v>
      </c>
      <c r="E95" s="23">
        <f>VLOOKUP(B95,Vertices!$A$11:$J$203,9,FALSE )-$E$7</f>
        <v>-0.71</v>
      </c>
      <c r="F95" s="21">
        <f>Faces!C95</f>
        <v>53</v>
      </c>
      <c r="G95" s="22">
        <f>VLOOKUP(F95,Vertices!$A$11:$J$203,7,FALSE )-$C$7</f>
        <v>-2.9849999999999994</v>
      </c>
      <c r="H95" s="22">
        <f>VLOOKUP(F95,Vertices!$A$11:$J$203,8,FALSE )-$D$7</f>
        <v>73.14</v>
      </c>
      <c r="I95" s="23">
        <f>VLOOKUP(F95,Vertices!$A$11:$J$203,9,FALSE )-$E$7</f>
        <v>5.87</v>
      </c>
      <c r="J95" s="21">
        <f>Faces!D95</f>
        <v>42</v>
      </c>
      <c r="K95" s="22">
        <f>VLOOKUP(J95,Vertices!$A$11:$J$203,7,FALSE )-$C$7</f>
        <v>-3.1649999999999991</v>
      </c>
      <c r="L95" s="22">
        <f>VLOOKUP(J95,Vertices!$A$11:$J$203,8,FALSE )-$D$7</f>
        <v>74.099999999999994</v>
      </c>
      <c r="M95" s="23">
        <f>VLOOKUP(J95,Vertices!$A$11:$J$203,9,FALSE )-$E$7</f>
        <v>0.87</v>
      </c>
      <c r="N95" s="16">
        <f t="shared" si="2"/>
        <v>666.55270799999994</v>
      </c>
      <c r="O95" s="16">
        <f t="shared" si="3"/>
        <v>666.55270799999994</v>
      </c>
    </row>
    <row r="96" spans="1:15" x14ac:dyDescent="0.25">
      <c r="A96">
        <f>Faces!A96</f>
        <v>86</v>
      </c>
      <c r="B96" s="21">
        <f>Faces!B96</f>
        <v>41</v>
      </c>
      <c r="C96" s="22">
        <f>VLOOKUP(B96,Vertices!$A$11:$J$203,7,FALSE )-$C$7</f>
        <v>8.5150000000000006</v>
      </c>
      <c r="D96" s="22">
        <f>VLOOKUP(B96,Vertices!$A$11:$J$203,8,FALSE )-$D$7</f>
        <v>51.94</v>
      </c>
      <c r="E96" s="23">
        <f>VLOOKUP(B96,Vertices!$A$11:$J$203,9,FALSE )-$E$7</f>
        <v>-0.71</v>
      </c>
      <c r="F96" s="21">
        <f>Faces!C96</f>
        <v>52</v>
      </c>
      <c r="G96" s="22">
        <f>VLOOKUP(F96,Vertices!$A$11:$J$203,7,FALSE )-$C$7</f>
        <v>8.4549999999999983</v>
      </c>
      <c r="H96" s="22">
        <f>VLOOKUP(F96,Vertices!$A$11:$J$203,8,FALSE )-$D$7</f>
        <v>51.04</v>
      </c>
      <c r="I96" s="23">
        <f>VLOOKUP(F96,Vertices!$A$11:$J$203,9,FALSE )-$E$7</f>
        <v>5.29</v>
      </c>
      <c r="J96" s="21">
        <f>Faces!D96</f>
        <v>53</v>
      </c>
      <c r="K96" s="22">
        <f>VLOOKUP(J96,Vertices!$A$11:$J$203,7,FALSE )-$C$7</f>
        <v>-2.9849999999999994</v>
      </c>
      <c r="L96" s="22">
        <f>VLOOKUP(J96,Vertices!$A$11:$J$203,8,FALSE )-$D$7</f>
        <v>73.14</v>
      </c>
      <c r="M96" s="23">
        <f>VLOOKUP(J96,Vertices!$A$11:$J$203,9,FALSE )-$E$7</f>
        <v>5.87</v>
      </c>
      <c r="N96" s="16">
        <f t="shared" si="2"/>
        <v>781.43938299999979</v>
      </c>
      <c r="O96" s="16">
        <f t="shared" si="3"/>
        <v>781.43938299999979</v>
      </c>
    </row>
    <row r="97" spans="1:15" x14ac:dyDescent="0.25">
      <c r="A97">
        <f>Faces!A97</f>
        <v>87</v>
      </c>
      <c r="B97" s="21">
        <f>Faces!B97</f>
        <v>52</v>
      </c>
      <c r="C97" s="22">
        <f>VLOOKUP(B97,Vertices!$A$11:$J$203,7,FALSE )-$C$7</f>
        <v>8.4549999999999983</v>
      </c>
      <c r="D97" s="22">
        <f>VLOOKUP(B97,Vertices!$A$11:$J$203,8,FALSE )-$D$7</f>
        <v>51.04</v>
      </c>
      <c r="E97" s="23">
        <f>VLOOKUP(B97,Vertices!$A$11:$J$203,9,FALSE )-$E$7</f>
        <v>5.29</v>
      </c>
      <c r="F97" s="21">
        <f>Faces!C97</f>
        <v>64</v>
      </c>
      <c r="G97" s="22">
        <f>VLOOKUP(F97,Vertices!$A$11:$J$203,7,FALSE )-$C$7</f>
        <v>-2.8449999999999989</v>
      </c>
      <c r="H97" s="22">
        <f>VLOOKUP(F97,Vertices!$A$11:$J$203,8,FALSE )-$D$7</f>
        <v>71.459999999999994</v>
      </c>
      <c r="I97" s="23">
        <f>VLOOKUP(F97,Vertices!$A$11:$J$203,9,FALSE )-$E$7</f>
        <v>16.14</v>
      </c>
      <c r="J97" s="21">
        <f>Faces!D97</f>
        <v>53</v>
      </c>
      <c r="K97" s="22">
        <f>VLOOKUP(J97,Vertices!$A$11:$J$203,7,FALSE )-$C$7</f>
        <v>-2.9849999999999994</v>
      </c>
      <c r="L97" s="22">
        <f>VLOOKUP(J97,Vertices!$A$11:$J$203,8,FALSE )-$D$7</f>
        <v>73.14</v>
      </c>
      <c r="M97" s="23">
        <f>VLOOKUP(J97,Vertices!$A$11:$J$203,9,FALSE )-$E$7</f>
        <v>5.87</v>
      </c>
      <c r="N97" s="16">
        <f t="shared" si="2"/>
        <v>1335.5532741666666</v>
      </c>
      <c r="O97" s="16">
        <f t="shared" si="3"/>
        <v>1335.5532741666666</v>
      </c>
    </row>
    <row r="98" spans="1:15" x14ac:dyDescent="0.25">
      <c r="A98">
        <f>Faces!A98</f>
        <v>88</v>
      </c>
      <c r="B98" s="21">
        <f>Faces!B98</f>
        <v>52</v>
      </c>
      <c r="C98" s="22">
        <f>VLOOKUP(B98,Vertices!$A$11:$J$203,7,FALSE )-$C$7</f>
        <v>8.4549999999999983</v>
      </c>
      <c r="D98" s="22">
        <f>VLOOKUP(B98,Vertices!$A$11:$J$203,8,FALSE )-$D$7</f>
        <v>51.04</v>
      </c>
      <c r="E98" s="23">
        <f>VLOOKUP(B98,Vertices!$A$11:$J$203,9,FALSE )-$E$7</f>
        <v>5.29</v>
      </c>
      <c r="F98" s="21">
        <f>Faces!C98</f>
        <v>63</v>
      </c>
      <c r="G98" s="22">
        <f>VLOOKUP(F98,Vertices!$A$11:$J$203,7,FALSE )-$C$7</f>
        <v>8.2450000000000045</v>
      </c>
      <c r="H98" s="22">
        <f>VLOOKUP(F98,Vertices!$A$11:$J$203,8,FALSE )-$D$7</f>
        <v>49.54</v>
      </c>
      <c r="I98" s="23">
        <f>VLOOKUP(F98,Vertices!$A$11:$J$203,9,FALSE )-$E$7</f>
        <v>17.71</v>
      </c>
      <c r="J98" s="21">
        <f>Faces!D98</f>
        <v>64</v>
      </c>
      <c r="K98" s="22">
        <f>VLOOKUP(J98,Vertices!$A$11:$J$203,7,FALSE )-$C$7</f>
        <v>-2.8449999999999989</v>
      </c>
      <c r="L98" s="22">
        <f>VLOOKUP(J98,Vertices!$A$11:$J$203,8,FALSE )-$D$7</f>
        <v>71.459999999999994</v>
      </c>
      <c r="M98" s="23">
        <f>VLOOKUP(J98,Vertices!$A$11:$J$203,9,FALSE )-$E$7</f>
        <v>16.14</v>
      </c>
      <c r="N98" s="16">
        <f t="shared" si="2"/>
        <v>1573.5411775000005</v>
      </c>
      <c r="O98" s="16">
        <f t="shared" si="3"/>
        <v>1573.5411775000005</v>
      </c>
    </row>
    <row r="99" spans="1:15" x14ac:dyDescent="0.25">
      <c r="A99">
        <f>Faces!A99</f>
        <v>89</v>
      </c>
      <c r="B99" s="21">
        <f>Faces!B99</f>
        <v>63</v>
      </c>
      <c r="C99" s="22">
        <f>VLOOKUP(B99,Vertices!$A$11:$J$203,7,FALSE )-$C$7</f>
        <v>8.2450000000000045</v>
      </c>
      <c r="D99" s="22">
        <f>VLOOKUP(B99,Vertices!$A$11:$J$203,8,FALSE )-$D$7</f>
        <v>49.54</v>
      </c>
      <c r="E99" s="23">
        <f>VLOOKUP(B99,Vertices!$A$11:$J$203,9,FALSE )-$E$7</f>
        <v>17.71</v>
      </c>
      <c r="F99" s="21">
        <f>Faces!C99</f>
        <v>75</v>
      </c>
      <c r="G99" s="22">
        <f>VLOOKUP(F99,Vertices!$A$11:$J$203,7,FALSE )-$C$7</f>
        <v>-3.2049999999999983</v>
      </c>
      <c r="H99" s="22">
        <f>VLOOKUP(F99,Vertices!$A$11:$J$203,8,FALSE )-$D$7</f>
        <v>69.27</v>
      </c>
      <c r="I99" s="23">
        <f>VLOOKUP(F99,Vertices!$A$11:$J$203,9,FALSE )-$E$7</f>
        <v>32.31</v>
      </c>
      <c r="J99" s="21">
        <f>Faces!D99</f>
        <v>64</v>
      </c>
      <c r="K99" s="22">
        <f>VLOOKUP(J99,Vertices!$A$11:$J$203,7,FALSE )-$C$7</f>
        <v>-2.8449999999999989</v>
      </c>
      <c r="L99" s="22">
        <f>VLOOKUP(J99,Vertices!$A$11:$J$203,8,FALSE )-$D$7</f>
        <v>71.459999999999994</v>
      </c>
      <c r="M99" s="23">
        <f>VLOOKUP(J99,Vertices!$A$11:$J$203,9,FALSE )-$E$7</f>
        <v>16.14</v>
      </c>
      <c r="N99" s="16">
        <f t="shared" si="2"/>
        <v>2062.6191412500002</v>
      </c>
      <c r="O99" s="16">
        <f t="shared" si="3"/>
        <v>2062.6191412500002</v>
      </c>
    </row>
    <row r="100" spans="1:15" x14ac:dyDescent="0.25">
      <c r="A100">
        <f>Faces!A100</f>
        <v>90</v>
      </c>
      <c r="B100" s="21">
        <f>Faces!B100</f>
        <v>63</v>
      </c>
      <c r="C100" s="22">
        <f>VLOOKUP(B100,Vertices!$A$11:$J$203,7,FALSE )-$C$7</f>
        <v>8.2450000000000045</v>
      </c>
      <c r="D100" s="22">
        <f>VLOOKUP(B100,Vertices!$A$11:$J$203,8,FALSE )-$D$7</f>
        <v>49.54</v>
      </c>
      <c r="E100" s="23">
        <f>VLOOKUP(B100,Vertices!$A$11:$J$203,9,FALSE )-$E$7</f>
        <v>17.71</v>
      </c>
      <c r="F100" s="21">
        <f>Faces!C100</f>
        <v>74</v>
      </c>
      <c r="G100" s="22">
        <f>VLOOKUP(F100,Vertices!$A$11:$J$203,7,FALSE )-$C$7</f>
        <v>7.5549999999999997</v>
      </c>
      <c r="H100" s="22">
        <f>VLOOKUP(F100,Vertices!$A$11:$J$203,8,FALSE )-$D$7</f>
        <v>47.84</v>
      </c>
      <c r="I100" s="23">
        <f>VLOOKUP(F100,Vertices!$A$11:$J$203,9,FALSE )-$E$7</f>
        <v>37.979999999999997</v>
      </c>
      <c r="J100" s="21">
        <f>Faces!D100</f>
        <v>75</v>
      </c>
      <c r="K100" s="22">
        <f>VLOOKUP(J100,Vertices!$A$11:$J$203,7,FALSE )-$C$7</f>
        <v>-3.2049999999999983</v>
      </c>
      <c r="L100" s="22">
        <f>VLOOKUP(J100,Vertices!$A$11:$J$203,8,FALSE )-$D$7</f>
        <v>69.27</v>
      </c>
      <c r="M100" s="23">
        <f>VLOOKUP(J100,Vertices!$A$11:$J$203,9,FALSE )-$E$7</f>
        <v>32.31</v>
      </c>
      <c r="N100" s="16">
        <f t="shared" si="2"/>
        <v>2514.4350944166654</v>
      </c>
      <c r="O100" s="16">
        <f t="shared" si="3"/>
        <v>2514.4350944166654</v>
      </c>
    </row>
    <row r="101" spans="1:15" x14ac:dyDescent="0.25">
      <c r="A101">
        <f>Faces!A101</f>
        <v>91</v>
      </c>
      <c r="B101" s="21">
        <f>Faces!B101</f>
        <v>74</v>
      </c>
      <c r="C101" s="22">
        <f>VLOOKUP(B101,Vertices!$A$11:$J$203,7,FALSE )-$C$7</f>
        <v>7.5549999999999997</v>
      </c>
      <c r="D101" s="22">
        <f>VLOOKUP(B101,Vertices!$A$11:$J$203,8,FALSE )-$D$7</f>
        <v>47.84</v>
      </c>
      <c r="E101" s="23">
        <f>VLOOKUP(B101,Vertices!$A$11:$J$203,9,FALSE )-$E$7</f>
        <v>37.979999999999997</v>
      </c>
      <c r="F101" s="21">
        <f>Faces!C101</f>
        <v>86</v>
      </c>
      <c r="G101" s="22">
        <f>VLOOKUP(F101,Vertices!$A$11:$J$203,7,FALSE )-$C$7</f>
        <v>-4.4549999999999983</v>
      </c>
      <c r="H101" s="22">
        <f>VLOOKUP(F101,Vertices!$A$11:$J$203,8,FALSE )-$D$7</f>
        <v>68</v>
      </c>
      <c r="I101" s="23">
        <f>VLOOKUP(F101,Vertices!$A$11:$J$203,9,FALSE )-$E$7</f>
        <v>48</v>
      </c>
      <c r="J101" s="21">
        <f>Faces!D101</f>
        <v>75</v>
      </c>
      <c r="K101" s="22">
        <f>VLOOKUP(J101,Vertices!$A$11:$J$203,7,FALSE )-$C$7</f>
        <v>-3.2049999999999983</v>
      </c>
      <c r="L101" s="22">
        <f>VLOOKUP(J101,Vertices!$A$11:$J$203,8,FALSE )-$D$7</f>
        <v>69.27</v>
      </c>
      <c r="M101" s="23">
        <f>VLOOKUP(J101,Vertices!$A$11:$J$203,9,FALSE )-$E$7</f>
        <v>32.31</v>
      </c>
      <c r="N101" s="16">
        <f t="shared" si="2"/>
        <v>2072.9807184999991</v>
      </c>
      <c r="O101" s="16">
        <f t="shared" si="3"/>
        <v>2072.9807184999991</v>
      </c>
    </row>
    <row r="102" spans="1:15" x14ac:dyDescent="0.25">
      <c r="A102">
        <f>Faces!A102</f>
        <v>92</v>
      </c>
      <c r="B102" s="21">
        <f>Faces!B102</f>
        <v>74</v>
      </c>
      <c r="C102" s="22">
        <f>VLOOKUP(B102,Vertices!$A$11:$J$203,7,FALSE )-$C$7</f>
        <v>7.5549999999999997</v>
      </c>
      <c r="D102" s="22">
        <f>VLOOKUP(B102,Vertices!$A$11:$J$203,8,FALSE )-$D$7</f>
        <v>47.84</v>
      </c>
      <c r="E102" s="23">
        <f>VLOOKUP(B102,Vertices!$A$11:$J$203,9,FALSE )-$E$7</f>
        <v>37.979999999999997</v>
      </c>
      <c r="F102" s="21">
        <f>Faces!C102</f>
        <v>85</v>
      </c>
      <c r="G102" s="22">
        <f>VLOOKUP(F102,Vertices!$A$11:$J$203,7,FALSE )-$C$7</f>
        <v>6.5249999999999986</v>
      </c>
      <c r="H102" s="22">
        <f>VLOOKUP(F102,Vertices!$A$11:$J$203,8,FALSE )-$D$7</f>
        <v>46.89</v>
      </c>
      <c r="I102" s="23">
        <f>VLOOKUP(F102,Vertices!$A$11:$J$203,9,FALSE )-$E$7</f>
        <v>57.54</v>
      </c>
      <c r="J102" s="21">
        <f>Faces!D102</f>
        <v>86</v>
      </c>
      <c r="K102" s="22">
        <f>VLOOKUP(J102,Vertices!$A$11:$J$203,7,FALSE )-$C$7</f>
        <v>-4.4549999999999983</v>
      </c>
      <c r="L102" s="22">
        <f>VLOOKUP(J102,Vertices!$A$11:$J$203,8,FALSE )-$D$7</f>
        <v>68</v>
      </c>
      <c r="M102" s="23">
        <f>VLOOKUP(J102,Vertices!$A$11:$J$203,9,FALSE )-$E$7</f>
        <v>48</v>
      </c>
      <c r="N102" s="16">
        <f t="shared" si="2"/>
        <v>2502.9468145000005</v>
      </c>
      <c r="O102" s="16">
        <f t="shared" si="3"/>
        <v>2502.9468145000005</v>
      </c>
    </row>
    <row r="103" spans="1:15" x14ac:dyDescent="0.25">
      <c r="A103">
        <f>Faces!A103</f>
        <v>93</v>
      </c>
      <c r="B103" s="21">
        <f>Faces!B103</f>
        <v>73</v>
      </c>
      <c r="C103" s="22">
        <f>VLOOKUP(B103,Vertices!$A$11:$J$203,7,FALSE )-$C$7</f>
        <v>21.034999999999997</v>
      </c>
      <c r="D103" s="22">
        <f>VLOOKUP(B103,Vertices!$A$11:$J$203,8,FALSE )-$D$7</f>
        <v>24.04</v>
      </c>
      <c r="E103" s="23">
        <f>VLOOKUP(B103,Vertices!$A$11:$J$203,9,FALSE )-$E$7</f>
        <v>47.27</v>
      </c>
      <c r="F103" s="21">
        <f>Faces!C103</f>
        <v>85</v>
      </c>
      <c r="G103" s="22">
        <f>VLOOKUP(F103,Vertices!$A$11:$J$203,7,FALSE )-$C$7</f>
        <v>6.5249999999999986</v>
      </c>
      <c r="H103" s="22">
        <f>VLOOKUP(F103,Vertices!$A$11:$J$203,8,FALSE )-$D$7</f>
        <v>46.89</v>
      </c>
      <c r="I103" s="23">
        <f>VLOOKUP(F103,Vertices!$A$11:$J$203,9,FALSE )-$E$7</f>
        <v>57.54</v>
      </c>
      <c r="J103" s="21">
        <f>Faces!D103</f>
        <v>74</v>
      </c>
      <c r="K103" s="22">
        <f>VLOOKUP(J103,Vertices!$A$11:$J$203,7,FALSE )-$C$7</f>
        <v>7.5549999999999997</v>
      </c>
      <c r="L103" s="22">
        <f>VLOOKUP(J103,Vertices!$A$11:$J$203,8,FALSE )-$D$7</f>
        <v>47.84</v>
      </c>
      <c r="M103" s="23">
        <f>VLOOKUP(J103,Vertices!$A$11:$J$203,9,FALSE )-$E$7</f>
        <v>37.979999999999997</v>
      </c>
      <c r="N103" s="16">
        <f t="shared" si="2"/>
        <v>2989.9138312500013</v>
      </c>
      <c r="O103" s="16">
        <f t="shared" si="3"/>
        <v>2989.9138312500013</v>
      </c>
    </row>
    <row r="104" spans="1:15" x14ac:dyDescent="0.25">
      <c r="A104">
        <f>Faces!A104</f>
        <v>94</v>
      </c>
      <c r="B104" s="21">
        <f>Faces!B104</f>
        <v>73</v>
      </c>
      <c r="C104" s="22">
        <f>VLOOKUP(B104,Vertices!$A$11:$J$203,7,FALSE )-$C$7</f>
        <v>21.034999999999997</v>
      </c>
      <c r="D104" s="22">
        <f>VLOOKUP(B104,Vertices!$A$11:$J$203,8,FALSE )-$D$7</f>
        <v>24.04</v>
      </c>
      <c r="E104" s="23">
        <f>VLOOKUP(B104,Vertices!$A$11:$J$203,9,FALSE )-$E$7</f>
        <v>47.27</v>
      </c>
      <c r="F104" s="21">
        <f>Faces!C104</f>
        <v>84</v>
      </c>
      <c r="G104" s="22">
        <f>VLOOKUP(F104,Vertices!$A$11:$J$203,7,FALSE )-$C$7</f>
        <v>19.905000000000001</v>
      </c>
      <c r="H104" s="22">
        <f>VLOOKUP(F104,Vertices!$A$11:$J$203,8,FALSE )-$D$7</f>
        <v>23.52</v>
      </c>
      <c r="I104" s="23">
        <f>VLOOKUP(F104,Vertices!$A$11:$J$203,9,FALSE )-$E$7</f>
        <v>71.84</v>
      </c>
      <c r="J104" s="21">
        <f>Faces!D104</f>
        <v>85</v>
      </c>
      <c r="K104" s="22">
        <f>VLOOKUP(J104,Vertices!$A$11:$J$203,7,FALSE )-$C$7</f>
        <v>6.5249999999999986</v>
      </c>
      <c r="L104" s="22">
        <f>VLOOKUP(J104,Vertices!$A$11:$J$203,8,FALSE )-$D$7</f>
        <v>46.89</v>
      </c>
      <c r="M104" s="23">
        <f>VLOOKUP(J104,Vertices!$A$11:$J$203,9,FALSE )-$E$7</f>
        <v>57.54</v>
      </c>
      <c r="N104" s="16">
        <f t="shared" si="2"/>
        <v>3631.7711557499983</v>
      </c>
      <c r="O104" s="16">
        <f t="shared" si="3"/>
        <v>3631.7711557499983</v>
      </c>
    </row>
    <row r="105" spans="1:15" x14ac:dyDescent="0.25">
      <c r="A105">
        <f>Faces!A105</f>
        <v>95</v>
      </c>
      <c r="B105" s="21">
        <f>Faces!B105</f>
        <v>72</v>
      </c>
      <c r="C105" s="22">
        <f>VLOOKUP(B105,Vertices!$A$11:$J$203,7,FALSE )-$C$7</f>
        <v>29.924999999999997</v>
      </c>
      <c r="D105" s="22">
        <f>VLOOKUP(B105,Vertices!$A$11:$J$203,8,FALSE )-$D$7</f>
        <v>9.8699999999999992</v>
      </c>
      <c r="E105" s="23">
        <f>VLOOKUP(B105,Vertices!$A$11:$J$203,9,FALSE )-$E$7</f>
        <v>54.53</v>
      </c>
      <c r="F105" s="21">
        <f>Faces!C105</f>
        <v>84</v>
      </c>
      <c r="G105" s="22">
        <f>VLOOKUP(F105,Vertices!$A$11:$J$203,7,FALSE )-$C$7</f>
        <v>19.905000000000001</v>
      </c>
      <c r="H105" s="22">
        <f>VLOOKUP(F105,Vertices!$A$11:$J$203,8,FALSE )-$D$7</f>
        <v>23.52</v>
      </c>
      <c r="I105" s="23">
        <f>VLOOKUP(F105,Vertices!$A$11:$J$203,9,FALSE )-$E$7</f>
        <v>71.84</v>
      </c>
      <c r="J105" s="21">
        <f>Faces!D105</f>
        <v>73</v>
      </c>
      <c r="K105" s="22">
        <f>VLOOKUP(J105,Vertices!$A$11:$J$203,7,FALSE )-$C$7</f>
        <v>21.034999999999997</v>
      </c>
      <c r="L105" s="22">
        <f>VLOOKUP(J105,Vertices!$A$11:$J$203,8,FALSE )-$D$7</f>
        <v>24.04</v>
      </c>
      <c r="M105" s="23">
        <f>VLOOKUP(J105,Vertices!$A$11:$J$203,9,FALSE )-$E$7</f>
        <v>47.27</v>
      </c>
      <c r="N105" s="16">
        <f t="shared" si="2"/>
        <v>2277.9487377500009</v>
      </c>
      <c r="O105" s="16">
        <f t="shared" si="3"/>
        <v>2277.9487377500009</v>
      </c>
    </row>
    <row r="106" spans="1:15" x14ac:dyDescent="0.25">
      <c r="A106">
        <f>Faces!A106</f>
        <v>96</v>
      </c>
      <c r="B106" s="21">
        <f>Faces!B106</f>
        <v>72</v>
      </c>
      <c r="C106" s="22">
        <f>VLOOKUP(B106,Vertices!$A$11:$J$203,7,FALSE )-$C$7</f>
        <v>29.924999999999997</v>
      </c>
      <c r="D106" s="22">
        <f>VLOOKUP(B106,Vertices!$A$11:$J$203,8,FALSE )-$D$7</f>
        <v>9.8699999999999992</v>
      </c>
      <c r="E106" s="23">
        <f>VLOOKUP(B106,Vertices!$A$11:$J$203,9,FALSE )-$E$7</f>
        <v>54.53</v>
      </c>
      <c r="F106" s="21">
        <f>Faces!C106</f>
        <v>83</v>
      </c>
      <c r="G106" s="22">
        <f>VLOOKUP(F106,Vertices!$A$11:$J$203,7,FALSE )-$C$7</f>
        <v>28.725000000000009</v>
      </c>
      <c r="H106" s="22">
        <f>VLOOKUP(F106,Vertices!$A$11:$J$203,8,FALSE )-$D$7</f>
        <v>9.35</v>
      </c>
      <c r="I106" s="23">
        <f>VLOOKUP(F106,Vertices!$A$11:$J$203,9,FALSE )-$E$7</f>
        <v>82.04</v>
      </c>
      <c r="J106" s="21">
        <f>Faces!D106</f>
        <v>84</v>
      </c>
      <c r="K106" s="22">
        <f>VLOOKUP(J106,Vertices!$A$11:$J$203,7,FALSE )-$C$7</f>
        <v>19.905000000000001</v>
      </c>
      <c r="L106" s="22">
        <f>VLOOKUP(J106,Vertices!$A$11:$J$203,8,FALSE )-$D$7</f>
        <v>23.52</v>
      </c>
      <c r="M106" s="23">
        <f>VLOOKUP(J106,Vertices!$A$11:$J$203,9,FALSE )-$E$7</f>
        <v>71.84</v>
      </c>
      <c r="N106" s="16">
        <f t="shared" si="2"/>
        <v>2533.2524822499981</v>
      </c>
      <c r="O106" s="16">
        <f t="shared" si="3"/>
        <v>2533.2524822499981</v>
      </c>
    </row>
    <row r="107" spans="1:15" x14ac:dyDescent="0.25">
      <c r="A107">
        <f>Faces!A107</f>
        <v>97</v>
      </c>
      <c r="B107" s="21">
        <f>Faces!B107</f>
        <v>71</v>
      </c>
      <c r="C107" s="22">
        <f>VLOOKUP(B107,Vertices!$A$11:$J$203,7,FALSE )-$C$7</f>
        <v>34.234999999999999</v>
      </c>
      <c r="D107" s="22">
        <f>VLOOKUP(B107,Vertices!$A$11:$J$203,8,FALSE )-$D$7</f>
        <v>3.32</v>
      </c>
      <c r="E107" s="23">
        <f>VLOOKUP(B107,Vertices!$A$11:$J$203,9,FALSE )-$E$7</f>
        <v>58.28</v>
      </c>
      <c r="F107" s="21">
        <f>Faces!C107</f>
        <v>83</v>
      </c>
      <c r="G107" s="22">
        <f>VLOOKUP(F107,Vertices!$A$11:$J$203,7,FALSE )-$C$7</f>
        <v>28.725000000000009</v>
      </c>
      <c r="H107" s="22">
        <f>VLOOKUP(F107,Vertices!$A$11:$J$203,8,FALSE )-$D$7</f>
        <v>9.35</v>
      </c>
      <c r="I107" s="23">
        <f>VLOOKUP(F107,Vertices!$A$11:$J$203,9,FALSE )-$E$7</f>
        <v>82.04</v>
      </c>
      <c r="J107" s="21">
        <f>Faces!D107</f>
        <v>72</v>
      </c>
      <c r="K107" s="22">
        <f>VLOOKUP(J107,Vertices!$A$11:$J$203,7,FALSE )-$C$7</f>
        <v>29.924999999999997</v>
      </c>
      <c r="L107" s="22">
        <f>VLOOKUP(J107,Vertices!$A$11:$J$203,8,FALSE )-$D$7</f>
        <v>9.8699999999999992</v>
      </c>
      <c r="M107" s="23">
        <f>VLOOKUP(J107,Vertices!$A$11:$J$203,9,FALSE )-$E$7</f>
        <v>54.53</v>
      </c>
      <c r="N107" s="16">
        <f t="shared" si="2"/>
        <v>1183.224590916667</v>
      </c>
      <c r="O107" s="16">
        <f t="shared" si="3"/>
        <v>1183.224590916667</v>
      </c>
    </row>
    <row r="108" spans="1:15" x14ac:dyDescent="0.25">
      <c r="A108">
        <f>Faces!A108</f>
        <v>98</v>
      </c>
      <c r="B108" s="21">
        <f>Faces!B108</f>
        <v>71</v>
      </c>
      <c r="C108" s="22">
        <f>VLOOKUP(B108,Vertices!$A$11:$J$203,7,FALSE )-$C$7</f>
        <v>34.234999999999999</v>
      </c>
      <c r="D108" s="22">
        <f>VLOOKUP(B108,Vertices!$A$11:$J$203,8,FALSE )-$D$7</f>
        <v>3.32</v>
      </c>
      <c r="E108" s="23">
        <f>VLOOKUP(B108,Vertices!$A$11:$J$203,9,FALSE )-$E$7</f>
        <v>58.28</v>
      </c>
      <c r="F108" s="21">
        <f>Faces!C108</f>
        <v>82</v>
      </c>
      <c r="G108" s="22">
        <f>VLOOKUP(F108,Vertices!$A$11:$J$203,7,FALSE )-$C$7</f>
        <v>32.984999999999999</v>
      </c>
      <c r="H108" s="22">
        <f>VLOOKUP(F108,Vertices!$A$11:$J$203,8,FALSE )-$D$7</f>
        <v>2.78</v>
      </c>
      <c r="I108" s="23">
        <f>VLOOKUP(F108,Vertices!$A$11:$J$203,9,FALSE )-$E$7</f>
        <v>87.22</v>
      </c>
      <c r="J108" s="21">
        <f>Faces!D108</f>
        <v>83</v>
      </c>
      <c r="K108" s="22">
        <f>VLOOKUP(J108,Vertices!$A$11:$J$203,7,FALSE )-$C$7</f>
        <v>28.725000000000009</v>
      </c>
      <c r="L108" s="22">
        <f>VLOOKUP(J108,Vertices!$A$11:$J$203,8,FALSE )-$D$7</f>
        <v>9.35</v>
      </c>
      <c r="M108" s="23">
        <f>VLOOKUP(J108,Vertices!$A$11:$J$203,9,FALSE )-$E$7</f>
        <v>82.04</v>
      </c>
      <c r="N108" s="16">
        <f t="shared" si="2"/>
        <v>1242.8383318333329</v>
      </c>
      <c r="O108" s="16">
        <f t="shared" si="3"/>
        <v>1242.8383318333329</v>
      </c>
    </row>
    <row r="109" spans="1:15" x14ac:dyDescent="0.25">
      <c r="A109">
        <f>Faces!A109</f>
        <v>99</v>
      </c>
      <c r="B109" s="21">
        <f>Faces!B109</f>
        <v>70</v>
      </c>
      <c r="C109" s="22">
        <f>VLOOKUP(B109,Vertices!$A$11:$J$203,7,FALSE )-$C$7</f>
        <v>38.835000000000008</v>
      </c>
      <c r="D109" s="22">
        <f>VLOOKUP(B109,Vertices!$A$11:$J$203,8,FALSE )-$D$7</f>
        <v>-3.55</v>
      </c>
      <c r="E109" s="23">
        <f>VLOOKUP(B109,Vertices!$A$11:$J$203,9,FALSE )-$E$7</f>
        <v>62.44</v>
      </c>
      <c r="F109" s="21">
        <f>Faces!C109</f>
        <v>82</v>
      </c>
      <c r="G109" s="22">
        <f>VLOOKUP(F109,Vertices!$A$11:$J$203,7,FALSE )-$C$7</f>
        <v>32.984999999999999</v>
      </c>
      <c r="H109" s="22">
        <f>VLOOKUP(F109,Vertices!$A$11:$J$203,8,FALSE )-$D$7</f>
        <v>2.78</v>
      </c>
      <c r="I109" s="23">
        <f>VLOOKUP(F109,Vertices!$A$11:$J$203,9,FALSE )-$E$7</f>
        <v>87.22</v>
      </c>
      <c r="J109" s="21">
        <f>Faces!D109</f>
        <v>71</v>
      </c>
      <c r="K109" s="22">
        <f>VLOOKUP(J109,Vertices!$A$11:$J$203,7,FALSE )-$C$7</f>
        <v>34.234999999999999</v>
      </c>
      <c r="L109" s="22">
        <f>VLOOKUP(J109,Vertices!$A$11:$J$203,8,FALSE )-$D$7</f>
        <v>3.32</v>
      </c>
      <c r="M109" s="23">
        <f>VLOOKUP(J109,Vertices!$A$11:$J$203,9,FALSE )-$E$7</f>
        <v>58.28</v>
      </c>
      <c r="N109" s="16">
        <f t="shared" si="2"/>
        <v>1305.6840965000004</v>
      </c>
      <c r="O109" s="16">
        <f t="shared" si="3"/>
        <v>1305.6840965000004</v>
      </c>
    </row>
    <row r="110" spans="1:15" x14ac:dyDescent="0.25">
      <c r="A110">
        <f>Faces!A110</f>
        <v>100</v>
      </c>
      <c r="B110" s="21">
        <f>Faces!B110</f>
        <v>70</v>
      </c>
      <c r="C110" s="22">
        <f>VLOOKUP(B110,Vertices!$A$11:$J$203,7,FALSE )-$C$7</f>
        <v>38.835000000000008</v>
      </c>
      <c r="D110" s="22">
        <f>VLOOKUP(B110,Vertices!$A$11:$J$203,8,FALSE )-$D$7</f>
        <v>-3.55</v>
      </c>
      <c r="E110" s="23">
        <f>VLOOKUP(B110,Vertices!$A$11:$J$203,9,FALSE )-$E$7</f>
        <v>62.44</v>
      </c>
      <c r="F110" s="21">
        <f>Faces!C110</f>
        <v>81</v>
      </c>
      <c r="G110" s="22">
        <f>VLOOKUP(F110,Vertices!$A$11:$J$203,7,FALSE )-$C$7</f>
        <v>37.545000000000002</v>
      </c>
      <c r="H110" s="22">
        <f>VLOOKUP(F110,Vertices!$A$11:$J$203,8,FALSE )-$D$7</f>
        <v>-4</v>
      </c>
      <c r="I110" s="23">
        <f>VLOOKUP(F110,Vertices!$A$11:$J$203,9,FALSE )-$E$7</f>
        <v>93</v>
      </c>
      <c r="J110" s="21">
        <f>Faces!D110</f>
        <v>82</v>
      </c>
      <c r="K110" s="22">
        <f>VLOOKUP(J110,Vertices!$A$11:$J$203,7,FALSE )-$C$7</f>
        <v>32.984999999999999</v>
      </c>
      <c r="L110" s="22">
        <f>VLOOKUP(J110,Vertices!$A$11:$J$203,8,FALSE )-$D$7</f>
        <v>2.78</v>
      </c>
      <c r="M110" s="23">
        <f>VLOOKUP(J110,Vertices!$A$11:$J$203,9,FALSE )-$E$7</f>
        <v>87.22</v>
      </c>
      <c r="N110" s="16">
        <f t="shared" si="2"/>
        <v>1349.7571185000004</v>
      </c>
      <c r="O110" s="16">
        <f t="shared" si="3"/>
        <v>1349.7571185000004</v>
      </c>
    </row>
    <row r="111" spans="1:15" x14ac:dyDescent="0.25">
      <c r="A111">
        <f>Faces!A111</f>
        <v>101</v>
      </c>
      <c r="B111" s="21">
        <f>Faces!B111</f>
        <v>1</v>
      </c>
      <c r="C111" s="22">
        <f>VLOOKUP(B111,Vertices!$A$11:$J$203,7,FALSE )-$C$7</f>
        <v>43.545000000000002</v>
      </c>
      <c r="D111" s="22">
        <f>VLOOKUP(B111,Vertices!$A$11:$J$203,8,FALSE )-$D$7</f>
        <v>1</v>
      </c>
      <c r="E111" s="23">
        <f>VLOOKUP(B111,Vertices!$A$11:$J$203,9,FALSE )-$E$7</f>
        <v>-4</v>
      </c>
      <c r="F111" s="21">
        <f>Faces!C111</f>
        <v>7</v>
      </c>
      <c r="G111" s="22">
        <f>VLOOKUP(F111,Vertices!$A$11:$J$203,7,FALSE )-$C$7</f>
        <v>39.534999999999997</v>
      </c>
      <c r="H111" s="22">
        <f>VLOOKUP(F111,Vertices!$A$11:$J$203,8,FALSE )-$D$7</f>
        <v>-2.33</v>
      </c>
      <c r="I111" s="23">
        <f>VLOOKUP(F111,Vertices!$A$11:$J$203,9,FALSE )-$E$7</f>
        <v>-8.84</v>
      </c>
      <c r="J111" s="21">
        <f>Faces!D111</f>
        <v>43</v>
      </c>
      <c r="K111" s="22">
        <f>VLOOKUP(J111,Vertices!$A$11:$J$203,7,FALSE )-$C$7</f>
        <v>38.814999999999998</v>
      </c>
      <c r="L111" s="22">
        <f>VLOOKUP(J111,Vertices!$A$11:$J$203,8,FALSE )-$D$7</f>
        <v>-3.53</v>
      </c>
      <c r="M111" s="23">
        <f>VLOOKUP(J111,Vertices!$A$11:$J$203,9,FALSE )-$E$7</f>
        <v>-0.18</v>
      </c>
      <c r="N111" s="16">
        <f t="shared" si="2"/>
        <v>246.68292683333334</v>
      </c>
      <c r="O111" s="16">
        <f t="shared" si="3"/>
        <v>246.68292683333334</v>
      </c>
    </row>
    <row r="112" spans="1:15" x14ac:dyDescent="0.25">
      <c r="A112">
        <f>Faces!A112</f>
        <v>102</v>
      </c>
      <c r="B112" s="21">
        <f>Faces!B112</f>
        <v>1</v>
      </c>
      <c r="C112" s="22">
        <f>VLOOKUP(B112,Vertices!$A$11:$J$203,7,FALSE )-$C$7</f>
        <v>43.545000000000002</v>
      </c>
      <c r="D112" s="22">
        <f>VLOOKUP(B112,Vertices!$A$11:$J$203,8,FALSE )-$D$7</f>
        <v>1</v>
      </c>
      <c r="E112" s="23">
        <f>VLOOKUP(B112,Vertices!$A$11:$J$203,9,FALSE )-$E$7</f>
        <v>-4</v>
      </c>
      <c r="F112" s="21">
        <f>Faces!C112</f>
        <v>43</v>
      </c>
      <c r="G112" s="22">
        <f>VLOOKUP(F112,Vertices!$A$11:$J$203,7,FALSE )-$C$7</f>
        <v>38.814999999999998</v>
      </c>
      <c r="H112" s="22">
        <f>VLOOKUP(F112,Vertices!$A$11:$J$203,8,FALSE )-$D$7</f>
        <v>-3.53</v>
      </c>
      <c r="I112" s="23">
        <f>VLOOKUP(F112,Vertices!$A$11:$J$203,9,FALSE )-$E$7</f>
        <v>-0.18</v>
      </c>
      <c r="J112" s="21">
        <f>Faces!D112</f>
        <v>37</v>
      </c>
      <c r="K112" s="22">
        <f>VLOOKUP(J112,Vertices!$A$11:$J$203,7,FALSE )-$C$7</f>
        <v>42.765000000000001</v>
      </c>
      <c r="L112" s="22">
        <f>VLOOKUP(J112,Vertices!$A$11:$J$203,8,FALSE )-$D$7</f>
        <v>0.12</v>
      </c>
      <c r="M112" s="23">
        <f>VLOOKUP(J112,Vertices!$A$11:$J$203,9,FALSE )-$E$7</f>
        <v>4.76</v>
      </c>
      <c r="N112" s="16">
        <f t="shared" si="2"/>
        <v>257.61124233333334</v>
      </c>
      <c r="O112" s="16">
        <f t="shared" si="3"/>
        <v>257.61124233333334</v>
      </c>
    </row>
    <row r="113" spans="1:15" x14ac:dyDescent="0.25">
      <c r="A113">
        <f>Faces!A113</f>
        <v>103</v>
      </c>
      <c r="B113" s="21">
        <f>Faces!B113</f>
        <v>7</v>
      </c>
      <c r="C113" s="22">
        <f>VLOOKUP(B113,Vertices!$A$11:$J$203,7,FALSE )-$C$7</f>
        <v>39.534999999999997</v>
      </c>
      <c r="D113" s="22">
        <f>VLOOKUP(B113,Vertices!$A$11:$J$203,8,FALSE )-$D$7</f>
        <v>-2.33</v>
      </c>
      <c r="E113" s="23">
        <f>VLOOKUP(B113,Vertices!$A$11:$J$203,9,FALSE )-$E$7</f>
        <v>-8.84</v>
      </c>
      <c r="F113" s="21">
        <f>Faces!C113</f>
        <v>13</v>
      </c>
      <c r="G113" s="22">
        <f>VLOOKUP(F113,Vertices!$A$11:$J$203,7,FALSE )-$C$7</f>
        <v>35.635000000000005</v>
      </c>
      <c r="H113" s="22">
        <f>VLOOKUP(F113,Vertices!$A$11:$J$203,8,FALSE )-$D$7</f>
        <v>-5.66</v>
      </c>
      <c r="I113" s="23">
        <f>VLOOKUP(F113,Vertices!$A$11:$J$203,9,FALSE )-$E$7</f>
        <v>-13.59</v>
      </c>
      <c r="J113" s="21">
        <f>Faces!D113</f>
        <v>44</v>
      </c>
      <c r="K113" s="22">
        <f>VLOOKUP(J113,Vertices!$A$11:$J$203,7,FALSE )-$C$7</f>
        <v>34.924999999999997</v>
      </c>
      <c r="L113" s="22">
        <f>VLOOKUP(J113,Vertices!$A$11:$J$203,8,FALSE )-$D$7</f>
        <v>-7.13</v>
      </c>
      <c r="M113" s="23">
        <f>VLOOKUP(J113,Vertices!$A$11:$J$203,9,FALSE )-$E$7</f>
        <v>-5</v>
      </c>
      <c r="N113" s="16">
        <f t="shared" si="2"/>
        <v>253.77241916666654</v>
      </c>
      <c r="O113" s="16">
        <f t="shared" si="3"/>
        <v>253.77241916666654</v>
      </c>
    </row>
    <row r="114" spans="1:15" x14ac:dyDescent="0.25">
      <c r="A114">
        <f>Faces!A114</f>
        <v>104</v>
      </c>
      <c r="B114" s="21">
        <f>Faces!B114</f>
        <v>7</v>
      </c>
      <c r="C114" s="22">
        <f>VLOOKUP(B114,Vertices!$A$11:$J$203,7,FALSE )-$C$7</f>
        <v>39.534999999999997</v>
      </c>
      <c r="D114" s="22">
        <f>VLOOKUP(B114,Vertices!$A$11:$J$203,8,FALSE )-$D$7</f>
        <v>-2.33</v>
      </c>
      <c r="E114" s="23">
        <f>VLOOKUP(B114,Vertices!$A$11:$J$203,9,FALSE )-$E$7</f>
        <v>-8.84</v>
      </c>
      <c r="F114" s="21">
        <f>Faces!C114</f>
        <v>44</v>
      </c>
      <c r="G114" s="22">
        <f>VLOOKUP(F114,Vertices!$A$11:$J$203,7,FALSE )-$C$7</f>
        <v>34.924999999999997</v>
      </c>
      <c r="H114" s="22">
        <f>VLOOKUP(F114,Vertices!$A$11:$J$203,8,FALSE )-$D$7</f>
        <v>-7.13</v>
      </c>
      <c r="I114" s="23">
        <f>VLOOKUP(F114,Vertices!$A$11:$J$203,9,FALSE )-$E$7</f>
        <v>-5</v>
      </c>
      <c r="J114" s="21">
        <f>Faces!D114</f>
        <v>43</v>
      </c>
      <c r="K114" s="22">
        <f>VLOOKUP(J114,Vertices!$A$11:$J$203,7,FALSE )-$C$7</f>
        <v>38.814999999999998</v>
      </c>
      <c r="L114" s="22">
        <f>VLOOKUP(J114,Vertices!$A$11:$J$203,8,FALSE )-$D$7</f>
        <v>-3.53</v>
      </c>
      <c r="M114" s="23">
        <f>VLOOKUP(J114,Vertices!$A$11:$J$203,9,FALSE )-$E$7</f>
        <v>-0.18</v>
      </c>
      <c r="N114" s="16">
        <f t="shared" si="2"/>
        <v>261.02385233333331</v>
      </c>
      <c r="O114" s="16">
        <f t="shared" si="3"/>
        <v>261.02385233333331</v>
      </c>
    </row>
    <row r="115" spans="1:15" x14ac:dyDescent="0.25">
      <c r="A115">
        <f>Faces!A115</f>
        <v>105</v>
      </c>
      <c r="B115" s="21">
        <f>Faces!B115</f>
        <v>43</v>
      </c>
      <c r="C115" s="22">
        <f>VLOOKUP(B115,Vertices!$A$11:$J$203,7,FALSE )-$C$7</f>
        <v>38.814999999999998</v>
      </c>
      <c r="D115" s="22">
        <f>VLOOKUP(B115,Vertices!$A$11:$J$203,8,FALSE )-$D$7</f>
        <v>-3.53</v>
      </c>
      <c r="E115" s="23">
        <f>VLOOKUP(B115,Vertices!$A$11:$J$203,9,FALSE )-$E$7</f>
        <v>-0.18</v>
      </c>
      <c r="F115" s="21">
        <f>Faces!C115</f>
        <v>44</v>
      </c>
      <c r="G115" s="22">
        <f>VLOOKUP(F115,Vertices!$A$11:$J$203,7,FALSE )-$C$7</f>
        <v>34.924999999999997</v>
      </c>
      <c r="H115" s="22">
        <f>VLOOKUP(F115,Vertices!$A$11:$J$203,8,FALSE )-$D$7</f>
        <v>-7.13</v>
      </c>
      <c r="I115" s="23">
        <f>VLOOKUP(F115,Vertices!$A$11:$J$203,9,FALSE )-$E$7</f>
        <v>-5</v>
      </c>
      <c r="J115" s="21">
        <f>Faces!D115</f>
        <v>55</v>
      </c>
      <c r="K115" s="22">
        <f>VLOOKUP(J115,Vertices!$A$11:$J$203,7,FALSE )-$C$7</f>
        <v>34.305000000000007</v>
      </c>
      <c r="L115" s="22">
        <f>VLOOKUP(J115,Vertices!$A$11:$J$203,8,FALSE )-$D$7</f>
        <v>-8.3800000000000008</v>
      </c>
      <c r="M115" s="23">
        <f>VLOOKUP(J115,Vertices!$A$11:$J$203,9,FALSE )-$E$7</f>
        <v>3.36</v>
      </c>
      <c r="N115" s="16">
        <f t="shared" si="2"/>
        <v>254.64269483333337</v>
      </c>
      <c r="O115" s="16">
        <f t="shared" si="3"/>
        <v>254.64269483333337</v>
      </c>
    </row>
    <row r="116" spans="1:15" x14ac:dyDescent="0.25">
      <c r="A116">
        <f>Faces!A116</f>
        <v>106</v>
      </c>
      <c r="B116" s="21">
        <f>Faces!B116</f>
        <v>43</v>
      </c>
      <c r="C116" s="22">
        <f>VLOOKUP(B116,Vertices!$A$11:$J$203,7,FALSE )-$C$7</f>
        <v>38.814999999999998</v>
      </c>
      <c r="D116" s="22">
        <f>VLOOKUP(B116,Vertices!$A$11:$J$203,8,FALSE )-$D$7</f>
        <v>-3.53</v>
      </c>
      <c r="E116" s="23">
        <f>VLOOKUP(B116,Vertices!$A$11:$J$203,9,FALSE )-$E$7</f>
        <v>-0.18</v>
      </c>
      <c r="F116" s="21">
        <f>Faces!C116</f>
        <v>55</v>
      </c>
      <c r="G116" s="22">
        <f>VLOOKUP(F116,Vertices!$A$11:$J$203,7,FALSE )-$C$7</f>
        <v>34.305000000000007</v>
      </c>
      <c r="H116" s="22">
        <f>VLOOKUP(F116,Vertices!$A$11:$J$203,8,FALSE )-$D$7</f>
        <v>-8.3800000000000008</v>
      </c>
      <c r="I116" s="23">
        <f>VLOOKUP(F116,Vertices!$A$11:$J$203,9,FALSE )-$E$7</f>
        <v>3.36</v>
      </c>
      <c r="J116" s="21">
        <f>Faces!D116</f>
        <v>54</v>
      </c>
      <c r="K116" s="22">
        <f>VLOOKUP(J116,Vertices!$A$11:$J$203,7,FALSE )-$C$7</f>
        <v>38.125</v>
      </c>
      <c r="L116" s="22">
        <f>VLOOKUP(J116,Vertices!$A$11:$J$203,8,FALSE )-$D$7</f>
        <v>-4.5599999999999996</v>
      </c>
      <c r="M116" s="23">
        <f>VLOOKUP(J116,Vertices!$A$11:$J$203,9,FALSE )-$E$7</f>
        <v>8.31</v>
      </c>
      <c r="N116" s="16">
        <f t="shared" si="2"/>
        <v>263.91889125</v>
      </c>
      <c r="O116" s="16">
        <f t="shared" si="3"/>
        <v>263.91889125</v>
      </c>
    </row>
    <row r="117" spans="1:15" x14ac:dyDescent="0.25">
      <c r="A117">
        <f>Faces!A117</f>
        <v>107</v>
      </c>
      <c r="B117" s="21">
        <f>Faces!B117</f>
        <v>37</v>
      </c>
      <c r="C117" s="22">
        <f>VLOOKUP(B117,Vertices!$A$11:$J$203,7,FALSE )-$C$7</f>
        <v>42.765000000000001</v>
      </c>
      <c r="D117" s="22">
        <f>VLOOKUP(B117,Vertices!$A$11:$J$203,8,FALSE )-$D$7</f>
        <v>0.12</v>
      </c>
      <c r="E117" s="23">
        <f>VLOOKUP(B117,Vertices!$A$11:$J$203,9,FALSE )-$E$7</f>
        <v>4.76</v>
      </c>
      <c r="F117" s="21">
        <f>Faces!C117</f>
        <v>43</v>
      </c>
      <c r="G117" s="22">
        <f>VLOOKUP(F117,Vertices!$A$11:$J$203,7,FALSE )-$C$7</f>
        <v>38.814999999999998</v>
      </c>
      <c r="H117" s="22">
        <f>VLOOKUP(F117,Vertices!$A$11:$J$203,8,FALSE )-$D$7</f>
        <v>-3.53</v>
      </c>
      <c r="I117" s="23">
        <f>VLOOKUP(F117,Vertices!$A$11:$J$203,9,FALSE )-$E$7</f>
        <v>-0.18</v>
      </c>
      <c r="J117" s="21">
        <f>Faces!D117</f>
        <v>54</v>
      </c>
      <c r="K117" s="22">
        <f>VLOOKUP(J117,Vertices!$A$11:$J$203,7,FALSE )-$C$7</f>
        <v>38.125</v>
      </c>
      <c r="L117" s="22">
        <f>VLOOKUP(J117,Vertices!$A$11:$J$203,8,FALSE )-$D$7</f>
        <v>-4.5599999999999996</v>
      </c>
      <c r="M117" s="23">
        <f>VLOOKUP(J117,Vertices!$A$11:$J$203,9,FALSE )-$E$7</f>
        <v>8.31</v>
      </c>
      <c r="N117" s="16">
        <f t="shared" si="2"/>
        <v>255.16813058333332</v>
      </c>
      <c r="O117" s="16">
        <f t="shared" si="3"/>
        <v>255.16813058333332</v>
      </c>
    </row>
    <row r="118" spans="1:15" x14ac:dyDescent="0.25">
      <c r="A118">
        <f>Faces!A118</f>
        <v>108</v>
      </c>
      <c r="B118" s="21">
        <f>Faces!B118</f>
        <v>37</v>
      </c>
      <c r="C118" s="22">
        <f>VLOOKUP(B118,Vertices!$A$11:$J$203,7,FALSE )-$C$7</f>
        <v>42.765000000000001</v>
      </c>
      <c r="D118" s="22">
        <f>VLOOKUP(B118,Vertices!$A$11:$J$203,8,FALSE )-$D$7</f>
        <v>0.12</v>
      </c>
      <c r="E118" s="23">
        <f>VLOOKUP(B118,Vertices!$A$11:$J$203,9,FALSE )-$E$7</f>
        <v>4.76</v>
      </c>
      <c r="F118" s="21">
        <f>Faces!C118</f>
        <v>54</v>
      </c>
      <c r="G118" s="22">
        <f>VLOOKUP(F118,Vertices!$A$11:$J$203,7,FALSE )-$C$7</f>
        <v>38.125</v>
      </c>
      <c r="H118" s="22">
        <f>VLOOKUP(F118,Vertices!$A$11:$J$203,8,FALSE )-$D$7</f>
        <v>-4.5599999999999996</v>
      </c>
      <c r="I118" s="23">
        <f>VLOOKUP(F118,Vertices!$A$11:$J$203,9,FALSE )-$E$7</f>
        <v>8.31</v>
      </c>
      <c r="J118" s="21">
        <f>Faces!D118</f>
        <v>48</v>
      </c>
      <c r="K118" s="22">
        <f>VLOOKUP(J118,Vertices!$A$11:$J$203,7,FALSE )-$C$7</f>
        <v>42.034999999999997</v>
      </c>
      <c r="L118" s="22">
        <f>VLOOKUP(J118,Vertices!$A$11:$J$203,8,FALSE )-$D$7</f>
        <v>-0.71</v>
      </c>
      <c r="M118" s="23">
        <f>VLOOKUP(J118,Vertices!$A$11:$J$203,9,FALSE )-$E$7</f>
        <v>13.36</v>
      </c>
      <c r="N118" s="16">
        <f t="shared" si="2"/>
        <v>264.77524991666661</v>
      </c>
      <c r="O118" s="16">
        <f t="shared" si="3"/>
        <v>264.77524991666661</v>
      </c>
    </row>
    <row r="119" spans="1:15" x14ac:dyDescent="0.25">
      <c r="A119">
        <f>Faces!A119</f>
        <v>109</v>
      </c>
      <c r="B119" s="21">
        <f>Faces!B119</f>
        <v>13</v>
      </c>
      <c r="C119" s="22">
        <f>VLOOKUP(B119,Vertices!$A$11:$J$203,7,FALSE )-$C$7</f>
        <v>35.635000000000005</v>
      </c>
      <c r="D119" s="22">
        <f>VLOOKUP(B119,Vertices!$A$11:$J$203,8,FALSE )-$D$7</f>
        <v>-5.66</v>
      </c>
      <c r="E119" s="23">
        <f>VLOOKUP(B119,Vertices!$A$11:$J$203,9,FALSE )-$E$7</f>
        <v>-13.59</v>
      </c>
      <c r="F119" s="21">
        <f>Faces!C119</f>
        <v>19</v>
      </c>
      <c r="G119" s="22">
        <f>VLOOKUP(F119,Vertices!$A$11:$J$203,7,FALSE )-$C$7</f>
        <v>27.695000000000007</v>
      </c>
      <c r="H119" s="22">
        <f>VLOOKUP(F119,Vertices!$A$11:$J$203,8,FALSE )-$D$7</f>
        <v>-12.76</v>
      </c>
      <c r="I119" s="23">
        <f>VLOOKUP(F119,Vertices!$A$11:$J$203,9,FALSE )-$E$7</f>
        <v>-23.17</v>
      </c>
      <c r="J119" s="21">
        <f>Faces!D119</f>
        <v>45</v>
      </c>
      <c r="K119" s="22">
        <f>VLOOKUP(J119,Vertices!$A$11:$J$203,7,FALSE )-$C$7</f>
        <v>27.094999999999999</v>
      </c>
      <c r="L119" s="22">
        <f>VLOOKUP(J119,Vertices!$A$11:$J$203,8,FALSE )-$D$7</f>
        <v>-14.75</v>
      </c>
      <c r="M119" s="23">
        <f>VLOOKUP(J119,Vertices!$A$11:$J$203,9,FALSE )-$E$7</f>
        <v>-14.77</v>
      </c>
      <c r="N119" s="16">
        <f t="shared" si="2"/>
        <v>561.91566016666661</v>
      </c>
      <c r="O119" s="16">
        <f t="shared" si="3"/>
        <v>561.91566016666661</v>
      </c>
    </row>
    <row r="120" spans="1:15" x14ac:dyDescent="0.25">
      <c r="A120">
        <f>Faces!A120</f>
        <v>110</v>
      </c>
      <c r="B120" s="21">
        <f>Faces!B120</f>
        <v>13</v>
      </c>
      <c r="C120" s="22">
        <f>VLOOKUP(B120,Vertices!$A$11:$J$203,7,FALSE )-$C$7</f>
        <v>35.635000000000005</v>
      </c>
      <c r="D120" s="22">
        <f>VLOOKUP(B120,Vertices!$A$11:$J$203,8,FALSE )-$D$7</f>
        <v>-5.66</v>
      </c>
      <c r="E120" s="23">
        <f>VLOOKUP(B120,Vertices!$A$11:$J$203,9,FALSE )-$E$7</f>
        <v>-13.59</v>
      </c>
      <c r="F120" s="21">
        <f>Faces!C120</f>
        <v>45</v>
      </c>
      <c r="G120" s="22">
        <f>VLOOKUP(F120,Vertices!$A$11:$J$203,7,FALSE )-$C$7</f>
        <v>27.094999999999999</v>
      </c>
      <c r="H120" s="22">
        <f>VLOOKUP(F120,Vertices!$A$11:$J$203,8,FALSE )-$D$7</f>
        <v>-14.75</v>
      </c>
      <c r="I120" s="23">
        <f>VLOOKUP(F120,Vertices!$A$11:$J$203,9,FALSE )-$E$7</f>
        <v>-14.77</v>
      </c>
      <c r="J120" s="21">
        <f>Faces!D120</f>
        <v>44</v>
      </c>
      <c r="K120" s="22">
        <f>VLOOKUP(J120,Vertices!$A$11:$J$203,7,FALSE )-$C$7</f>
        <v>34.924999999999997</v>
      </c>
      <c r="L120" s="22">
        <f>VLOOKUP(J120,Vertices!$A$11:$J$203,8,FALSE )-$D$7</f>
        <v>-7.13</v>
      </c>
      <c r="M120" s="23">
        <f>VLOOKUP(J120,Vertices!$A$11:$J$203,9,FALSE )-$E$7</f>
        <v>-5</v>
      </c>
      <c r="N120" s="16">
        <f t="shared" si="2"/>
        <v>557.85883408333325</v>
      </c>
      <c r="O120" s="16">
        <f t="shared" si="3"/>
        <v>557.85883408333325</v>
      </c>
    </row>
    <row r="121" spans="1:15" x14ac:dyDescent="0.25">
      <c r="A121">
        <f>Faces!A121</f>
        <v>111</v>
      </c>
      <c r="B121" s="21">
        <f>Faces!B121</f>
        <v>44</v>
      </c>
      <c r="C121" s="22">
        <f>VLOOKUP(B121,Vertices!$A$11:$J$203,7,FALSE )-$C$7</f>
        <v>34.924999999999997</v>
      </c>
      <c r="D121" s="22">
        <f>VLOOKUP(B121,Vertices!$A$11:$J$203,8,FALSE )-$D$7</f>
        <v>-7.13</v>
      </c>
      <c r="E121" s="23">
        <f>VLOOKUP(B121,Vertices!$A$11:$J$203,9,FALSE )-$E$7</f>
        <v>-5</v>
      </c>
      <c r="F121" s="21">
        <f>Faces!C121</f>
        <v>45</v>
      </c>
      <c r="G121" s="22">
        <f>VLOOKUP(F121,Vertices!$A$11:$J$203,7,FALSE )-$C$7</f>
        <v>27.094999999999999</v>
      </c>
      <c r="H121" s="22">
        <f>VLOOKUP(F121,Vertices!$A$11:$J$203,8,FALSE )-$D$7</f>
        <v>-14.75</v>
      </c>
      <c r="I121" s="23">
        <f>VLOOKUP(F121,Vertices!$A$11:$J$203,9,FALSE )-$E$7</f>
        <v>-14.77</v>
      </c>
      <c r="J121" s="21">
        <f>Faces!D121</f>
        <v>56</v>
      </c>
      <c r="K121" s="22">
        <f>VLOOKUP(J121,Vertices!$A$11:$J$203,7,FALSE )-$C$7</f>
        <v>26.525000000000006</v>
      </c>
      <c r="L121" s="22">
        <f>VLOOKUP(J121,Vertices!$A$11:$J$203,8,FALSE )-$D$7</f>
        <v>-16.63</v>
      </c>
      <c r="M121" s="23">
        <f>VLOOKUP(J121,Vertices!$A$11:$J$203,9,FALSE )-$E$7</f>
        <v>-6.56</v>
      </c>
      <c r="N121" s="16">
        <f t="shared" si="2"/>
        <v>562.72362183333325</v>
      </c>
      <c r="O121" s="16">
        <f t="shared" si="3"/>
        <v>562.72362183333325</v>
      </c>
    </row>
    <row r="122" spans="1:15" x14ac:dyDescent="0.25">
      <c r="A122">
        <f>Faces!A122</f>
        <v>112</v>
      </c>
      <c r="B122" s="21">
        <f>Faces!B122</f>
        <v>44</v>
      </c>
      <c r="C122" s="22">
        <f>VLOOKUP(B122,Vertices!$A$11:$J$203,7,FALSE )-$C$7</f>
        <v>34.924999999999997</v>
      </c>
      <c r="D122" s="22">
        <f>VLOOKUP(B122,Vertices!$A$11:$J$203,8,FALSE )-$D$7</f>
        <v>-7.13</v>
      </c>
      <c r="E122" s="23">
        <f>VLOOKUP(B122,Vertices!$A$11:$J$203,9,FALSE )-$E$7</f>
        <v>-5</v>
      </c>
      <c r="F122" s="21">
        <f>Faces!C122</f>
        <v>56</v>
      </c>
      <c r="G122" s="22">
        <f>VLOOKUP(F122,Vertices!$A$11:$J$203,7,FALSE )-$C$7</f>
        <v>26.525000000000006</v>
      </c>
      <c r="H122" s="22">
        <f>VLOOKUP(F122,Vertices!$A$11:$J$203,8,FALSE )-$D$7</f>
        <v>-16.63</v>
      </c>
      <c r="I122" s="23">
        <f>VLOOKUP(F122,Vertices!$A$11:$J$203,9,FALSE )-$E$7</f>
        <v>-6.56</v>
      </c>
      <c r="J122" s="21">
        <f>Faces!D122</f>
        <v>55</v>
      </c>
      <c r="K122" s="22">
        <f>VLOOKUP(J122,Vertices!$A$11:$J$203,7,FALSE )-$C$7</f>
        <v>34.305000000000007</v>
      </c>
      <c r="L122" s="22">
        <f>VLOOKUP(J122,Vertices!$A$11:$J$203,8,FALSE )-$D$7</f>
        <v>-8.3800000000000008</v>
      </c>
      <c r="M122" s="23">
        <f>VLOOKUP(J122,Vertices!$A$11:$J$203,9,FALSE )-$E$7</f>
        <v>3.36</v>
      </c>
      <c r="N122" s="16">
        <f t="shared" si="2"/>
        <v>562.08175099999983</v>
      </c>
      <c r="O122" s="16">
        <f t="shared" si="3"/>
        <v>562.08175099999983</v>
      </c>
    </row>
    <row r="123" spans="1:15" x14ac:dyDescent="0.25">
      <c r="A123">
        <f>Faces!A123</f>
        <v>113</v>
      </c>
      <c r="B123" s="21">
        <f>Faces!B123</f>
        <v>55</v>
      </c>
      <c r="C123" s="22">
        <f>VLOOKUP(B123,Vertices!$A$11:$J$203,7,FALSE )-$C$7</f>
        <v>34.305000000000007</v>
      </c>
      <c r="D123" s="22">
        <f>VLOOKUP(B123,Vertices!$A$11:$J$203,8,FALSE )-$D$7</f>
        <v>-8.3800000000000008</v>
      </c>
      <c r="E123" s="23">
        <f>VLOOKUP(B123,Vertices!$A$11:$J$203,9,FALSE )-$E$7</f>
        <v>3.36</v>
      </c>
      <c r="F123" s="21">
        <f>Faces!C123</f>
        <v>56</v>
      </c>
      <c r="G123" s="22">
        <f>VLOOKUP(F123,Vertices!$A$11:$J$203,7,FALSE )-$C$7</f>
        <v>26.525000000000006</v>
      </c>
      <c r="H123" s="22">
        <f>VLOOKUP(F123,Vertices!$A$11:$J$203,8,FALSE )-$D$7</f>
        <v>-16.63</v>
      </c>
      <c r="I123" s="23">
        <f>VLOOKUP(F123,Vertices!$A$11:$J$203,9,FALSE )-$E$7</f>
        <v>-6.56</v>
      </c>
      <c r="J123" s="21">
        <f>Faces!D123</f>
        <v>67</v>
      </c>
      <c r="K123" s="22">
        <f>VLOOKUP(J123,Vertices!$A$11:$J$203,7,FALSE )-$C$7</f>
        <v>25.435000000000002</v>
      </c>
      <c r="L123" s="22">
        <f>VLOOKUP(J123,Vertices!$A$11:$J$203,8,FALSE )-$D$7</f>
        <v>-19.940000000000001</v>
      </c>
      <c r="M123" s="23">
        <f>VLOOKUP(J123,Vertices!$A$11:$J$203,9,FALSE )-$E$7</f>
        <v>10.51</v>
      </c>
      <c r="N123" s="16">
        <f t="shared" si="2"/>
        <v>1184.116914583333</v>
      </c>
      <c r="O123" s="16">
        <f t="shared" si="3"/>
        <v>1184.116914583333</v>
      </c>
    </row>
    <row r="124" spans="1:15" x14ac:dyDescent="0.25">
      <c r="A124">
        <f>Faces!A124</f>
        <v>114</v>
      </c>
      <c r="B124" s="21">
        <f>Faces!B124</f>
        <v>55</v>
      </c>
      <c r="C124" s="22">
        <f>VLOOKUP(B124,Vertices!$A$11:$J$203,7,FALSE )-$C$7</f>
        <v>34.305000000000007</v>
      </c>
      <c r="D124" s="22">
        <f>VLOOKUP(B124,Vertices!$A$11:$J$203,8,FALSE )-$D$7</f>
        <v>-8.3800000000000008</v>
      </c>
      <c r="E124" s="23">
        <f>VLOOKUP(B124,Vertices!$A$11:$J$203,9,FALSE )-$E$7</f>
        <v>3.36</v>
      </c>
      <c r="F124" s="21">
        <f>Faces!C124</f>
        <v>67</v>
      </c>
      <c r="G124" s="22">
        <f>VLOOKUP(F124,Vertices!$A$11:$J$203,7,FALSE )-$C$7</f>
        <v>25.435000000000002</v>
      </c>
      <c r="H124" s="22">
        <f>VLOOKUP(F124,Vertices!$A$11:$J$203,8,FALSE )-$D$7</f>
        <v>-19.940000000000001</v>
      </c>
      <c r="I124" s="23">
        <f>VLOOKUP(F124,Vertices!$A$11:$J$203,9,FALSE )-$E$7</f>
        <v>10.51</v>
      </c>
      <c r="J124" s="21">
        <f>Faces!D124</f>
        <v>66</v>
      </c>
      <c r="K124" s="22">
        <f>VLOOKUP(J124,Vertices!$A$11:$J$203,7,FALSE )-$C$7</f>
        <v>33.085000000000008</v>
      </c>
      <c r="L124" s="22">
        <f>VLOOKUP(J124,Vertices!$A$11:$J$203,8,FALSE )-$D$7</f>
        <v>-10.68</v>
      </c>
      <c r="M124" s="23">
        <f>VLOOKUP(J124,Vertices!$A$11:$J$203,9,FALSE )-$E$7</f>
        <v>21.05</v>
      </c>
      <c r="N124" s="16">
        <f t="shared" si="2"/>
        <v>1278.6253738333342</v>
      </c>
      <c r="O124" s="16">
        <f t="shared" si="3"/>
        <v>1278.6253738333342</v>
      </c>
    </row>
    <row r="125" spans="1:15" x14ac:dyDescent="0.25">
      <c r="A125">
        <f>Faces!A125</f>
        <v>115</v>
      </c>
      <c r="B125" s="21">
        <f>Faces!B125</f>
        <v>54</v>
      </c>
      <c r="C125" s="22">
        <f>VLOOKUP(B125,Vertices!$A$11:$J$203,7,FALSE )-$C$7</f>
        <v>38.125</v>
      </c>
      <c r="D125" s="22">
        <f>VLOOKUP(B125,Vertices!$A$11:$J$203,8,FALSE )-$D$7</f>
        <v>-4.5599999999999996</v>
      </c>
      <c r="E125" s="23">
        <f>VLOOKUP(B125,Vertices!$A$11:$J$203,9,FALSE )-$E$7</f>
        <v>8.31</v>
      </c>
      <c r="F125" s="21">
        <f>Faces!C125</f>
        <v>55</v>
      </c>
      <c r="G125" s="22">
        <f>VLOOKUP(F125,Vertices!$A$11:$J$203,7,FALSE )-$C$7</f>
        <v>34.305000000000007</v>
      </c>
      <c r="H125" s="22">
        <f>VLOOKUP(F125,Vertices!$A$11:$J$203,8,FALSE )-$D$7</f>
        <v>-8.3800000000000008</v>
      </c>
      <c r="I125" s="23">
        <f>VLOOKUP(F125,Vertices!$A$11:$J$203,9,FALSE )-$E$7</f>
        <v>3.36</v>
      </c>
      <c r="J125" s="21">
        <f>Faces!D125</f>
        <v>66</v>
      </c>
      <c r="K125" s="22">
        <f>VLOOKUP(J125,Vertices!$A$11:$J$203,7,FALSE )-$C$7</f>
        <v>33.085000000000008</v>
      </c>
      <c r="L125" s="22">
        <f>VLOOKUP(J125,Vertices!$A$11:$J$203,8,FALSE )-$D$7</f>
        <v>-10.68</v>
      </c>
      <c r="M125" s="23">
        <f>VLOOKUP(J125,Vertices!$A$11:$J$203,9,FALSE )-$E$7</f>
        <v>21.05</v>
      </c>
      <c r="N125" s="16">
        <f t="shared" si="2"/>
        <v>551.96337533333349</v>
      </c>
      <c r="O125" s="16">
        <f t="shared" si="3"/>
        <v>551.96337533333349</v>
      </c>
    </row>
    <row r="126" spans="1:15" x14ac:dyDescent="0.25">
      <c r="A126">
        <f>Faces!A126</f>
        <v>116</v>
      </c>
      <c r="B126" s="21">
        <f>Faces!B126</f>
        <v>54</v>
      </c>
      <c r="C126" s="22">
        <f>VLOOKUP(B126,Vertices!$A$11:$J$203,7,FALSE )-$C$7</f>
        <v>38.125</v>
      </c>
      <c r="D126" s="22">
        <f>VLOOKUP(B126,Vertices!$A$11:$J$203,8,FALSE )-$D$7</f>
        <v>-4.5599999999999996</v>
      </c>
      <c r="E126" s="23">
        <f>VLOOKUP(B126,Vertices!$A$11:$J$203,9,FALSE )-$E$7</f>
        <v>8.31</v>
      </c>
      <c r="F126" s="21">
        <f>Faces!C126</f>
        <v>66</v>
      </c>
      <c r="G126" s="22">
        <f>VLOOKUP(F126,Vertices!$A$11:$J$203,7,FALSE )-$C$7</f>
        <v>33.085000000000008</v>
      </c>
      <c r="H126" s="22">
        <f>VLOOKUP(F126,Vertices!$A$11:$J$203,8,FALSE )-$D$7</f>
        <v>-10.68</v>
      </c>
      <c r="I126" s="23">
        <f>VLOOKUP(F126,Vertices!$A$11:$J$203,9,FALSE )-$E$7</f>
        <v>21.05</v>
      </c>
      <c r="J126" s="21">
        <f>Faces!D126</f>
        <v>65</v>
      </c>
      <c r="K126" s="22">
        <f>VLOOKUP(J126,Vertices!$A$11:$J$203,7,FALSE )-$C$7</f>
        <v>36.835000000000008</v>
      </c>
      <c r="L126" s="22">
        <f>VLOOKUP(J126,Vertices!$A$11:$J$203,8,FALSE )-$D$7</f>
        <v>-6.45</v>
      </c>
      <c r="M126" s="23">
        <f>VLOOKUP(J126,Vertices!$A$11:$J$203,9,FALSE )-$E$7</f>
        <v>26.23</v>
      </c>
      <c r="N126" s="16">
        <f t="shared" si="2"/>
        <v>597.75637649999999</v>
      </c>
      <c r="O126" s="16">
        <f t="shared" si="3"/>
        <v>597.75637649999999</v>
      </c>
    </row>
    <row r="127" spans="1:15" x14ac:dyDescent="0.25">
      <c r="A127">
        <f>Faces!A127</f>
        <v>117</v>
      </c>
      <c r="B127" s="21">
        <f>Faces!B127</f>
        <v>48</v>
      </c>
      <c r="C127" s="22">
        <f>VLOOKUP(B127,Vertices!$A$11:$J$203,7,FALSE )-$C$7</f>
        <v>42.034999999999997</v>
      </c>
      <c r="D127" s="22">
        <f>VLOOKUP(B127,Vertices!$A$11:$J$203,8,FALSE )-$D$7</f>
        <v>-0.71</v>
      </c>
      <c r="E127" s="23">
        <f>VLOOKUP(B127,Vertices!$A$11:$J$203,9,FALSE )-$E$7</f>
        <v>13.36</v>
      </c>
      <c r="F127" s="21">
        <f>Faces!C127</f>
        <v>54</v>
      </c>
      <c r="G127" s="22">
        <f>VLOOKUP(F127,Vertices!$A$11:$J$203,7,FALSE )-$C$7</f>
        <v>38.125</v>
      </c>
      <c r="H127" s="22">
        <f>VLOOKUP(F127,Vertices!$A$11:$J$203,8,FALSE )-$D$7</f>
        <v>-4.5599999999999996</v>
      </c>
      <c r="I127" s="23">
        <f>VLOOKUP(F127,Vertices!$A$11:$J$203,9,FALSE )-$E$7</f>
        <v>8.31</v>
      </c>
      <c r="J127" s="21">
        <f>Faces!D127</f>
        <v>65</v>
      </c>
      <c r="K127" s="22">
        <f>VLOOKUP(J127,Vertices!$A$11:$J$203,7,FALSE )-$C$7</f>
        <v>36.835000000000008</v>
      </c>
      <c r="L127" s="22">
        <f>VLOOKUP(J127,Vertices!$A$11:$J$203,8,FALSE )-$D$7</f>
        <v>-6.45</v>
      </c>
      <c r="M127" s="23">
        <f>VLOOKUP(J127,Vertices!$A$11:$J$203,9,FALSE )-$E$7</f>
        <v>26.23</v>
      </c>
      <c r="N127" s="16">
        <f t="shared" si="2"/>
        <v>553.87969341666667</v>
      </c>
      <c r="O127" s="16">
        <f t="shared" si="3"/>
        <v>553.87969341666667</v>
      </c>
    </row>
    <row r="128" spans="1:15" x14ac:dyDescent="0.25">
      <c r="A128">
        <f>Faces!A128</f>
        <v>118</v>
      </c>
      <c r="B128" s="21">
        <f>Faces!B128</f>
        <v>48</v>
      </c>
      <c r="C128" s="22">
        <f>VLOOKUP(B128,Vertices!$A$11:$J$203,7,FALSE )-$C$7</f>
        <v>42.034999999999997</v>
      </c>
      <c r="D128" s="22">
        <f>VLOOKUP(B128,Vertices!$A$11:$J$203,8,FALSE )-$D$7</f>
        <v>-0.71</v>
      </c>
      <c r="E128" s="23">
        <f>VLOOKUP(B128,Vertices!$A$11:$J$203,9,FALSE )-$E$7</f>
        <v>13.36</v>
      </c>
      <c r="F128" s="21">
        <f>Faces!C128</f>
        <v>65</v>
      </c>
      <c r="G128" s="22">
        <f>VLOOKUP(F128,Vertices!$A$11:$J$203,7,FALSE )-$C$7</f>
        <v>36.835000000000008</v>
      </c>
      <c r="H128" s="22">
        <f>VLOOKUP(F128,Vertices!$A$11:$J$203,8,FALSE )-$D$7</f>
        <v>-6.45</v>
      </c>
      <c r="I128" s="23">
        <f>VLOOKUP(F128,Vertices!$A$11:$J$203,9,FALSE )-$E$7</f>
        <v>26.23</v>
      </c>
      <c r="J128" s="21">
        <f>Faces!D128</f>
        <v>59</v>
      </c>
      <c r="K128" s="22">
        <f>VLOOKUP(J128,Vertices!$A$11:$J$203,7,FALSE )-$C$7</f>
        <v>40.674999999999997</v>
      </c>
      <c r="L128" s="22">
        <f>VLOOKUP(J128,Vertices!$A$11:$J$203,8,FALSE )-$D$7</f>
        <v>-2.16</v>
      </c>
      <c r="M128" s="23">
        <f>VLOOKUP(J128,Vertices!$A$11:$J$203,9,FALSE )-$E$7</f>
        <v>31.6</v>
      </c>
      <c r="N128" s="16">
        <f t="shared" si="2"/>
        <v>612.50022924999973</v>
      </c>
      <c r="O128" s="16">
        <f t="shared" si="3"/>
        <v>612.50022924999973</v>
      </c>
    </row>
    <row r="129" spans="1:15" x14ac:dyDescent="0.25">
      <c r="A129">
        <f>Faces!A129</f>
        <v>119</v>
      </c>
      <c r="B129" s="21">
        <f>Faces!B129</f>
        <v>19</v>
      </c>
      <c r="C129" s="22">
        <f>VLOOKUP(B129,Vertices!$A$11:$J$203,7,FALSE )-$C$7</f>
        <v>27.695000000000007</v>
      </c>
      <c r="D129" s="22">
        <f>VLOOKUP(B129,Vertices!$A$11:$J$203,8,FALSE )-$D$7</f>
        <v>-12.76</v>
      </c>
      <c r="E129" s="23">
        <f>VLOOKUP(B129,Vertices!$A$11:$J$203,9,FALSE )-$E$7</f>
        <v>-23.17</v>
      </c>
      <c r="F129" s="21">
        <f>Faces!C129</f>
        <v>25</v>
      </c>
      <c r="G129" s="22">
        <f>VLOOKUP(F129,Vertices!$A$11:$J$203,7,FALSE )-$C$7</f>
        <v>15.335000000000008</v>
      </c>
      <c r="H129" s="22">
        <f>VLOOKUP(F129,Vertices!$A$11:$J$203,8,FALSE )-$D$7</f>
        <v>-25.16</v>
      </c>
      <c r="I129" s="23">
        <f>VLOOKUP(F129,Vertices!$A$11:$J$203,9,FALSE )-$E$7</f>
        <v>-37.630000000000003</v>
      </c>
      <c r="J129" s="21">
        <f>Faces!D129</f>
        <v>46</v>
      </c>
      <c r="K129" s="22">
        <f>VLOOKUP(J129,Vertices!$A$11:$J$203,7,FALSE )-$C$7</f>
        <v>14.835000000000008</v>
      </c>
      <c r="L129" s="22">
        <f>VLOOKUP(J129,Vertices!$A$11:$J$203,8,FALSE )-$D$7</f>
        <v>-28.26</v>
      </c>
      <c r="M129" s="23">
        <f>VLOOKUP(J129,Vertices!$A$11:$J$203,9,FALSE )-$E$7</f>
        <v>-29.48</v>
      </c>
      <c r="N129" s="16">
        <f t="shared" si="2"/>
        <v>1027.0101883333339</v>
      </c>
      <c r="O129" s="16">
        <f t="shared" si="3"/>
        <v>1027.0101883333339</v>
      </c>
    </row>
    <row r="130" spans="1:15" x14ac:dyDescent="0.25">
      <c r="A130">
        <f>Faces!A130</f>
        <v>120</v>
      </c>
      <c r="B130" s="21">
        <f>Faces!B130</f>
        <v>19</v>
      </c>
      <c r="C130" s="22">
        <f>VLOOKUP(B130,Vertices!$A$11:$J$203,7,FALSE )-$C$7</f>
        <v>27.695000000000007</v>
      </c>
      <c r="D130" s="22">
        <f>VLOOKUP(B130,Vertices!$A$11:$J$203,8,FALSE )-$D$7</f>
        <v>-12.76</v>
      </c>
      <c r="E130" s="23">
        <f>VLOOKUP(B130,Vertices!$A$11:$J$203,9,FALSE )-$E$7</f>
        <v>-23.17</v>
      </c>
      <c r="F130" s="21">
        <f>Faces!C130</f>
        <v>46</v>
      </c>
      <c r="G130" s="22">
        <f>VLOOKUP(F130,Vertices!$A$11:$J$203,7,FALSE )-$C$7</f>
        <v>14.835000000000008</v>
      </c>
      <c r="H130" s="22">
        <f>VLOOKUP(F130,Vertices!$A$11:$J$203,8,FALSE )-$D$7</f>
        <v>-28.26</v>
      </c>
      <c r="I130" s="23">
        <f>VLOOKUP(F130,Vertices!$A$11:$J$203,9,FALSE )-$E$7</f>
        <v>-29.48</v>
      </c>
      <c r="J130" s="21">
        <f>Faces!D130</f>
        <v>45</v>
      </c>
      <c r="K130" s="22">
        <f>VLOOKUP(J130,Vertices!$A$11:$J$203,7,FALSE )-$C$7</f>
        <v>27.094999999999999</v>
      </c>
      <c r="L130" s="22">
        <f>VLOOKUP(J130,Vertices!$A$11:$J$203,8,FALSE )-$D$7</f>
        <v>-14.75</v>
      </c>
      <c r="M130" s="23">
        <f>VLOOKUP(J130,Vertices!$A$11:$J$203,9,FALSE )-$E$7</f>
        <v>-14.77</v>
      </c>
      <c r="N130" s="16">
        <f t="shared" si="2"/>
        <v>959.63661391666574</v>
      </c>
      <c r="O130" s="16">
        <f t="shared" si="3"/>
        <v>959.63661391666574</v>
      </c>
    </row>
    <row r="131" spans="1:15" x14ac:dyDescent="0.25">
      <c r="A131">
        <f>Faces!A131</f>
        <v>121</v>
      </c>
      <c r="B131" s="21">
        <f>Faces!B131</f>
        <v>45</v>
      </c>
      <c r="C131" s="22">
        <f>VLOOKUP(B131,Vertices!$A$11:$J$203,7,FALSE )-$C$7</f>
        <v>27.094999999999999</v>
      </c>
      <c r="D131" s="22">
        <f>VLOOKUP(B131,Vertices!$A$11:$J$203,8,FALSE )-$D$7</f>
        <v>-14.75</v>
      </c>
      <c r="E131" s="23">
        <f>VLOOKUP(B131,Vertices!$A$11:$J$203,9,FALSE )-$E$7</f>
        <v>-14.77</v>
      </c>
      <c r="F131" s="21">
        <f>Faces!C131</f>
        <v>46</v>
      </c>
      <c r="G131" s="22">
        <f>VLOOKUP(F131,Vertices!$A$11:$J$203,7,FALSE )-$C$7</f>
        <v>14.835000000000008</v>
      </c>
      <c r="H131" s="22">
        <f>VLOOKUP(F131,Vertices!$A$11:$J$203,8,FALSE )-$D$7</f>
        <v>-28.26</v>
      </c>
      <c r="I131" s="23">
        <f>VLOOKUP(F131,Vertices!$A$11:$J$203,9,FALSE )-$E$7</f>
        <v>-29.48</v>
      </c>
      <c r="J131" s="21">
        <f>Faces!D131</f>
        <v>57</v>
      </c>
      <c r="K131" s="22">
        <f>VLOOKUP(J131,Vertices!$A$11:$J$203,7,FALSE )-$C$7</f>
        <v>14.385000000000005</v>
      </c>
      <c r="L131" s="22">
        <f>VLOOKUP(J131,Vertices!$A$11:$J$203,8,FALSE )-$D$7</f>
        <v>-31.02</v>
      </c>
      <c r="M131" s="23">
        <f>VLOOKUP(J131,Vertices!$A$11:$J$203,9,FALSE )-$E$7</f>
        <v>-21.67</v>
      </c>
      <c r="N131" s="16">
        <f t="shared" si="2"/>
        <v>979.81161974999975</v>
      </c>
      <c r="O131" s="16">
        <f t="shared" si="3"/>
        <v>979.81161974999975</v>
      </c>
    </row>
    <row r="132" spans="1:15" x14ac:dyDescent="0.25">
      <c r="A132">
        <f>Faces!A132</f>
        <v>122</v>
      </c>
      <c r="B132" s="21">
        <f>Faces!B132</f>
        <v>45</v>
      </c>
      <c r="C132" s="22">
        <f>VLOOKUP(B132,Vertices!$A$11:$J$203,7,FALSE )-$C$7</f>
        <v>27.094999999999999</v>
      </c>
      <c r="D132" s="22">
        <f>VLOOKUP(B132,Vertices!$A$11:$J$203,8,FALSE )-$D$7</f>
        <v>-14.75</v>
      </c>
      <c r="E132" s="23">
        <f>VLOOKUP(B132,Vertices!$A$11:$J$203,9,FALSE )-$E$7</f>
        <v>-14.77</v>
      </c>
      <c r="F132" s="21">
        <f>Faces!C132</f>
        <v>57</v>
      </c>
      <c r="G132" s="22">
        <f>VLOOKUP(F132,Vertices!$A$11:$J$203,7,FALSE )-$C$7</f>
        <v>14.385000000000005</v>
      </c>
      <c r="H132" s="22">
        <f>VLOOKUP(F132,Vertices!$A$11:$J$203,8,FALSE )-$D$7</f>
        <v>-31.02</v>
      </c>
      <c r="I132" s="23">
        <f>VLOOKUP(F132,Vertices!$A$11:$J$203,9,FALSE )-$E$7</f>
        <v>-21.67</v>
      </c>
      <c r="J132" s="21">
        <f>Faces!D132</f>
        <v>56</v>
      </c>
      <c r="K132" s="22">
        <f>VLOOKUP(J132,Vertices!$A$11:$J$203,7,FALSE )-$C$7</f>
        <v>26.525000000000006</v>
      </c>
      <c r="L132" s="22">
        <f>VLOOKUP(J132,Vertices!$A$11:$J$203,8,FALSE )-$D$7</f>
        <v>-16.63</v>
      </c>
      <c r="M132" s="23">
        <f>VLOOKUP(J132,Vertices!$A$11:$J$203,9,FALSE )-$E$7</f>
        <v>-6.56</v>
      </c>
      <c r="N132" s="16">
        <f t="shared" si="2"/>
        <v>963.97478241666602</v>
      </c>
      <c r="O132" s="16">
        <f t="shared" si="3"/>
        <v>963.97478241666602</v>
      </c>
    </row>
    <row r="133" spans="1:15" x14ac:dyDescent="0.25">
      <c r="A133">
        <f>Faces!A133</f>
        <v>123</v>
      </c>
      <c r="B133" s="21">
        <f>Faces!B133</f>
        <v>56</v>
      </c>
      <c r="C133" s="22">
        <f>VLOOKUP(B133,Vertices!$A$11:$J$203,7,FALSE )-$C$7</f>
        <v>26.525000000000006</v>
      </c>
      <c r="D133" s="22">
        <f>VLOOKUP(B133,Vertices!$A$11:$J$203,8,FALSE )-$D$7</f>
        <v>-16.63</v>
      </c>
      <c r="E133" s="23">
        <f>VLOOKUP(B133,Vertices!$A$11:$J$203,9,FALSE )-$E$7</f>
        <v>-6.56</v>
      </c>
      <c r="F133" s="21">
        <f>Faces!C133</f>
        <v>57</v>
      </c>
      <c r="G133" s="22">
        <f>VLOOKUP(F133,Vertices!$A$11:$J$203,7,FALSE )-$C$7</f>
        <v>14.385000000000005</v>
      </c>
      <c r="H133" s="22">
        <f>VLOOKUP(F133,Vertices!$A$11:$J$203,8,FALSE )-$D$7</f>
        <v>-31.02</v>
      </c>
      <c r="I133" s="23">
        <f>VLOOKUP(F133,Vertices!$A$11:$J$203,9,FALSE )-$E$7</f>
        <v>-21.67</v>
      </c>
      <c r="J133" s="21">
        <f>Faces!D133</f>
        <v>68</v>
      </c>
      <c r="K133" s="22">
        <f>VLOOKUP(J133,Vertices!$A$11:$J$203,7,FALSE )-$C$7</f>
        <v>13.405000000000001</v>
      </c>
      <c r="L133" s="22">
        <f>VLOOKUP(J133,Vertices!$A$11:$J$203,8,FALSE )-$D$7</f>
        <v>-36.11</v>
      </c>
      <c r="M133" s="23">
        <f>VLOOKUP(J133,Vertices!$A$11:$J$203,9,FALSE )-$E$7</f>
        <v>-5.45</v>
      </c>
      <c r="N133" s="16">
        <f t="shared" si="2"/>
        <v>2010.808880750001</v>
      </c>
      <c r="O133" s="16">
        <f t="shared" si="3"/>
        <v>2010.808880750001</v>
      </c>
    </row>
    <row r="134" spans="1:15" x14ac:dyDescent="0.25">
      <c r="A134">
        <f>Faces!A134</f>
        <v>124</v>
      </c>
      <c r="B134" s="21">
        <f>Faces!B134</f>
        <v>56</v>
      </c>
      <c r="C134" s="22">
        <f>VLOOKUP(B134,Vertices!$A$11:$J$203,7,FALSE )-$C$7</f>
        <v>26.525000000000006</v>
      </c>
      <c r="D134" s="22">
        <f>VLOOKUP(B134,Vertices!$A$11:$J$203,8,FALSE )-$D$7</f>
        <v>-16.63</v>
      </c>
      <c r="E134" s="23">
        <f>VLOOKUP(B134,Vertices!$A$11:$J$203,9,FALSE )-$E$7</f>
        <v>-6.56</v>
      </c>
      <c r="F134" s="21">
        <f>Faces!C134</f>
        <v>68</v>
      </c>
      <c r="G134" s="22">
        <f>VLOOKUP(F134,Vertices!$A$11:$J$203,7,FALSE )-$C$7</f>
        <v>13.405000000000001</v>
      </c>
      <c r="H134" s="22">
        <f>VLOOKUP(F134,Vertices!$A$11:$J$203,8,FALSE )-$D$7</f>
        <v>-36.11</v>
      </c>
      <c r="I134" s="23">
        <f>VLOOKUP(F134,Vertices!$A$11:$J$203,9,FALSE )-$E$7</f>
        <v>-5.45</v>
      </c>
      <c r="J134" s="21">
        <f>Faces!D134</f>
        <v>67</v>
      </c>
      <c r="K134" s="22">
        <f>VLOOKUP(J134,Vertices!$A$11:$J$203,7,FALSE )-$C$7</f>
        <v>25.435000000000002</v>
      </c>
      <c r="L134" s="22">
        <f>VLOOKUP(J134,Vertices!$A$11:$J$203,8,FALSE )-$D$7</f>
        <v>-19.940000000000001</v>
      </c>
      <c r="M134" s="23">
        <f>VLOOKUP(J134,Vertices!$A$11:$J$203,9,FALSE )-$E$7</f>
        <v>10.51</v>
      </c>
      <c r="N134" s="16">
        <f t="shared" si="2"/>
        <v>2095.4388637500006</v>
      </c>
      <c r="O134" s="16">
        <f t="shared" si="3"/>
        <v>2095.4388637500006</v>
      </c>
    </row>
    <row r="135" spans="1:15" x14ac:dyDescent="0.25">
      <c r="A135">
        <f>Faces!A135</f>
        <v>125</v>
      </c>
      <c r="B135" s="21">
        <f>Faces!B135</f>
        <v>67</v>
      </c>
      <c r="C135" s="22">
        <f>VLOOKUP(B135,Vertices!$A$11:$J$203,7,FALSE )-$C$7</f>
        <v>25.435000000000002</v>
      </c>
      <c r="D135" s="22">
        <f>VLOOKUP(B135,Vertices!$A$11:$J$203,8,FALSE )-$D$7</f>
        <v>-19.940000000000001</v>
      </c>
      <c r="E135" s="23">
        <f>VLOOKUP(B135,Vertices!$A$11:$J$203,9,FALSE )-$E$7</f>
        <v>10.51</v>
      </c>
      <c r="F135" s="21">
        <f>Faces!C135</f>
        <v>68</v>
      </c>
      <c r="G135" s="22">
        <f>VLOOKUP(F135,Vertices!$A$11:$J$203,7,FALSE )-$C$7</f>
        <v>13.405000000000001</v>
      </c>
      <c r="H135" s="22">
        <f>VLOOKUP(F135,Vertices!$A$11:$J$203,8,FALSE )-$D$7</f>
        <v>-36.11</v>
      </c>
      <c r="I135" s="23">
        <f>VLOOKUP(F135,Vertices!$A$11:$J$203,9,FALSE )-$E$7</f>
        <v>-5.45</v>
      </c>
      <c r="J135" s="21">
        <f>Faces!D135</f>
        <v>79</v>
      </c>
      <c r="K135" s="22">
        <f>VLOOKUP(J135,Vertices!$A$11:$J$203,7,FALSE )-$C$7</f>
        <v>11.795000000000002</v>
      </c>
      <c r="L135" s="22">
        <f>VLOOKUP(J135,Vertices!$A$11:$J$203,8,FALSE )-$D$7</f>
        <v>-41.99</v>
      </c>
      <c r="M135" s="23">
        <f>VLOOKUP(J135,Vertices!$A$11:$J$203,9,FALSE )-$E$7</f>
        <v>20.43</v>
      </c>
      <c r="N135" s="16">
        <f t="shared" si="2"/>
        <v>3213.5939695000002</v>
      </c>
      <c r="O135" s="16">
        <f t="shared" si="3"/>
        <v>3213.5939695000002</v>
      </c>
    </row>
    <row r="136" spans="1:15" x14ac:dyDescent="0.25">
      <c r="A136">
        <f>Faces!A136</f>
        <v>126</v>
      </c>
      <c r="B136" s="21">
        <f>Faces!B136</f>
        <v>67</v>
      </c>
      <c r="C136" s="22">
        <f>VLOOKUP(B136,Vertices!$A$11:$J$203,7,FALSE )-$C$7</f>
        <v>25.435000000000002</v>
      </c>
      <c r="D136" s="22">
        <f>VLOOKUP(B136,Vertices!$A$11:$J$203,8,FALSE )-$D$7</f>
        <v>-19.940000000000001</v>
      </c>
      <c r="E136" s="23">
        <f>VLOOKUP(B136,Vertices!$A$11:$J$203,9,FALSE )-$E$7</f>
        <v>10.51</v>
      </c>
      <c r="F136" s="21">
        <f>Faces!C136</f>
        <v>79</v>
      </c>
      <c r="G136" s="22">
        <f>VLOOKUP(F136,Vertices!$A$11:$J$203,7,FALSE )-$C$7</f>
        <v>11.795000000000002</v>
      </c>
      <c r="H136" s="22">
        <f>VLOOKUP(F136,Vertices!$A$11:$J$203,8,FALSE )-$D$7</f>
        <v>-41.99</v>
      </c>
      <c r="I136" s="23">
        <f>VLOOKUP(F136,Vertices!$A$11:$J$203,9,FALSE )-$E$7</f>
        <v>20.43</v>
      </c>
      <c r="J136" s="21">
        <f>Faces!D136</f>
        <v>78</v>
      </c>
      <c r="K136" s="22">
        <f>VLOOKUP(J136,Vertices!$A$11:$J$203,7,FALSE )-$C$7</f>
        <v>23.805000000000007</v>
      </c>
      <c r="L136" s="22">
        <f>VLOOKUP(J136,Vertices!$A$11:$J$203,8,FALSE )-$D$7</f>
        <v>-23.41</v>
      </c>
      <c r="M136" s="23">
        <f>VLOOKUP(J136,Vertices!$A$11:$J$203,9,FALSE )-$E$7</f>
        <v>38.700000000000003</v>
      </c>
      <c r="N136" s="16">
        <f t="shared" si="2"/>
        <v>3693.272187583334</v>
      </c>
      <c r="O136" s="16">
        <f t="shared" si="3"/>
        <v>3693.272187583334</v>
      </c>
    </row>
    <row r="137" spans="1:15" x14ac:dyDescent="0.25">
      <c r="A137">
        <f>Faces!A137</f>
        <v>127</v>
      </c>
      <c r="B137" s="21">
        <f>Faces!B137</f>
        <v>66</v>
      </c>
      <c r="C137" s="22">
        <f>VLOOKUP(B137,Vertices!$A$11:$J$203,7,FALSE )-$C$7</f>
        <v>33.085000000000008</v>
      </c>
      <c r="D137" s="22">
        <f>VLOOKUP(B137,Vertices!$A$11:$J$203,8,FALSE )-$D$7</f>
        <v>-10.68</v>
      </c>
      <c r="E137" s="23">
        <f>VLOOKUP(B137,Vertices!$A$11:$J$203,9,FALSE )-$E$7</f>
        <v>21.05</v>
      </c>
      <c r="F137" s="21">
        <f>Faces!C137</f>
        <v>67</v>
      </c>
      <c r="G137" s="22">
        <f>VLOOKUP(F137,Vertices!$A$11:$J$203,7,FALSE )-$C$7</f>
        <v>25.435000000000002</v>
      </c>
      <c r="H137" s="22">
        <f>VLOOKUP(F137,Vertices!$A$11:$J$203,8,FALSE )-$D$7</f>
        <v>-19.940000000000001</v>
      </c>
      <c r="I137" s="23">
        <f>VLOOKUP(F137,Vertices!$A$11:$J$203,9,FALSE )-$E$7</f>
        <v>10.51</v>
      </c>
      <c r="J137" s="21">
        <f>Faces!D137</f>
        <v>78</v>
      </c>
      <c r="K137" s="22">
        <f>VLOOKUP(J137,Vertices!$A$11:$J$203,7,FALSE )-$C$7</f>
        <v>23.805000000000007</v>
      </c>
      <c r="L137" s="22">
        <f>VLOOKUP(J137,Vertices!$A$11:$J$203,8,FALSE )-$D$7</f>
        <v>-23.41</v>
      </c>
      <c r="M137" s="23">
        <f>VLOOKUP(J137,Vertices!$A$11:$J$203,9,FALSE )-$E$7</f>
        <v>38.700000000000003</v>
      </c>
      <c r="N137" s="16">
        <f t="shared" si="2"/>
        <v>2015.356392166668</v>
      </c>
      <c r="O137" s="16">
        <f t="shared" si="3"/>
        <v>2015.356392166668</v>
      </c>
    </row>
    <row r="138" spans="1:15" x14ac:dyDescent="0.25">
      <c r="A138">
        <f>Faces!A138</f>
        <v>128</v>
      </c>
      <c r="B138" s="21">
        <f>Faces!B138</f>
        <v>66</v>
      </c>
      <c r="C138" s="22">
        <f>VLOOKUP(B138,Vertices!$A$11:$J$203,7,FALSE )-$C$7</f>
        <v>33.085000000000008</v>
      </c>
      <c r="D138" s="22">
        <f>VLOOKUP(B138,Vertices!$A$11:$J$203,8,FALSE )-$D$7</f>
        <v>-10.68</v>
      </c>
      <c r="E138" s="23">
        <f>VLOOKUP(B138,Vertices!$A$11:$J$203,9,FALSE )-$E$7</f>
        <v>21.05</v>
      </c>
      <c r="F138" s="21">
        <f>Faces!C138</f>
        <v>78</v>
      </c>
      <c r="G138" s="22">
        <f>VLOOKUP(F138,Vertices!$A$11:$J$203,7,FALSE )-$C$7</f>
        <v>23.805000000000007</v>
      </c>
      <c r="H138" s="22">
        <f>VLOOKUP(F138,Vertices!$A$11:$J$203,8,FALSE )-$D$7</f>
        <v>-23.41</v>
      </c>
      <c r="I138" s="23">
        <f>VLOOKUP(F138,Vertices!$A$11:$J$203,9,FALSE )-$E$7</f>
        <v>38.700000000000003</v>
      </c>
      <c r="J138" s="21">
        <f>Faces!D138</f>
        <v>77</v>
      </c>
      <c r="K138" s="22">
        <f>VLOOKUP(J138,Vertices!$A$11:$J$203,7,FALSE )-$C$7</f>
        <v>31.394999999999996</v>
      </c>
      <c r="L138" s="22">
        <f>VLOOKUP(J138,Vertices!$A$11:$J$203,8,FALSE )-$D$7</f>
        <v>-13.04</v>
      </c>
      <c r="M138" s="23">
        <f>VLOOKUP(J138,Vertices!$A$11:$J$203,9,FALSE )-$E$7</f>
        <v>50.55</v>
      </c>
      <c r="N138" s="16">
        <f t="shared" si="2"/>
        <v>2273.9154750000016</v>
      </c>
      <c r="O138" s="16">
        <f t="shared" si="3"/>
        <v>2273.9154750000016</v>
      </c>
    </row>
    <row r="139" spans="1:15" x14ac:dyDescent="0.25">
      <c r="A139">
        <f>Faces!A139</f>
        <v>129</v>
      </c>
      <c r="B139" s="21">
        <f>Faces!B139</f>
        <v>65</v>
      </c>
      <c r="C139" s="22">
        <f>VLOOKUP(B139,Vertices!$A$11:$J$203,7,FALSE )-$C$7</f>
        <v>36.835000000000008</v>
      </c>
      <c r="D139" s="22">
        <f>VLOOKUP(B139,Vertices!$A$11:$J$203,8,FALSE )-$D$7</f>
        <v>-6.45</v>
      </c>
      <c r="E139" s="23">
        <f>VLOOKUP(B139,Vertices!$A$11:$J$203,9,FALSE )-$E$7</f>
        <v>26.23</v>
      </c>
      <c r="F139" s="21">
        <f>Faces!C139</f>
        <v>66</v>
      </c>
      <c r="G139" s="22">
        <f>VLOOKUP(F139,Vertices!$A$11:$J$203,7,FALSE )-$C$7</f>
        <v>33.085000000000008</v>
      </c>
      <c r="H139" s="22">
        <f>VLOOKUP(F139,Vertices!$A$11:$J$203,8,FALSE )-$D$7</f>
        <v>-10.68</v>
      </c>
      <c r="I139" s="23">
        <f>VLOOKUP(F139,Vertices!$A$11:$J$203,9,FALSE )-$E$7</f>
        <v>21.05</v>
      </c>
      <c r="J139" s="21">
        <f>Faces!D139</f>
        <v>77</v>
      </c>
      <c r="K139" s="22">
        <f>VLOOKUP(J139,Vertices!$A$11:$J$203,7,FALSE )-$C$7</f>
        <v>31.394999999999996</v>
      </c>
      <c r="L139" s="22">
        <f>VLOOKUP(J139,Vertices!$A$11:$J$203,8,FALSE )-$D$7</f>
        <v>-13.04</v>
      </c>
      <c r="M139" s="23">
        <f>VLOOKUP(J139,Vertices!$A$11:$J$203,9,FALSE )-$E$7</f>
        <v>50.55</v>
      </c>
      <c r="N139" s="16">
        <f t="shared" si="2"/>
        <v>962.02112066666632</v>
      </c>
      <c r="O139" s="16">
        <f t="shared" si="3"/>
        <v>962.02112066666632</v>
      </c>
    </row>
    <row r="140" spans="1:15" x14ac:dyDescent="0.25">
      <c r="A140">
        <f>Faces!A140</f>
        <v>130</v>
      </c>
      <c r="B140" s="21">
        <f>Faces!B140</f>
        <v>65</v>
      </c>
      <c r="C140" s="22">
        <f>VLOOKUP(B140,Vertices!$A$11:$J$203,7,FALSE )-$C$7</f>
        <v>36.835000000000008</v>
      </c>
      <c r="D140" s="22">
        <f>VLOOKUP(B140,Vertices!$A$11:$J$203,8,FALSE )-$D$7</f>
        <v>-6.45</v>
      </c>
      <c r="E140" s="23">
        <f>VLOOKUP(B140,Vertices!$A$11:$J$203,9,FALSE )-$E$7</f>
        <v>26.23</v>
      </c>
      <c r="F140" s="21">
        <f>Faces!C140</f>
        <v>77</v>
      </c>
      <c r="G140" s="22">
        <f>VLOOKUP(F140,Vertices!$A$11:$J$203,7,FALSE )-$C$7</f>
        <v>31.394999999999996</v>
      </c>
      <c r="H140" s="22">
        <f>VLOOKUP(F140,Vertices!$A$11:$J$203,8,FALSE )-$D$7</f>
        <v>-13.04</v>
      </c>
      <c r="I140" s="23">
        <f>VLOOKUP(F140,Vertices!$A$11:$J$203,9,FALSE )-$E$7</f>
        <v>50.55</v>
      </c>
      <c r="J140" s="21">
        <f>Faces!D140</f>
        <v>76</v>
      </c>
      <c r="K140" s="22">
        <f>VLOOKUP(J140,Vertices!$A$11:$J$203,7,FALSE )-$C$7</f>
        <v>35.075000000000003</v>
      </c>
      <c r="L140" s="22">
        <f>VLOOKUP(J140,Vertices!$A$11:$J$203,8,FALSE )-$D$7</f>
        <v>-8.34</v>
      </c>
      <c r="M140" s="23">
        <f>VLOOKUP(J140,Vertices!$A$11:$J$203,9,FALSE )-$E$7</f>
        <v>56.4</v>
      </c>
      <c r="N140" s="16">
        <f t="shared" ref="N140:N203" si="4">-1*(C140*H140*M140+D140*I140*K140+E140*G140*L140-C140*I140*L140-D140*G140*M140-E140*H140*K140)/6</f>
        <v>1074.5827210833343</v>
      </c>
      <c r="O140" s="16">
        <f t="shared" ref="O140:O203" si="5">ABS(N140)</f>
        <v>1074.5827210833343</v>
      </c>
    </row>
    <row r="141" spans="1:15" x14ac:dyDescent="0.25">
      <c r="A141">
        <f>Faces!A141</f>
        <v>131</v>
      </c>
      <c r="B141" s="21">
        <f>Faces!B141</f>
        <v>59</v>
      </c>
      <c r="C141" s="22">
        <f>VLOOKUP(B141,Vertices!$A$11:$J$203,7,FALSE )-$C$7</f>
        <v>40.674999999999997</v>
      </c>
      <c r="D141" s="22">
        <f>VLOOKUP(B141,Vertices!$A$11:$J$203,8,FALSE )-$D$7</f>
        <v>-2.16</v>
      </c>
      <c r="E141" s="23">
        <f>VLOOKUP(B141,Vertices!$A$11:$J$203,9,FALSE )-$E$7</f>
        <v>31.6</v>
      </c>
      <c r="F141" s="21">
        <f>Faces!C141</f>
        <v>65</v>
      </c>
      <c r="G141" s="22">
        <f>VLOOKUP(F141,Vertices!$A$11:$J$203,7,FALSE )-$C$7</f>
        <v>36.835000000000008</v>
      </c>
      <c r="H141" s="22">
        <f>VLOOKUP(F141,Vertices!$A$11:$J$203,8,FALSE )-$D$7</f>
        <v>-6.45</v>
      </c>
      <c r="I141" s="23">
        <f>VLOOKUP(F141,Vertices!$A$11:$J$203,9,FALSE )-$E$7</f>
        <v>26.23</v>
      </c>
      <c r="J141" s="21">
        <f>Faces!D141</f>
        <v>76</v>
      </c>
      <c r="K141" s="22">
        <f>VLOOKUP(J141,Vertices!$A$11:$J$203,7,FALSE )-$C$7</f>
        <v>35.075000000000003</v>
      </c>
      <c r="L141" s="22">
        <f>VLOOKUP(J141,Vertices!$A$11:$J$203,8,FALSE )-$D$7</f>
        <v>-8.34</v>
      </c>
      <c r="M141" s="23">
        <f>VLOOKUP(J141,Vertices!$A$11:$J$203,9,FALSE )-$E$7</f>
        <v>56.4</v>
      </c>
      <c r="N141" s="16">
        <f t="shared" si="4"/>
        <v>992.87811250000084</v>
      </c>
      <c r="O141" s="16">
        <f t="shared" si="5"/>
        <v>992.87811250000084</v>
      </c>
    </row>
    <row r="142" spans="1:15" x14ac:dyDescent="0.25">
      <c r="A142">
        <f>Faces!A142</f>
        <v>132</v>
      </c>
      <c r="B142" s="21">
        <f>Faces!B142</f>
        <v>59</v>
      </c>
      <c r="C142" s="22">
        <f>VLOOKUP(B142,Vertices!$A$11:$J$203,7,FALSE )-$C$7</f>
        <v>40.674999999999997</v>
      </c>
      <c r="D142" s="22">
        <f>VLOOKUP(B142,Vertices!$A$11:$J$203,8,FALSE )-$D$7</f>
        <v>-2.16</v>
      </c>
      <c r="E142" s="23">
        <f>VLOOKUP(B142,Vertices!$A$11:$J$203,9,FALSE )-$E$7</f>
        <v>31.6</v>
      </c>
      <c r="F142" s="21">
        <f>Faces!C142</f>
        <v>76</v>
      </c>
      <c r="G142" s="22">
        <f>VLOOKUP(F142,Vertices!$A$11:$J$203,7,FALSE )-$C$7</f>
        <v>35.075000000000003</v>
      </c>
      <c r="H142" s="22">
        <f>VLOOKUP(F142,Vertices!$A$11:$J$203,8,FALSE )-$D$7</f>
        <v>-8.34</v>
      </c>
      <c r="I142" s="23">
        <f>VLOOKUP(F142,Vertices!$A$11:$J$203,9,FALSE )-$E$7</f>
        <v>56.4</v>
      </c>
      <c r="J142" s="21">
        <f>Faces!D142</f>
        <v>70</v>
      </c>
      <c r="K142" s="22">
        <f>VLOOKUP(J142,Vertices!$A$11:$J$203,7,FALSE )-$C$7</f>
        <v>38.835000000000008</v>
      </c>
      <c r="L142" s="22">
        <f>VLOOKUP(J142,Vertices!$A$11:$J$203,8,FALSE )-$D$7</f>
        <v>-3.55</v>
      </c>
      <c r="M142" s="23">
        <f>VLOOKUP(J142,Vertices!$A$11:$J$203,9,FALSE )-$E$7</f>
        <v>62.44</v>
      </c>
      <c r="N142" s="16">
        <f t="shared" si="4"/>
        <v>1122.9965833333335</v>
      </c>
      <c r="O142" s="16">
        <f t="shared" si="5"/>
        <v>1122.9965833333335</v>
      </c>
    </row>
    <row r="143" spans="1:15" x14ac:dyDescent="0.25">
      <c r="A143">
        <f>Faces!A143</f>
        <v>133</v>
      </c>
      <c r="B143" s="21">
        <f>Faces!B143</f>
        <v>25</v>
      </c>
      <c r="C143" s="22">
        <f>VLOOKUP(B143,Vertices!$A$11:$J$203,7,FALSE )-$C$7</f>
        <v>15.335000000000008</v>
      </c>
      <c r="D143" s="22">
        <f>VLOOKUP(B143,Vertices!$A$11:$J$203,8,FALSE )-$D$7</f>
        <v>-25.16</v>
      </c>
      <c r="E143" s="23">
        <f>VLOOKUP(B143,Vertices!$A$11:$J$203,9,FALSE )-$E$7</f>
        <v>-37.630000000000003</v>
      </c>
      <c r="F143" s="21">
        <f>Faces!C143</f>
        <v>31</v>
      </c>
      <c r="G143" s="22">
        <f>VLOOKUP(F143,Vertices!$A$11:$J$203,7,FALSE )-$C$7</f>
        <v>4.5450000000000017</v>
      </c>
      <c r="H143" s="22">
        <f>VLOOKUP(F143,Vertices!$A$11:$J$203,8,FALSE )-$D$7</f>
        <v>-37</v>
      </c>
      <c r="I143" s="23">
        <f>VLOOKUP(F143,Vertices!$A$11:$J$203,9,FALSE )-$E$7</f>
        <v>-50</v>
      </c>
      <c r="J143" s="21">
        <f>Faces!D143</f>
        <v>47</v>
      </c>
      <c r="K143" s="22">
        <f>VLOOKUP(J143,Vertices!$A$11:$J$203,7,FALSE )-$C$7</f>
        <v>4.125</v>
      </c>
      <c r="L143" s="22">
        <f>VLOOKUP(J143,Vertices!$A$11:$J$203,8,FALSE )-$D$7</f>
        <v>-41.34</v>
      </c>
      <c r="M143" s="23">
        <f>VLOOKUP(J143,Vertices!$A$11:$J$203,9,FALSE )-$E$7</f>
        <v>-42.01</v>
      </c>
      <c r="N143" s="16">
        <f t="shared" si="4"/>
        <v>1024.8056221666677</v>
      </c>
      <c r="O143" s="16">
        <f t="shared" si="5"/>
        <v>1024.8056221666677</v>
      </c>
    </row>
    <row r="144" spans="1:15" x14ac:dyDescent="0.25">
      <c r="A144">
        <f>Faces!A144</f>
        <v>134</v>
      </c>
      <c r="B144" s="21">
        <f>Faces!B144</f>
        <v>25</v>
      </c>
      <c r="C144" s="22">
        <f>VLOOKUP(B144,Vertices!$A$11:$J$203,7,FALSE )-$C$7</f>
        <v>15.335000000000008</v>
      </c>
      <c r="D144" s="22">
        <f>VLOOKUP(B144,Vertices!$A$11:$J$203,8,FALSE )-$D$7</f>
        <v>-25.16</v>
      </c>
      <c r="E144" s="23">
        <f>VLOOKUP(B144,Vertices!$A$11:$J$203,9,FALSE )-$E$7</f>
        <v>-37.630000000000003</v>
      </c>
      <c r="F144" s="21">
        <f>Faces!C144</f>
        <v>47</v>
      </c>
      <c r="G144" s="22">
        <f>VLOOKUP(F144,Vertices!$A$11:$J$203,7,FALSE )-$C$7</f>
        <v>4.125</v>
      </c>
      <c r="H144" s="22">
        <f>VLOOKUP(F144,Vertices!$A$11:$J$203,8,FALSE )-$D$7</f>
        <v>-41.34</v>
      </c>
      <c r="I144" s="23">
        <f>VLOOKUP(F144,Vertices!$A$11:$J$203,9,FALSE )-$E$7</f>
        <v>-42.01</v>
      </c>
      <c r="J144" s="21">
        <f>Faces!D144</f>
        <v>46</v>
      </c>
      <c r="K144" s="22">
        <f>VLOOKUP(J144,Vertices!$A$11:$J$203,7,FALSE )-$C$7</f>
        <v>14.835000000000008</v>
      </c>
      <c r="L144" s="22">
        <f>VLOOKUP(J144,Vertices!$A$11:$J$203,8,FALSE )-$D$7</f>
        <v>-28.26</v>
      </c>
      <c r="M144" s="23">
        <f>VLOOKUP(J144,Vertices!$A$11:$J$203,9,FALSE )-$E$7</f>
        <v>-29.48</v>
      </c>
      <c r="N144" s="16">
        <f t="shared" si="4"/>
        <v>931.23470750000035</v>
      </c>
      <c r="O144" s="16">
        <f t="shared" si="5"/>
        <v>931.23470750000035</v>
      </c>
    </row>
    <row r="145" spans="1:15" x14ac:dyDescent="0.25">
      <c r="A145">
        <f>Faces!A145</f>
        <v>135</v>
      </c>
      <c r="B145" s="21">
        <f>Faces!B145</f>
        <v>46</v>
      </c>
      <c r="C145" s="22">
        <f>VLOOKUP(B145,Vertices!$A$11:$J$203,7,FALSE )-$C$7</f>
        <v>14.835000000000008</v>
      </c>
      <c r="D145" s="22">
        <f>VLOOKUP(B145,Vertices!$A$11:$J$203,8,FALSE )-$D$7</f>
        <v>-28.26</v>
      </c>
      <c r="E145" s="23">
        <f>VLOOKUP(B145,Vertices!$A$11:$J$203,9,FALSE )-$E$7</f>
        <v>-29.48</v>
      </c>
      <c r="F145" s="21">
        <f>Faces!C145</f>
        <v>47</v>
      </c>
      <c r="G145" s="22">
        <f>VLOOKUP(F145,Vertices!$A$11:$J$203,7,FALSE )-$C$7</f>
        <v>4.125</v>
      </c>
      <c r="H145" s="22">
        <f>VLOOKUP(F145,Vertices!$A$11:$J$203,8,FALSE )-$D$7</f>
        <v>-41.34</v>
      </c>
      <c r="I145" s="23">
        <f>VLOOKUP(F145,Vertices!$A$11:$J$203,9,FALSE )-$E$7</f>
        <v>-42.01</v>
      </c>
      <c r="J145" s="21">
        <f>Faces!D145</f>
        <v>58</v>
      </c>
      <c r="K145" s="22">
        <f>VLOOKUP(J145,Vertices!$A$11:$J$203,7,FALSE )-$C$7</f>
        <v>3.7550000000000026</v>
      </c>
      <c r="L145" s="22">
        <f>VLOOKUP(J145,Vertices!$A$11:$J$203,8,FALSE )-$D$7</f>
        <v>-45.11</v>
      </c>
      <c r="M145" s="23">
        <f>VLOOKUP(J145,Vertices!$A$11:$J$203,9,FALSE )-$E$7</f>
        <v>-34.450000000000003</v>
      </c>
      <c r="N145" s="16">
        <f t="shared" si="4"/>
        <v>939.08791525000049</v>
      </c>
      <c r="O145" s="16">
        <f t="shared" si="5"/>
        <v>939.08791525000049</v>
      </c>
    </row>
    <row r="146" spans="1:15" x14ac:dyDescent="0.25">
      <c r="A146">
        <f>Faces!A146</f>
        <v>136</v>
      </c>
      <c r="B146" s="21">
        <f>Faces!B146</f>
        <v>46</v>
      </c>
      <c r="C146" s="22">
        <f>VLOOKUP(B146,Vertices!$A$11:$J$203,7,FALSE )-$C$7</f>
        <v>14.835000000000008</v>
      </c>
      <c r="D146" s="22">
        <f>VLOOKUP(B146,Vertices!$A$11:$J$203,8,FALSE )-$D$7</f>
        <v>-28.26</v>
      </c>
      <c r="E146" s="23">
        <f>VLOOKUP(B146,Vertices!$A$11:$J$203,9,FALSE )-$E$7</f>
        <v>-29.48</v>
      </c>
      <c r="F146" s="21">
        <f>Faces!C146</f>
        <v>58</v>
      </c>
      <c r="G146" s="22">
        <f>VLOOKUP(F146,Vertices!$A$11:$J$203,7,FALSE )-$C$7</f>
        <v>3.7550000000000026</v>
      </c>
      <c r="H146" s="22">
        <f>VLOOKUP(F146,Vertices!$A$11:$J$203,8,FALSE )-$D$7</f>
        <v>-45.11</v>
      </c>
      <c r="I146" s="23">
        <f>VLOOKUP(F146,Vertices!$A$11:$J$203,9,FALSE )-$E$7</f>
        <v>-34.450000000000003</v>
      </c>
      <c r="J146" s="21">
        <f>Faces!D146</f>
        <v>57</v>
      </c>
      <c r="K146" s="22">
        <f>VLOOKUP(J146,Vertices!$A$11:$J$203,7,FALSE )-$C$7</f>
        <v>14.385000000000005</v>
      </c>
      <c r="L146" s="22">
        <f>VLOOKUP(J146,Vertices!$A$11:$J$203,8,FALSE )-$D$7</f>
        <v>-31.02</v>
      </c>
      <c r="M146" s="23">
        <f>VLOOKUP(J146,Vertices!$A$11:$J$203,9,FALSE )-$E$7</f>
        <v>-21.67</v>
      </c>
      <c r="N146" s="16">
        <f t="shared" si="4"/>
        <v>890.40420524999899</v>
      </c>
      <c r="O146" s="16">
        <f t="shared" si="5"/>
        <v>890.40420524999899</v>
      </c>
    </row>
    <row r="147" spans="1:15" x14ac:dyDescent="0.25">
      <c r="A147">
        <f>Faces!A147</f>
        <v>137</v>
      </c>
      <c r="B147" s="21">
        <f>Faces!B147</f>
        <v>57</v>
      </c>
      <c r="C147" s="22">
        <f>VLOOKUP(B147,Vertices!$A$11:$J$203,7,FALSE )-$C$7</f>
        <v>14.385000000000005</v>
      </c>
      <c r="D147" s="22">
        <f>VLOOKUP(B147,Vertices!$A$11:$J$203,8,FALSE )-$D$7</f>
        <v>-31.02</v>
      </c>
      <c r="E147" s="23">
        <f>VLOOKUP(B147,Vertices!$A$11:$J$203,9,FALSE )-$E$7</f>
        <v>-21.67</v>
      </c>
      <c r="F147" s="21">
        <f>Faces!C147</f>
        <v>58</v>
      </c>
      <c r="G147" s="22">
        <f>VLOOKUP(F147,Vertices!$A$11:$J$203,7,FALSE )-$C$7</f>
        <v>3.7550000000000026</v>
      </c>
      <c r="H147" s="22">
        <f>VLOOKUP(F147,Vertices!$A$11:$J$203,8,FALSE )-$D$7</f>
        <v>-45.11</v>
      </c>
      <c r="I147" s="23">
        <f>VLOOKUP(F147,Vertices!$A$11:$J$203,9,FALSE )-$E$7</f>
        <v>-34.450000000000003</v>
      </c>
      <c r="J147" s="21">
        <f>Faces!D147</f>
        <v>69</v>
      </c>
      <c r="K147" s="22">
        <f>VLOOKUP(J147,Vertices!$A$11:$J$203,7,FALSE )-$C$7</f>
        <v>2.8049999999999997</v>
      </c>
      <c r="L147" s="22">
        <f>VLOOKUP(J147,Vertices!$A$11:$J$203,8,FALSE )-$D$7</f>
        <v>-52.09</v>
      </c>
      <c r="M147" s="23">
        <f>VLOOKUP(J147,Vertices!$A$11:$J$203,9,FALSE )-$E$7</f>
        <v>-19.059999999999999</v>
      </c>
      <c r="N147" s="16">
        <f t="shared" si="4"/>
        <v>1861.944727416668</v>
      </c>
      <c r="O147" s="16">
        <f t="shared" si="5"/>
        <v>1861.944727416668</v>
      </c>
    </row>
    <row r="148" spans="1:15" x14ac:dyDescent="0.25">
      <c r="A148">
        <f>Faces!A148</f>
        <v>138</v>
      </c>
      <c r="B148" s="21">
        <f>Faces!B148</f>
        <v>57</v>
      </c>
      <c r="C148" s="22">
        <f>VLOOKUP(B148,Vertices!$A$11:$J$203,7,FALSE )-$C$7</f>
        <v>14.385000000000005</v>
      </c>
      <c r="D148" s="22">
        <f>VLOOKUP(B148,Vertices!$A$11:$J$203,8,FALSE )-$D$7</f>
        <v>-31.02</v>
      </c>
      <c r="E148" s="23">
        <f>VLOOKUP(B148,Vertices!$A$11:$J$203,9,FALSE )-$E$7</f>
        <v>-21.67</v>
      </c>
      <c r="F148" s="21">
        <f>Faces!C148</f>
        <v>69</v>
      </c>
      <c r="G148" s="22">
        <f>VLOOKUP(F148,Vertices!$A$11:$J$203,7,FALSE )-$C$7</f>
        <v>2.8049999999999997</v>
      </c>
      <c r="H148" s="22">
        <f>VLOOKUP(F148,Vertices!$A$11:$J$203,8,FALSE )-$D$7</f>
        <v>-52.09</v>
      </c>
      <c r="I148" s="23">
        <f>VLOOKUP(F148,Vertices!$A$11:$J$203,9,FALSE )-$E$7</f>
        <v>-19.059999999999999</v>
      </c>
      <c r="J148" s="21">
        <f>Faces!D148</f>
        <v>68</v>
      </c>
      <c r="K148" s="22">
        <f>VLOOKUP(J148,Vertices!$A$11:$J$203,7,FALSE )-$C$7</f>
        <v>13.405000000000001</v>
      </c>
      <c r="L148" s="22">
        <f>VLOOKUP(J148,Vertices!$A$11:$J$203,8,FALSE )-$D$7</f>
        <v>-36.11</v>
      </c>
      <c r="M148" s="23">
        <f>VLOOKUP(J148,Vertices!$A$11:$J$203,9,FALSE )-$E$7</f>
        <v>-5.45</v>
      </c>
      <c r="N148" s="16">
        <f t="shared" si="4"/>
        <v>1883.656608416667</v>
      </c>
      <c r="O148" s="16">
        <f t="shared" si="5"/>
        <v>1883.656608416667</v>
      </c>
    </row>
    <row r="149" spans="1:15" x14ac:dyDescent="0.25">
      <c r="A149">
        <f>Faces!A149</f>
        <v>139</v>
      </c>
      <c r="B149" s="21">
        <f>Faces!B149</f>
        <v>68</v>
      </c>
      <c r="C149" s="22">
        <f>VLOOKUP(B149,Vertices!$A$11:$J$203,7,FALSE )-$C$7</f>
        <v>13.405000000000001</v>
      </c>
      <c r="D149" s="22">
        <f>VLOOKUP(B149,Vertices!$A$11:$J$203,8,FALSE )-$D$7</f>
        <v>-36.11</v>
      </c>
      <c r="E149" s="23">
        <f>VLOOKUP(B149,Vertices!$A$11:$J$203,9,FALSE )-$E$7</f>
        <v>-5.45</v>
      </c>
      <c r="F149" s="21">
        <f>Faces!C149</f>
        <v>69</v>
      </c>
      <c r="G149" s="22">
        <f>VLOOKUP(F149,Vertices!$A$11:$J$203,7,FALSE )-$C$7</f>
        <v>2.8049999999999997</v>
      </c>
      <c r="H149" s="22">
        <f>VLOOKUP(F149,Vertices!$A$11:$J$203,8,FALSE )-$D$7</f>
        <v>-52.09</v>
      </c>
      <c r="I149" s="23">
        <f>VLOOKUP(F149,Vertices!$A$11:$J$203,9,FALSE )-$E$7</f>
        <v>-19.059999999999999</v>
      </c>
      <c r="J149" s="21">
        <f>Faces!D149</f>
        <v>80</v>
      </c>
      <c r="K149" s="22">
        <f>VLOOKUP(J149,Vertices!$A$11:$J$203,7,FALSE )-$C$7</f>
        <v>1.0050000000000026</v>
      </c>
      <c r="L149" s="22">
        <f>VLOOKUP(J149,Vertices!$A$11:$J$203,8,FALSE )-$D$7</f>
        <v>-60.77</v>
      </c>
      <c r="M149" s="23">
        <f>VLOOKUP(J149,Vertices!$A$11:$J$203,9,FALSE )-$E$7</f>
        <v>4.59</v>
      </c>
      <c r="N149" s="16">
        <f t="shared" si="4"/>
        <v>2821.9044848333338</v>
      </c>
      <c r="O149" s="16">
        <f t="shared" si="5"/>
        <v>2821.9044848333338</v>
      </c>
    </row>
    <row r="150" spans="1:15" x14ac:dyDescent="0.25">
      <c r="A150">
        <f>Faces!A150</f>
        <v>140</v>
      </c>
      <c r="B150" s="21">
        <f>Faces!B150</f>
        <v>68</v>
      </c>
      <c r="C150" s="22">
        <f>VLOOKUP(B150,Vertices!$A$11:$J$203,7,FALSE )-$C$7</f>
        <v>13.405000000000001</v>
      </c>
      <c r="D150" s="22">
        <f>VLOOKUP(B150,Vertices!$A$11:$J$203,8,FALSE )-$D$7</f>
        <v>-36.11</v>
      </c>
      <c r="E150" s="23">
        <f>VLOOKUP(B150,Vertices!$A$11:$J$203,9,FALSE )-$E$7</f>
        <v>-5.45</v>
      </c>
      <c r="F150" s="21">
        <f>Faces!C150</f>
        <v>80</v>
      </c>
      <c r="G150" s="22">
        <f>VLOOKUP(F150,Vertices!$A$11:$J$203,7,FALSE )-$C$7</f>
        <v>1.0050000000000026</v>
      </c>
      <c r="H150" s="22">
        <f>VLOOKUP(F150,Vertices!$A$11:$J$203,8,FALSE )-$D$7</f>
        <v>-60.77</v>
      </c>
      <c r="I150" s="23">
        <f>VLOOKUP(F150,Vertices!$A$11:$J$203,9,FALSE )-$E$7</f>
        <v>4.59</v>
      </c>
      <c r="J150" s="21">
        <f>Faces!D150</f>
        <v>79</v>
      </c>
      <c r="K150" s="22">
        <f>VLOOKUP(J150,Vertices!$A$11:$J$203,7,FALSE )-$C$7</f>
        <v>11.795000000000002</v>
      </c>
      <c r="L150" s="22">
        <f>VLOOKUP(J150,Vertices!$A$11:$J$203,8,FALSE )-$D$7</f>
        <v>-41.99</v>
      </c>
      <c r="M150" s="23">
        <f>VLOOKUP(J150,Vertices!$A$11:$J$203,9,FALSE )-$E$7</f>
        <v>20.43</v>
      </c>
      <c r="N150" s="16">
        <f t="shared" si="4"/>
        <v>3158.1903223333334</v>
      </c>
      <c r="O150" s="16">
        <f t="shared" si="5"/>
        <v>3158.1903223333334</v>
      </c>
    </row>
    <row r="151" spans="1:15" x14ac:dyDescent="0.25">
      <c r="A151">
        <f>Faces!A151</f>
        <v>141</v>
      </c>
      <c r="B151" s="21">
        <f>Faces!B151</f>
        <v>79</v>
      </c>
      <c r="C151" s="22">
        <f>VLOOKUP(B151,Vertices!$A$11:$J$203,7,FALSE )-$C$7</f>
        <v>11.795000000000002</v>
      </c>
      <c r="D151" s="22">
        <f>VLOOKUP(B151,Vertices!$A$11:$J$203,8,FALSE )-$D$7</f>
        <v>-41.99</v>
      </c>
      <c r="E151" s="23">
        <f>VLOOKUP(B151,Vertices!$A$11:$J$203,9,FALSE )-$E$7</f>
        <v>20.43</v>
      </c>
      <c r="F151" s="21">
        <f>Faces!C151</f>
        <v>80</v>
      </c>
      <c r="G151" s="22">
        <f>VLOOKUP(F151,Vertices!$A$11:$J$203,7,FALSE )-$C$7</f>
        <v>1.0050000000000026</v>
      </c>
      <c r="H151" s="22">
        <f>VLOOKUP(F151,Vertices!$A$11:$J$203,8,FALSE )-$D$7</f>
        <v>-60.77</v>
      </c>
      <c r="I151" s="23">
        <f>VLOOKUP(F151,Vertices!$A$11:$J$203,9,FALSE )-$E$7</f>
        <v>4.59</v>
      </c>
      <c r="J151" s="21">
        <f>Faces!D151</f>
        <v>91</v>
      </c>
      <c r="K151" s="22">
        <f>VLOOKUP(J151,Vertices!$A$11:$J$203,7,FALSE )-$C$7</f>
        <v>-1.4549999999999983</v>
      </c>
      <c r="L151" s="22">
        <f>VLOOKUP(J151,Vertices!$A$11:$J$203,8,FALSE )-$D$7</f>
        <v>-66</v>
      </c>
      <c r="M151" s="23">
        <f>VLOOKUP(J151,Vertices!$A$11:$J$203,9,FALSE )-$E$7</f>
        <v>26</v>
      </c>
      <c r="N151" s="16">
        <f t="shared" si="4"/>
        <v>2807.8469058333335</v>
      </c>
      <c r="O151" s="16">
        <f t="shared" si="5"/>
        <v>2807.8469058333335</v>
      </c>
    </row>
    <row r="152" spans="1:15" x14ac:dyDescent="0.25">
      <c r="A152">
        <f>Faces!A152</f>
        <v>142</v>
      </c>
      <c r="B152" s="21">
        <f>Faces!B152</f>
        <v>79</v>
      </c>
      <c r="C152" s="22">
        <f>VLOOKUP(B152,Vertices!$A$11:$J$203,7,FALSE )-$C$7</f>
        <v>11.795000000000002</v>
      </c>
      <c r="D152" s="22">
        <f>VLOOKUP(B152,Vertices!$A$11:$J$203,8,FALSE )-$D$7</f>
        <v>-41.99</v>
      </c>
      <c r="E152" s="23">
        <f>VLOOKUP(B152,Vertices!$A$11:$J$203,9,FALSE )-$E$7</f>
        <v>20.43</v>
      </c>
      <c r="F152" s="21">
        <f>Faces!C152</f>
        <v>91</v>
      </c>
      <c r="G152" s="22">
        <f>VLOOKUP(F152,Vertices!$A$11:$J$203,7,FALSE )-$C$7</f>
        <v>-1.4549999999999983</v>
      </c>
      <c r="H152" s="22">
        <f>VLOOKUP(F152,Vertices!$A$11:$J$203,8,FALSE )-$D$7</f>
        <v>-66</v>
      </c>
      <c r="I152" s="23">
        <f>VLOOKUP(F152,Vertices!$A$11:$J$203,9,FALSE )-$E$7</f>
        <v>26</v>
      </c>
      <c r="J152" s="21">
        <f>Faces!D152</f>
        <v>90</v>
      </c>
      <c r="K152" s="22">
        <f>VLOOKUP(J152,Vertices!$A$11:$J$203,7,FALSE )-$C$7</f>
        <v>10.204999999999998</v>
      </c>
      <c r="L152" s="22">
        <f>VLOOKUP(J152,Vertices!$A$11:$J$203,8,FALSE )-$D$7</f>
        <v>-45.12</v>
      </c>
      <c r="M152" s="23">
        <f>VLOOKUP(J152,Vertices!$A$11:$J$203,9,FALSE )-$E$7</f>
        <v>44.87</v>
      </c>
      <c r="N152" s="16">
        <f t="shared" si="4"/>
        <v>3312.3531355833329</v>
      </c>
      <c r="O152" s="16">
        <f t="shared" si="5"/>
        <v>3312.3531355833329</v>
      </c>
    </row>
    <row r="153" spans="1:15" x14ac:dyDescent="0.25">
      <c r="A153">
        <f>Faces!A153</f>
        <v>143</v>
      </c>
      <c r="B153" s="21">
        <f>Faces!B153</f>
        <v>78</v>
      </c>
      <c r="C153" s="22">
        <f>VLOOKUP(B153,Vertices!$A$11:$J$203,7,FALSE )-$C$7</f>
        <v>23.805000000000007</v>
      </c>
      <c r="D153" s="22">
        <f>VLOOKUP(B153,Vertices!$A$11:$J$203,8,FALSE )-$D$7</f>
        <v>-23.41</v>
      </c>
      <c r="E153" s="23">
        <f>VLOOKUP(B153,Vertices!$A$11:$J$203,9,FALSE )-$E$7</f>
        <v>38.700000000000003</v>
      </c>
      <c r="F153" s="21">
        <f>Faces!C153</f>
        <v>79</v>
      </c>
      <c r="G153" s="22">
        <f>VLOOKUP(F153,Vertices!$A$11:$J$203,7,FALSE )-$C$7</f>
        <v>11.795000000000002</v>
      </c>
      <c r="H153" s="22">
        <f>VLOOKUP(F153,Vertices!$A$11:$J$203,8,FALSE )-$D$7</f>
        <v>-41.99</v>
      </c>
      <c r="I153" s="23">
        <f>VLOOKUP(F153,Vertices!$A$11:$J$203,9,FALSE )-$E$7</f>
        <v>20.43</v>
      </c>
      <c r="J153" s="21">
        <f>Faces!D153</f>
        <v>90</v>
      </c>
      <c r="K153" s="22">
        <f>VLOOKUP(J153,Vertices!$A$11:$J$203,7,FALSE )-$C$7</f>
        <v>10.204999999999998</v>
      </c>
      <c r="L153" s="22">
        <f>VLOOKUP(J153,Vertices!$A$11:$J$203,8,FALSE )-$D$7</f>
        <v>-45.12</v>
      </c>
      <c r="M153" s="23">
        <f>VLOOKUP(J153,Vertices!$A$11:$J$203,9,FALSE )-$E$7</f>
        <v>44.87</v>
      </c>
      <c r="N153" s="16">
        <f t="shared" si="4"/>
        <v>3235.162948083334</v>
      </c>
      <c r="O153" s="16">
        <f t="shared" si="5"/>
        <v>3235.162948083334</v>
      </c>
    </row>
    <row r="154" spans="1:15" x14ac:dyDescent="0.25">
      <c r="A154">
        <f>Faces!A154</f>
        <v>144</v>
      </c>
      <c r="B154" s="21">
        <f>Faces!B154</f>
        <v>78</v>
      </c>
      <c r="C154" s="22">
        <f>VLOOKUP(B154,Vertices!$A$11:$J$203,7,FALSE )-$C$7</f>
        <v>23.805000000000007</v>
      </c>
      <c r="D154" s="22">
        <f>VLOOKUP(B154,Vertices!$A$11:$J$203,8,FALSE )-$D$7</f>
        <v>-23.41</v>
      </c>
      <c r="E154" s="23">
        <f>VLOOKUP(B154,Vertices!$A$11:$J$203,9,FALSE )-$E$7</f>
        <v>38.700000000000003</v>
      </c>
      <c r="F154" s="21">
        <f>Faces!C154</f>
        <v>90</v>
      </c>
      <c r="G154" s="22">
        <f>VLOOKUP(F154,Vertices!$A$11:$J$203,7,FALSE )-$C$7</f>
        <v>10.204999999999998</v>
      </c>
      <c r="H154" s="22">
        <f>VLOOKUP(F154,Vertices!$A$11:$J$203,8,FALSE )-$D$7</f>
        <v>-45.12</v>
      </c>
      <c r="I154" s="23">
        <f>VLOOKUP(F154,Vertices!$A$11:$J$203,9,FALSE )-$E$7</f>
        <v>44.87</v>
      </c>
      <c r="J154" s="21">
        <f>Faces!D154</f>
        <v>89</v>
      </c>
      <c r="K154" s="22">
        <f>VLOOKUP(J154,Vertices!$A$11:$J$203,7,FALSE )-$C$7</f>
        <v>22.475000000000009</v>
      </c>
      <c r="L154" s="22">
        <f>VLOOKUP(J154,Vertices!$A$11:$J$203,8,FALSE )-$D$7</f>
        <v>-24.83</v>
      </c>
      <c r="M154" s="23">
        <f>VLOOKUP(J154,Vertices!$A$11:$J$203,9,FALSE )-$E$7</f>
        <v>66.08</v>
      </c>
      <c r="N154" s="16">
        <f t="shared" si="4"/>
        <v>3806.1148834999985</v>
      </c>
      <c r="O154" s="16">
        <f t="shared" si="5"/>
        <v>3806.1148834999985</v>
      </c>
    </row>
    <row r="155" spans="1:15" x14ac:dyDescent="0.25">
      <c r="A155">
        <f>Faces!A155</f>
        <v>145</v>
      </c>
      <c r="B155" s="21">
        <f>Faces!B155</f>
        <v>77</v>
      </c>
      <c r="C155" s="22">
        <f>VLOOKUP(B155,Vertices!$A$11:$J$203,7,FALSE )-$C$7</f>
        <v>31.394999999999996</v>
      </c>
      <c r="D155" s="22">
        <f>VLOOKUP(B155,Vertices!$A$11:$J$203,8,FALSE )-$D$7</f>
        <v>-13.04</v>
      </c>
      <c r="E155" s="23">
        <f>VLOOKUP(B155,Vertices!$A$11:$J$203,9,FALSE )-$E$7</f>
        <v>50.55</v>
      </c>
      <c r="F155" s="21">
        <f>Faces!C155</f>
        <v>78</v>
      </c>
      <c r="G155" s="22">
        <f>VLOOKUP(F155,Vertices!$A$11:$J$203,7,FALSE )-$C$7</f>
        <v>23.805000000000007</v>
      </c>
      <c r="H155" s="22">
        <f>VLOOKUP(F155,Vertices!$A$11:$J$203,8,FALSE )-$D$7</f>
        <v>-23.41</v>
      </c>
      <c r="I155" s="23">
        <f>VLOOKUP(F155,Vertices!$A$11:$J$203,9,FALSE )-$E$7</f>
        <v>38.700000000000003</v>
      </c>
      <c r="J155" s="21">
        <f>Faces!D155</f>
        <v>89</v>
      </c>
      <c r="K155" s="22">
        <f>VLOOKUP(J155,Vertices!$A$11:$J$203,7,FALSE )-$C$7</f>
        <v>22.475000000000009</v>
      </c>
      <c r="L155" s="22">
        <f>VLOOKUP(J155,Vertices!$A$11:$J$203,8,FALSE )-$D$7</f>
        <v>-24.83</v>
      </c>
      <c r="M155" s="23">
        <f>VLOOKUP(J155,Vertices!$A$11:$J$203,9,FALSE )-$E$7</f>
        <v>66.08</v>
      </c>
      <c r="N155" s="16">
        <f t="shared" si="4"/>
        <v>2085.0119674999983</v>
      </c>
      <c r="O155" s="16">
        <f t="shared" si="5"/>
        <v>2085.0119674999983</v>
      </c>
    </row>
    <row r="156" spans="1:15" x14ac:dyDescent="0.25">
      <c r="A156">
        <f>Faces!A156</f>
        <v>146</v>
      </c>
      <c r="B156" s="21">
        <f>Faces!B156</f>
        <v>77</v>
      </c>
      <c r="C156" s="22">
        <f>VLOOKUP(B156,Vertices!$A$11:$J$203,7,FALSE )-$C$7</f>
        <v>31.394999999999996</v>
      </c>
      <c r="D156" s="22">
        <f>VLOOKUP(B156,Vertices!$A$11:$J$203,8,FALSE )-$D$7</f>
        <v>-13.04</v>
      </c>
      <c r="E156" s="23">
        <f>VLOOKUP(B156,Vertices!$A$11:$J$203,9,FALSE )-$E$7</f>
        <v>50.55</v>
      </c>
      <c r="F156" s="21">
        <f>Faces!C156</f>
        <v>89</v>
      </c>
      <c r="G156" s="22">
        <f>VLOOKUP(F156,Vertices!$A$11:$J$203,7,FALSE )-$C$7</f>
        <v>22.475000000000009</v>
      </c>
      <c r="H156" s="22">
        <f>VLOOKUP(F156,Vertices!$A$11:$J$203,8,FALSE )-$D$7</f>
        <v>-24.83</v>
      </c>
      <c r="I156" s="23">
        <f>VLOOKUP(F156,Vertices!$A$11:$J$203,9,FALSE )-$E$7</f>
        <v>66.08</v>
      </c>
      <c r="J156" s="21">
        <f>Faces!D156</f>
        <v>88</v>
      </c>
      <c r="K156" s="22">
        <f>VLOOKUP(J156,Vertices!$A$11:$J$203,7,FALSE )-$C$7</f>
        <v>30.075000000000003</v>
      </c>
      <c r="L156" s="22">
        <f>VLOOKUP(J156,Vertices!$A$11:$J$203,8,FALSE )-$D$7</f>
        <v>-13.75</v>
      </c>
      <c r="M156" s="23">
        <f>VLOOKUP(J156,Vertices!$A$11:$J$203,9,FALSE )-$E$7</f>
        <v>79.52</v>
      </c>
      <c r="N156" s="16">
        <f t="shared" si="4"/>
        <v>2324.3214236666668</v>
      </c>
      <c r="O156" s="16">
        <f t="shared" si="5"/>
        <v>2324.3214236666668</v>
      </c>
    </row>
    <row r="157" spans="1:15" x14ac:dyDescent="0.25">
      <c r="A157">
        <f>Faces!A157</f>
        <v>147</v>
      </c>
      <c r="B157" s="21">
        <f>Faces!B157</f>
        <v>76</v>
      </c>
      <c r="C157" s="22">
        <f>VLOOKUP(B157,Vertices!$A$11:$J$203,7,FALSE )-$C$7</f>
        <v>35.075000000000003</v>
      </c>
      <c r="D157" s="22">
        <f>VLOOKUP(B157,Vertices!$A$11:$J$203,8,FALSE )-$D$7</f>
        <v>-8.34</v>
      </c>
      <c r="E157" s="23">
        <f>VLOOKUP(B157,Vertices!$A$11:$J$203,9,FALSE )-$E$7</f>
        <v>56.4</v>
      </c>
      <c r="F157" s="21">
        <f>Faces!C157</f>
        <v>77</v>
      </c>
      <c r="G157" s="22">
        <f>VLOOKUP(F157,Vertices!$A$11:$J$203,7,FALSE )-$C$7</f>
        <v>31.394999999999996</v>
      </c>
      <c r="H157" s="22">
        <f>VLOOKUP(F157,Vertices!$A$11:$J$203,8,FALSE )-$D$7</f>
        <v>-13.04</v>
      </c>
      <c r="I157" s="23">
        <f>VLOOKUP(F157,Vertices!$A$11:$J$203,9,FALSE )-$E$7</f>
        <v>50.55</v>
      </c>
      <c r="J157" s="21">
        <f>Faces!D157</f>
        <v>88</v>
      </c>
      <c r="K157" s="22">
        <f>VLOOKUP(J157,Vertices!$A$11:$J$203,7,FALSE )-$C$7</f>
        <v>30.075000000000003</v>
      </c>
      <c r="L157" s="22">
        <f>VLOOKUP(J157,Vertices!$A$11:$J$203,8,FALSE )-$D$7</f>
        <v>-13.75</v>
      </c>
      <c r="M157" s="23">
        <f>VLOOKUP(J157,Vertices!$A$11:$J$203,9,FALSE )-$E$7</f>
        <v>79.52</v>
      </c>
      <c r="N157" s="16">
        <f t="shared" si="4"/>
        <v>1012.9216935833332</v>
      </c>
      <c r="O157" s="16">
        <f t="shared" si="5"/>
        <v>1012.9216935833332</v>
      </c>
    </row>
    <row r="158" spans="1:15" x14ac:dyDescent="0.25">
      <c r="A158">
        <f>Faces!A158</f>
        <v>148</v>
      </c>
      <c r="B158" s="21">
        <f>Faces!B158</f>
        <v>76</v>
      </c>
      <c r="C158" s="22">
        <f>VLOOKUP(B158,Vertices!$A$11:$J$203,7,FALSE )-$C$7</f>
        <v>35.075000000000003</v>
      </c>
      <c r="D158" s="22">
        <f>VLOOKUP(B158,Vertices!$A$11:$J$203,8,FALSE )-$D$7</f>
        <v>-8.34</v>
      </c>
      <c r="E158" s="23">
        <f>VLOOKUP(B158,Vertices!$A$11:$J$203,9,FALSE )-$E$7</f>
        <v>56.4</v>
      </c>
      <c r="F158" s="21">
        <f>Faces!C158</f>
        <v>88</v>
      </c>
      <c r="G158" s="22">
        <f>VLOOKUP(F158,Vertices!$A$11:$J$203,7,FALSE )-$C$7</f>
        <v>30.075000000000003</v>
      </c>
      <c r="H158" s="22">
        <f>VLOOKUP(F158,Vertices!$A$11:$J$203,8,FALSE )-$D$7</f>
        <v>-13.75</v>
      </c>
      <c r="I158" s="23">
        <f>VLOOKUP(F158,Vertices!$A$11:$J$203,9,FALSE )-$E$7</f>
        <v>79.52</v>
      </c>
      <c r="J158" s="21">
        <f>Faces!D158</f>
        <v>87</v>
      </c>
      <c r="K158" s="22">
        <f>VLOOKUP(J158,Vertices!$A$11:$J$203,7,FALSE )-$C$7</f>
        <v>33.754999999999995</v>
      </c>
      <c r="L158" s="22">
        <f>VLOOKUP(J158,Vertices!$A$11:$J$203,8,FALSE )-$D$7</f>
        <v>-8.91</v>
      </c>
      <c r="M158" s="23">
        <f>VLOOKUP(J158,Vertices!$A$11:$J$203,9,FALSE )-$E$7</f>
        <v>86.14</v>
      </c>
      <c r="N158" s="16">
        <f t="shared" si="4"/>
        <v>1068.1269748333332</v>
      </c>
      <c r="O158" s="16">
        <f t="shared" si="5"/>
        <v>1068.1269748333332</v>
      </c>
    </row>
    <row r="159" spans="1:15" x14ac:dyDescent="0.25">
      <c r="A159">
        <f>Faces!A159</f>
        <v>149</v>
      </c>
      <c r="B159" s="21">
        <f>Faces!B159</f>
        <v>70</v>
      </c>
      <c r="C159" s="22">
        <f>VLOOKUP(B159,Vertices!$A$11:$J$203,7,FALSE )-$C$7</f>
        <v>38.835000000000008</v>
      </c>
      <c r="D159" s="22">
        <f>VLOOKUP(B159,Vertices!$A$11:$J$203,8,FALSE )-$D$7</f>
        <v>-3.55</v>
      </c>
      <c r="E159" s="23">
        <f>VLOOKUP(B159,Vertices!$A$11:$J$203,9,FALSE )-$E$7</f>
        <v>62.44</v>
      </c>
      <c r="F159" s="21">
        <f>Faces!C159</f>
        <v>76</v>
      </c>
      <c r="G159" s="22">
        <f>VLOOKUP(F159,Vertices!$A$11:$J$203,7,FALSE )-$C$7</f>
        <v>35.075000000000003</v>
      </c>
      <c r="H159" s="22">
        <f>VLOOKUP(F159,Vertices!$A$11:$J$203,8,FALSE )-$D$7</f>
        <v>-8.34</v>
      </c>
      <c r="I159" s="23">
        <f>VLOOKUP(F159,Vertices!$A$11:$J$203,9,FALSE )-$E$7</f>
        <v>56.4</v>
      </c>
      <c r="J159" s="21">
        <f>Faces!D159</f>
        <v>87</v>
      </c>
      <c r="K159" s="22">
        <f>VLOOKUP(J159,Vertices!$A$11:$J$203,7,FALSE )-$C$7</f>
        <v>33.754999999999995</v>
      </c>
      <c r="L159" s="22">
        <f>VLOOKUP(J159,Vertices!$A$11:$J$203,8,FALSE )-$D$7</f>
        <v>-8.91</v>
      </c>
      <c r="M159" s="23">
        <f>VLOOKUP(J159,Vertices!$A$11:$J$203,9,FALSE )-$E$7</f>
        <v>86.14</v>
      </c>
      <c r="N159" s="16">
        <f t="shared" si="4"/>
        <v>1058.695452166666</v>
      </c>
      <c r="O159" s="16">
        <f t="shared" si="5"/>
        <v>1058.695452166666</v>
      </c>
    </row>
    <row r="160" spans="1:15" x14ac:dyDescent="0.25">
      <c r="A160">
        <f>Faces!A160</f>
        <v>150</v>
      </c>
      <c r="B160" s="21">
        <f>Faces!B160</f>
        <v>70</v>
      </c>
      <c r="C160" s="22">
        <f>VLOOKUP(B160,Vertices!$A$11:$J$203,7,FALSE )-$C$7</f>
        <v>38.835000000000008</v>
      </c>
      <c r="D160" s="22">
        <f>VLOOKUP(B160,Vertices!$A$11:$J$203,8,FALSE )-$D$7</f>
        <v>-3.55</v>
      </c>
      <c r="E160" s="23">
        <f>VLOOKUP(B160,Vertices!$A$11:$J$203,9,FALSE )-$E$7</f>
        <v>62.44</v>
      </c>
      <c r="F160" s="21">
        <f>Faces!C160</f>
        <v>87</v>
      </c>
      <c r="G160" s="22">
        <f>VLOOKUP(F160,Vertices!$A$11:$J$203,7,FALSE )-$C$7</f>
        <v>33.754999999999995</v>
      </c>
      <c r="H160" s="22">
        <f>VLOOKUP(F160,Vertices!$A$11:$J$203,8,FALSE )-$D$7</f>
        <v>-8.91</v>
      </c>
      <c r="I160" s="23">
        <f>VLOOKUP(F160,Vertices!$A$11:$J$203,9,FALSE )-$E$7</f>
        <v>86.14</v>
      </c>
      <c r="J160" s="21">
        <f>Faces!D160</f>
        <v>81</v>
      </c>
      <c r="K160" s="22">
        <f>VLOOKUP(J160,Vertices!$A$11:$J$203,7,FALSE )-$C$7</f>
        <v>37.545000000000002</v>
      </c>
      <c r="L160" s="22">
        <f>VLOOKUP(J160,Vertices!$A$11:$J$203,8,FALSE )-$D$7</f>
        <v>-4</v>
      </c>
      <c r="M160" s="23">
        <f>VLOOKUP(J160,Vertices!$A$11:$J$203,9,FALSE )-$E$7</f>
        <v>93</v>
      </c>
      <c r="N160" s="16">
        <f t="shared" si="4"/>
        <v>1113.1070078333341</v>
      </c>
      <c r="O160" s="16">
        <f t="shared" si="5"/>
        <v>1113.1070078333341</v>
      </c>
    </row>
    <row r="161" spans="1:15" x14ac:dyDescent="0.25">
      <c r="A161">
        <f>Faces!A161</f>
        <v>151</v>
      </c>
      <c r="B161" s="21">
        <f>Faces!B161</f>
        <v>31</v>
      </c>
      <c r="C161" s="22">
        <f>VLOOKUP(B161,Vertices!$A$11:$J$203,7,FALSE )-$C$7</f>
        <v>4.5450000000000017</v>
      </c>
      <c r="D161" s="22">
        <f>VLOOKUP(B161,Vertices!$A$11:$J$203,8,FALSE )-$D$7</f>
        <v>-37</v>
      </c>
      <c r="E161" s="23">
        <f>VLOOKUP(B161,Vertices!$A$11:$J$203,9,FALSE )-$E$7</f>
        <v>-50</v>
      </c>
      <c r="F161" s="21">
        <f>Faces!C161</f>
        <v>98</v>
      </c>
      <c r="G161" s="22">
        <f>VLOOKUP(F161,Vertices!$A$11:$J$203,7,FALSE )-$C$7</f>
        <v>-5.7849999999999966</v>
      </c>
      <c r="H161" s="22">
        <f>VLOOKUP(F161,Vertices!$A$11:$J$203,8,FALSE )-$D$7</f>
        <v>-27.89</v>
      </c>
      <c r="I161" s="23">
        <f>VLOOKUP(F161,Vertices!$A$11:$J$203,9,FALSE )-$E$7</f>
        <v>-42.05</v>
      </c>
      <c r="J161" s="21">
        <f>Faces!D161</f>
        <v>97</v>
      </c>
      <c r="K161" s="22">
        <f>VLOOKUP(J161,Vertices!$A$11:$J$203,7,FALSE )-$C$7</f>
        <v>-3.2449999999999974</v>
      </c>
      <c r="L161" s="22">
        <f>VLOOKUP(J161,Vertices!$A$11:$J$203,8,FALSE )-$D$7</f>
        <v>-32.49</v>
      </c>
      <c r="M161" s="23">
        <f>VLOOKUP(J161,Vertices!$A$11:$J$203,9,FALSE )-$E$7</f>
        <v>-42.5</v>
      </c>
      <c r="N161" s="16">
        <f t="shared" si="4"/>
        <v>274.41634625000006</v>
      </c>
      <c r="O161" s="16">
        <f t="shared" si="5"/>
        <v>274.41634625000006</v>
      </c>
    </row>
    <row r="162" spans="1:15" x14ac:dyDescent="0.25">
      <c r="A162">
        <f>Faces!A162</f>
        <v>152</v>
      </c>
      <c r="B162" s="21">
        <f>Faces!B162</f>
        <v>31</v>
      </c>
      <c r="C162" s="22">
        <f>VLOOKUP(B162,Vertices!$A$11:$J$203,7,FALSE )-$C$7</f>
        <v>4.5450000000000017</v>
      </c>
      <c r="D162" s="22">
        <f>VLOOKUP(B162,Vertices!$A$11:$J$203,8,FALSE )-$D$7</f>
        <v>-37</v>
      </c>
      <c r="E162" s="23">
        <f>VLOOKUP(B162,Vertices!$A$11:$J$203,9,FALSE )-$E$7</f>
        <v>-50</v>
      </c>
      <c r="F162" s="21">
        <f>Faces!C162</f>
        <v>32</v>
      </c>
      <c r="G162" s="22">
        <f>VLOOKUP(F162,Vertices!$A$11:$J$203,7,FALSE )-$C$7</f>
        <v>1.615000000000002</v>
      </c>
      <c r="H162" s="22">
        <f>VLOOKUP(F162,Vertices!$A$11:$J$203,8,FALSE )-$D$7</f>
        <v>-32.1</v>
      </c>
      <c r="I162" s="23">
        <f>VLOOKUP(F162,Vertices!$A$11:$J$203,9,FALSE )-$E$7</f>
        <v>-49.14</v>
      </c>
      <c r="J162" s="21">
        <f>Faces!D162</f>
        <v>98</v>
      </c>
      <c r="K162" s="22">
        <f>VLOOKUP(J162,Vertices!$A$11:$J$203,7,FALSE )-$C$7</f>
        <v>-5.7849999999999966</v>
      </c>
      <c r="L162" s="22">
        <f>VLOOKUP(J162,Vertices!$A$11:$J$203,8,FALSE )-$D$7</f>
        <v>-27.89</v>
      </c>
      <c r="M162" s="23">
        <f>VLOOKUP(J162,Vertices!$A$11:$J$203,9,FALSE )-$E$7</f>
        <v>-42.05</v>
      </c>
      <c r="N162" s="16">
        <f t="shared" si="4"/>
        <v>264.65861366666678</v>
      </c>
      <c r="O162" s="16">
        <f t="shared" si="5"/>
        <v>264.65861366666678</v>
      </c>
    </row>
    <row r="163" spans="1:15" x14ac:dyDescent="0.25">
      <c r="A163">
        <f>Faces!A163</f>
        <v>153</v>
      </c>
      <c r="B163" s="21">
        <f>Faces!B163</f>
        <v>32</v>
      </c>
      <c r="C163" s="22">
        <f>VLOOKUP(B163,Vertices!$A$11:$J$203,7,FALSE )-$C$7</f>
        <v>1.615000000000002</v>
      </c>
      <c r="D163" s="22">
        <f>VLOOKUP(B163,Vertices!$A$11:$J$203,8,FALSE )-$D$7</f>
        <v>-32.1</v>
      </c>
      <c r="E163" s="23">
        <f>VLOOKUP(B163,Vertices!$A$11:$J$203,9,FALSE )-$E$7</f>
        <v>-49.14</v>
      </c>
      <c r="F163" s="21">
        <f>Faces!C163</f>
        <v>99</v>
      </c>
      <c r="G163" s="22">
        <f>VLOOKUP(F163,Vertices!$A$11:$J$203,7,FALSE )-$C$7</f>
        <v>-8.3249999999999957</v>
      </c>
      <c r="H163" s="22">
        <f>VLOOKUP(F163,Vertices!$A$11:$J$203,8,FALSE )-$D$7</f>
        <v>-23.3</v>
      </c>
      <c r="I163" s="23">
        <f>VLOOKUP(F163,Vertices!$A$11:$J$203,9,FALSE )-$E$7</f>
        <v>-41.61</v>
      </c>
      <c r="J163" s="21">
        <f>Faces!D163</f>
        <v>98</v>
      </c>
      <c r="K163" s="22">
        <f>VLOOKUP(J163,Vertices!$A$11:$J$203,7,FALSE )-$C$7</f>
        <v>-5.7849999999999966</v>
      </c>
      <c r="L163" s="22">
        <f>VLOOKUP(J163,Vertices!$A$11:$J$203,8,FALSE )-$D$7</f>
        <v>-27.89</v>
      </c>
      <c r="M163" s="23">
        <f>VLOOKUP(J163,Vertices!$A$11:$J$203,9,FALSE )-$E$7</f>
        <v>-42.05</v>
      </c>
      <c r="N163" s="16">
        <f t="shared" si="4"/>
        <v>261.26809058333328</v>
      </c>
      <c r="O163" s="16">
        <f t="shared" si="5"/>
        <v>261.26809058333328</v>
      </c>
    </row>
    <row r="164" spans="1:15" x14ac:dyDescent="0.25">
      <c r="A164">
        <f>Faces!A164</f>
        <v>154</v>
      </c>
      <c r="B164" s="21">
        <f>Faces!B164</f>
        <v>32</v>
      </c>
      <c r="C164" s="22">
        <f>VLOOKUP(B164,Vertices!$A$11:$J$203,7,FALSE )-$C$7</f>
        <v>1.615000000000002</v>
      </c>
      <c r="D164" s="22">
        <f>VLOOKUP(B164,Vertices!$A$11:$J$203,8,FALSE )-$D$7</f>
        <v>-32.1</v>
      </c>
      <c r="E164" s="23">
        <f>VLOOKUP(B164,Vertices!$A$11:$J$203,9,FALSE )-$E$7</f>
        <v>-49.14</v>
      </c>
      <c r="F164" s="21">
        <f>Faces!C164</f>
        <v>33</v>
      </c>
      <c r="G164" s="22">
        <f>VLOOKUP(F164,Vertices!$A$11:$J$203,7,FALSE )-$C$7</f>
        <v>-1.2250000000000014</v>
      </c>
      <c r="H164" s="22">
        <f>VLOOKUP(F164,Vertices!$A$11:$J$203,8,FALSE )-$D$7</f>
        <v>-27.18</v>
      </c>
      <c r="I164" s="23">
        <f>VLOOKUP(F164,Vertices!$A$11:$J$203,9,FALSE )-$E$7</f>
        <v>-48.51</v>
      </c>
      <c r="J164" s="21">
        <f>Faces!D164</f>
        <v>99</v>
      </c>
      <c r="K164" s="22">
        <f>VLOOKUP(J164,Vertices!$A$11:$J$203,7,FALSE )-$C$7</f>
        <v>-8.3249999999999957</v>
      </c>
      <c r="L164" s="22">
        <f>VLOOKUP(J164,Vertices!$A$11:$J$203,8,FALSE )-$D$7</f>
        <v>-23.3</v>
      </c>
      <c r="M164" s="23">
        <f>VLOOKUP(J164,Vertices!$A$11:$J$203,9,FALSE )-$E$7</f>
        <v>-41.61</v>
      </c>
      <c r="N164" s="16">
        <f t="shared" si="4"/>
        <v>268.27416299999942</v>
      </c>
      <c r="O164" s="16">
        <f t="shared" si="5"/>
        <v>268.27416299999942</v>
      </c>
    </row>
    <row r="165" spans="1:15" x14ac:dyDescent="0.25">
      <c r="A165">
        <f>Faces!A165</f>
        <v>155</v>
      </c>
      <c r="B165" s="21">
        <f>Faces!B165</f>
        <v>33</v>
      </c>
      <c r="C165" s="22">
        <f>VLOOKUP(B165,Vertices!$A$11:$J$203,7,FALSE )-$C$7</f>
        <v>-1.2250000000000014</v>
      </c>
      <c r="D165" s="22">
        <f>VLOOKUP(B165,Vertices!$A$11:$J$203,8,FALSE )-$D$7</f>
        <v>-27.18</v>
      </c>
      <c r="E165" s="23">
        <f>VLOOKUP(B165,Vertices!$A$11:$J$203,9,FALSE )-$E$7</f>
        <v>-48.51</v>
      </c>
      <c r="F165" s="21">
        <f>Faces!C165</f>
        <v>100</v>
      </c>
      <c r="G165" s="22">
        <f>VLOOKUP(F165,Vertices!$A$11:$J$203,7,FALSE )-$C$7</f>
        <v>-13.625</v>
      </c>
      <c r="H165" s="22">
        <f>VLOOKUP(F165,Vertices!$A$11:$J$203,8,FALSE )-$D$7</f>
        <v>-13.6</v>
      </c>
      <c r="I165" s="23">
        <f>VLOOKUP(F165,Vertices!$A$11:$J$203,9,FALSE )-$E$7</f>
        <v>-40.81</v>
      </c>
      <c r="J165" s="21">
        <f>Faces!D165</f>
        <v>99</v>
      </c>
      <c r="K165" s="22">
        <f>VLOOKUP(J165,Vertices!$A$11:$J$203,7,FALSE )-$C$7</f>
        <v>-8.3249999999999957</v>
      </c>
      <c r="L165" s="22">
        <f>VLOOKUP(J165,Vertices!$A$11:$J$203,8,FALSE )-$D$7</f>
        <v>-23.3</v>
      </c>
      <c r="M165" s="23">
        <f>VLOOKUP(J165,Vertices!$A$11:$J$203,9,FALSE )-$E$7</f>
        <v>-41.61</v>
      </c>
      <c r="N165" s="16">
        <f t="shared" si="4"/>
        <v>543.51685166666675</v>
      </c>
      <c r="O165" s="16">
        <f t="shared" si="5"/>
        <v>543.51685166666675</v>
      </c>
    </row>
    <row r="166" spans="1:15" x14ac:dyDescent="0.25">
      <c r="A166">
        <f>Faces!A166</f>
        <v>156</v>
      </c>
      <c r="B166" s="21">
        <f>Faces!B166</f>
        <v>33</v>
      </c>
      <c r="C166" s="22">
        <f>VLOOKUP(B166,Vertices!$A$11:$J$203,7,FALSE )-$C$7</f>
        <v>-1.2250000000000014</v>
      </c>
      <c r="D166" s="22">
        <f>VLOOKUP(B166,Vertices!$A$11:$J$203,8,FALSE )-$D$7</f>
        <v>-27.18</v>
      </c>
      <c r="E166" s="23">
        <f>VLOOKUP(B166,Vertices!$A$11:$J$203,9,FALSE )-$E$7</f>
        <v>-48.51</v>
      </c>
      <c r="F166" s="21">
        <f>Faces!C166</f>
        <v>34</v>
      </c>
      <c r="G166" s="22">
        <f>VLOOKUP(F166,Vertices!$A$11:$J$203,7,FALSE )-$C$7</f>
        <v>-7.3350000000000009</v>
      </c>
      <c r="H166" s="22">
        <f>VLOOKUP(F166,Vertices!$A$11:$J$203,8,FALSE )-$D$7</f>
        <v>-16.25</v>
      </c>
      <c r="I166" s="23">
        <f>VLOOKUP(F166,Vertices!$A$11:$J$203,9,FALSE )-$E$7</f>
        <v>-47.39</v>
      </c>
      <c r="J166" s="21">
        <f>Faces!D166</f>
        <v>100</v>
      </c>
      <c r="K166" s="22">
        <f>VLOOKUP(J166,Vertices!$A$11:$J$203,7,FALSE )-$C$7</f>
        <v>-13.625</v>
      </c>
      <c r="L166" s="22">
        <f>VLOOKUP(J166,Vertices!$A$11:$J$203,8,FALSE )-$D$7</f>
        <v>-13.6</v>
      </c>
      <c r="M166" s="23">
        <f>VLOOKUP(J166,Vertices!$A$11:$J$203,9,FALSE )-$E$7</f>
        <v>-40.81</v>
      </c>
      <c r="N166" s="16">
        <f t="shared" si="4"/>
        <v>589.22089449999987</v>
      </c>
      <c r="O166" s="16">
        <f t="shared" si="5"/>
        <v>589.22089449999987</v>
      </c>
    </row>
    <row r="167" spans="1:15" x14ac:dyDescent="0.25">
      <c r="A167">
        <f>Faces!A167</f>
        <v>157</v>
      </c>
      <c r="B167" s="21">
        <f>Faces!B167</f>
        <v>34</v>
      </c>
      <c r="C167" s="22">
        <f>VLOOKUP(B167,Vertices!$A$11:$J$203,7,FALSE )-$C$7</f>
        <v>-7.3350000000000009</v>
      </c>
      <c r="D167" s="22">
        <f>VLOOKUP(B167,Vertices!$A$11:$J$203,8,FALSE )-$D$7</f>
        <v>-16.25</v>
      </c>
      <c r="E167" s="23">
        <f>VLOOKUP(B167,Vertices!$A$11:$J$203,9,FALSE )-$E$7</f>
        <v>-47.39</v>
      </c>
      <c r="F167" s="21">
        <f>Faces!C167</f>
        <v>101</v>
      </c>
      <c r="G167" s="22">
        <f>VLOOKUP(F167,Vertices!$A$11:$J$203,7,FALSE )-$C$7</f>
        <v>-21.674999999999997</v>
      </c>
      <c r="H167" s="22">
        <f>VLOOKUP(F167,Vertices!$A$11:$J$203,8,FALSE )-$D$7</f>
        <v>2.11</v>
      </c>
      <c r="I167" s="23">
        <f>VLOOKUP(F167,Vertices!$A$11:$J$203,9,FALSE )-$E$7</f>
        <v>-39.49</v>
      </c>
      <c r="J167" s="21">
        <f>Faces!D167</f>
        <v>100</v>
      </c>
      <c r="K167" s="22">
        <f>VLOOKUP(J167,Vertices!$A$11:$J$203,7,FALSE )-$C$7</f>
        <v>-13.625</v>
      </c>
      <c r="L167" s="22">
        <f>VLOOKUP(J167,Vertices!$A$11:$J$203,8,FALSE )-$D$7</f>
        <v>-13.6</v>
      </c>
      <c r="M167" s="23">
        <f>VLOOKUP(J167,Vertices!$A$11:$J$203,9,FALSE )-$E$7</f>
        <v>-40.81</v>
      </c>
      <c r="N167" s="16">
        <f t="shared" si="4"/>
        <v>855.0563998333331</v>
      </c>
      <c r="O167" s="16">
        <f t="shared" si="5"/>
        <v>855.0563998333331</v>
      </c>
    </row>
    <row r="168" spans="1:15" x14ac:dyDescent="0.25">
      <c r="A168">
        <f>Faces!A168</f>
        <v>158</v>
      </c>
      <c r="B168" s="21">
        <f>Faces!B168</f>
        <v>34</v>
      </c>
      <c r="C168" s="22">
        <f>VLOOKUP(B168,Vertices!$A$11:$J$203,7,FALSE )-$C$7</f>
        <v>-7.3350000000000009</v>
      </c>
      <c r="D168" s="22">
        <f>VLOOKUP(B168,Vertices!$A$11:$J$203,8,FALSE )-$D$7</f>
        <v>-16.25</v>
      </c>
      <c r="E168" s="23">
        <f>VLOOKUP(B168,Vertices!$A$11:$J$203,9,FALSE )-$E$7</f>
        <v>-47.39</v>
      </c>
      <c r="F168" s="21">
        <f>Faces!C168</f>
        <v>35</v>
      </c>
      <c r="G168" s="22">
        <f>VLOOKUP(F168,Vertices!$A$11:$J$203,7,FALSE )-$C$7</f>
        <v>-17.225000000000001</v>
      </c>
      <c r="H168" s="22">
        <f>VLOOKUP(F168,Vertices!$A$11:$J$203,8,FALSE )-$D$7</f>
        <v>2.27</v>
      </c>
      <c r="I168" s="23">
        <f>VLOOKUP(F168,Vertices!$A$11:$J$203,9,FALSE )-$E$7</f>
        <v>-46.2</v>
      </c>
      <c r="J168" s="21">
        <f>Faces!D168</f>
        <v>101</v>
      </c>
      <c r="K168" s="22">
        <f>VLOOKUP(J168,Vertices!$A$11:$J$203,7,FALSE )-$C$7</f>
        <v>-21.674999999999997</v>
      </c>
      <c r="L168" s="22">
        <f>VLOOKUP(J168,Vertices!$A$11:$J$203,8,FALSE )-$D$7</f>
        <v>2.11</v>
      </c>
      <c r="M168" s="23">
        <f>VLOOKUP(J168,Vertices!$A$11:$J$203,9,FALSE )-$E$7</f>
        <v>-39.49</v>
      </c>
      <c r="N168" s="16">
        <f t="shared" si="4"/>
        <v>980.97159366666619</v>
      </c>
      <c r="O168" s="16">
        <f t="shared" si="5"/>
        <v>980.97159366666619</v>
      </c>
    </row>
    <row r="169" spans="1:15" x14ac:dyDescent="0.25">
      <c r="A169">
        <f>Faces!A169</f>
        <v>159</v>
      </c>
      <c r="B169" s="21">
        <f>Faces!B169</f>
        <v>35</v>
      </c>
      <c r="C169" s="22">
        <f>VLOOKUP(B169,Vertices!$A$11:$J$203,7,FALSE )-$C$7</f>
        <v>-17.225000000000001</v>
      </c>
      <c r="D169" s="22">
        <f>VLOOKUP(B169,Vertices!$A$11:$J$203,8,FALSE )-$D$7</f>
        <v>2.27</v>
      </c>
      <c r="E169" s="23">
        <f>VLOOKUP(B169,Vertices!$A$11:$J$203,9,FALSE )-$E$7</f>
        <v>-46.2</v>
      </c>
      <c r="F169" s="21">
        <f>Faces!C169</f>
        <v>102</v>
      </c>
      <c r="G169" s="22">
        <f>VLOOKUP(F169,Vertices!$A$11:$J$203,7,FALSE )-$C$7</f>
        <v>-28.384999999999998</v>
      </c>
      <c r="H169" s="22">
        <f>VLOOKUP(F169,Vertices!$A$11:$J$203,8,FALSE )-$D$7</f>
        <v>16.18</v>
      </c>
      <c r="I169" s="23">
        <f>VLOOKUP(F169,Vertices!$A$11:$J$203,9,FALSE )-$E$7</f>
        <v>-38.549999999999997</v>
      </c>
      <c r="J169" s="21">
        <f>Faces!D169</f>
        <v>101</v>
      </c>
      <c r="K169" s="22">
        <f>VLOOKUP(J169,Vertices!$A$11:$J$203,7,FALSE )-$C$7</f>
        <v>-21.674999999999997</v>
      </c>
      <c r="L169" s="22">
        <f>VLOOKUP(J169,Vertices!$A$11:$J$203,8,FALSE )-$D$7</f>
        <v>2.11</v>
      </c>
      <c r="M169" s="23">
        <f>VLOOKUP(J169,Vertices!$A$11:$J$203,9,FALSE )-$E$7</f>
        <v>-39.49</v>
      </c>
      <c r="N169" s="16">
        <f t="shared" si="4"/>
        <v>746.39000758333293</v>
      </c>
      <c r="O169" s="16">
        <f t="shared" si="5"/>
        <v>746.39000758333293</v>
      </c>
    </row>
    <row r="170" spans="1:15" x14ac:dyDescent="0.25">
      <c r="A170">
        <f>Faces!A170</f>
        <v>160</v>
      </c>
      <c r="B170" s="21">
        <f>Faces!B170</f>
        <v>35</v>
      </c>
      <c r="C170" s="22">
        <f>VLOOKUP(B170,Vertices!$A$11:$J$203,7,FALSE )-$C$7</f>
        <v>-17.225000000000001</v>
      </c>
      <c r="D170" s="22">
        <f>VLOOKUP(B170,Vertices!$A$11:$J$203,8,FALSE )-$D$7</f>
        <v>2.27</v>
      </c>
      <c r="E170" s="23">
        <f>VLOOKUP(B170,Vertices!$A$11:$J$203,9,FALSE )-$E$7</f>
        <v>-46.2</v>
      </c>
      <c r="F170" s="21">
        <f>Faces!C170</f>
        <v>36</v>
      </c>
      <c r="G170" s="22">
        <f>VLOOKUP(F170,Vertices!$A$11:$J$203,7,FALSE )-$C$7</f>
        <v>-26.454999999999998</v>
      </c>
      <c r="H170" s="22">
        <f>VLOOKUP(F170,Vertices!$A$11:$J$203,8,FALSE )-$D$7</f>
        <v>20</v>
      </c>
      <c r="I170" s="23">
        <f>VLOOKUP(F170,Vertices!$A$11:$J$203,9,FALSE )-$E$7</f>
        <v>-46</v>
      </c>
      <c r="J170" s="21">
        <f>Faces!D170</f>
        <v>102</v>
      </c>
      <c r="K170" s="22">
        <f>VLOOKUP(J170,Vertices!$A$11:$J$203,7,FALSE )-$C$7</f>
        <v>-28.384999999999998</v>
      </c>
      <c r="L170" s="22">
        <f>VLOOKUP(J170,Vertices!$A$11:$J$203,8,FALSE )-$D$7</f>
        <v>16.18</v>
      </c>
      <c r="M170" s="23">
        <f>VLOOKUP(J170,Vertices!$A$11:$J$203,9,FALSE )-$E$7</f>
        <v>-38.549999999999997</v>
      </c>
      <c r="N170" s="16">
        <f t="shared" si="4"/>
        <v>890.50464791666673</v>
      </c>
      <c r="O170" s="16">
        <f t="shared" si="5"/>
        <v>890.50464791666673</v>
      </c>
    </row>
    <row r="171" spans="1:15" x14ac:dyDescent="0.25">
      <c r="A171">
        <f>Faces!A171</f>
        <v>161</v>
      </c>
      <c r="B171" s="21">
        <f>Faces!B171</f>
        <v>97</v>
      </c>
      <c r="C171" s="22">
        <f>VLOOKUP(B171,Vertices!$A$11:$J$203,7,FALSE )-$C$7</f>
        <v>-3.2449999999999974</v>
      </c>
      <c r="D171" s="22">
        <f>VLOOKUP(B171,Vertices!$A$11:$J$203,8,FALSE )-$D$7</f>
        <v>-32.49</v>
      </c>
      <c r="E171" s="23">
        <f>VLOOKUP(B171,Vertices!$A$11:$J$203,9,FALSE )-$E$7</f>
        <v>-42.5</v>
      </c>
      <c r="F171" s="21">
        <f>Faces!C171</f>
        <v>98</v>
      </c>
      <c r="G171" s="22">
        <f>VLOOKUP(F171,Vertices!$A$11:$J$203,7,FALSE )-$C$7</f>
        <v>-5.7849999999999966</v>
      </c>
      <c r="H171" s="22">
        <f>VLOOKUP(F171,Vertices!$A$11:$J$203,8,FALSE )-$D$7</f>
        <v>-27.89</v>
      </c>
      <c r="I171" s="23">
        <f>VLOOKUP(F171,Vertices!$A$11:$J$203,9,FALSE )-$E$7</f>
        <v>-42.05</v>
      </c>
      <c r="J171" s="21">
        <f>Faces!D171</f>
        <v>126</v>
      </c>
      <c r="K171" s="22">
        <f>VLOOKUP(J171,Vertices!$A$11:$J$203,7,FALSE )-$C$7</f>
        <v>-10.984999999999999</v>
      </c>
      <c r="L171" s="22">
        <f>VLOOKUP(J171,Vertices!$A$11:$J$203,8,FALSE )-$D$7</f>
        <v>-27.78</v>
      </c>
      <c r="M171" s="23">
        <f>VLOOKUP(J171,Vertices!$A$11:$J$203,9,FALSE )-$E$7</f>
        <v>-35.21</v>
      </c>
      <c r="N171" s="16">
        <f t="shared" si="4"/>
        <v>265.8512027499998</v>
      </c>
      <c r="O171" s="16">
        <f t="shared" si="5"/>
        <v>265.8512027499998</v>
      </c>
    </row>
    <row r="172" spans="1:15" x14ac:dyDescent="0.25">
      <c r="A172">
        <f>Faces!A172</f>
        <v>162</v>
      </c>
      <c r="B172" s="21">
        <f>Faces!B172</f>
        <v>126</v>
      </c>
      <c r="C172" s="22">
        <f>VLOOKUP(B172,Vertices!$A$11:$J$203,7,FALSE )-$C$7</f>
        <v>-10.984999999999999</v>
      </c>
      <c r="D172" s="22">
        <f>VLOOKUP(B172,Vertices!$A$11:$J$203,8,FALSE )-$D$7</f>
        <v>-27.78</v>
      </c>
      <c r="E172" s="23">
        <f>VLOOKUP(B172,Vertices!$A$11:$J$203,9,FALSE )-$E$7</f>
        <v>-35.21</v>
      </c>
      <c r="F172" s="21">
        <f>Faces!C172</f>
        <v>98</v>
      </c>
      <c r="G172" s="22">
        <f>VLOOKUP(F172,Vertices!$A$11:$J$203,7,FALSE )-$C$7</f>
        <v>-5.7849999999999966</v>
      </c>
      <c r="H172" s="22">
        <f>VLOOKUP(F172,Vertices!$A$11:$J$203,8,FALSE )-$D$7</f>
        <v>-27.89</v>
      </c>
      <c r="I172" s="23">
        <f>VLOOKUP(F172,Vertices!$A$11:$J$203,9,FALSE )-$E$7</f>
        <v>-42.05</v>
      </c>
      <c r="J172" s="21">
        <f>Faces!D172</f>
        <v>127</v>
      </c>
      <c r="K172" s="22">
        <f>VLOOKUP(J172,Vertices!$A$11:$J$203,7,FALSE )-$C$7</f>
        <v>-15.204999999999998</v>
      </c>
      <c r="L172" s="22">
        <f>VLOOKUP(J172,Vertices!$A$11:$J$203,8,FALSE )-$D$7</f>
        <v>-19.71</v>
      </c>
      <c r="M172" s="23">
        <f>VLOOKUP(J172,Vertices!$A$11:$J$203,9,FALSE )-$E$7</f>
        <v>-34.61</v>
      </c>
      <c r="N172" s="16">
        <f t="shared" si="4"/>
        <v>463.67205166666616</v>
      </c>
      <c r="O172" s="16">
        <f t="shared" si="5"/>
        <v>463.67205166666616</v>
      </c>
    </row>
    <row r="173" spans="1:15" x14ac:dyDescent="0.25">
      <c r="A173">
        <f>Faces!A173</f>
        <v>163</v>
      </c>
      <c r="B173" s="21">
        <f>Faces!B173</f>
        <v>98</v>
      </c>
      <c r="C173" s="22">
        <f>VLOOKUP(B173,Vertices!$A$11:$J$203,7,FALSE )-$C$7</f>
        <v>-5.7849999999999966</v>
      </c>
      <c r="D173" s="22">
        <f>VLOOKUP(B173,Vertices!$A$11:$J$203,8,FALSE )-$D$7</f>
        <v>-27.89</v>
      </c>
      <c r="E173" s="23">
        <f>VLOOKUP(B173,Vertices!$A$11:$J$203,9,FALSE )-$E$7</f>
        <v>-42.05</v>
      </c>
      <c r="F173" s="21">
        <f>Faces!C173</f>
        <v>99</v>
      </c>
      <c r="G173" s="22">
        <f>VLOOKUP(F173,Vertices!$A$11:$J$203,7,FALSE )-$C$7</f>
        <v>-8.3249999999999957</v>
      </c>
      <c r="H173" s="22">
        <f>VLOOKUP(F173,Vertices!$A$11:$J$203,8,FALSE )-$D$7</f>
        <v>-23.3</v>
      </c>
      <c r="I173" s="23">
        <f>VLOOKUP(F173,Vertices!$A$11:$J$203,9,FALSE )-$E$7</f>
        <v>-41.61</v>
      </c>
      <c r="J173" s="21">
        <f>Faces!D173</f>
        <v>127</v>
      </c>
      <c r="K173" s="22">
        <f>VLOOKUP(J173,Vertices!$A$11:$J$203,7,FALSE )-$C$7</f>
        <v>-15.204999999999998</v>
      </c>
      <c r="L173" s="22">
        <f>VLOOKUP(J173,Vertices!$A$11:$J$203,8,FALSE )-$D$7</f>
        <v>-19.71</v>
      </c>
      <c r="M173" s="23">
        <f>VLOOKUP(J173,Vertices!$A$11:$J$203,9,FALSE )-$E$7</f>
        <v>-34.61</v>
      </c>
      <c r="N173" s="16">
        <f t="shared" si="4"/>
        <v>255.44298099999983</v>
      </c>
      <c r="O173" s="16">
        <f t="shared" si="5"/>
        <v>255.44298099999983</v>
      </c>
    </row>
    <row r="174" spans="1:15" x14ac:dyDescent="0.25">
      <c r="A174">
        <f>Faces!A174</f>
        <v>164</v>
      </c>
      <c r="B174" s="21">
        <f>Faces!B174</f>
        <v>99</v>
      </c>
      <c r="C174" s="22">
        <f>VLOOKUP(B174,Vertices!$A$11:$J$203,7,FALSE )-$C$7</f>
        <v>-8.3249999999999957</v>
      </c>
      <c r="D174" s="22">
        <f>VLOOKUP(B174,Vertices!$A$11:$J$203,8,FALSE )-$D$7</f>
        <v>-23.3</v>
      </c>
      <c r="E174" s="23">
        <f>VLOOKUP(B174,Vertices!$A$11:$J$203,9,FALSE )-$E$7</f>
        <v>-41.61</v>
      </c>
      <c r="F174" s="21">
        <f>Faces!C174</f>
        <v>128</v>
      </c>
      <c r="G174" s="22">
        <f>VLOOKUP(F174,Vertices!$A$11:$J$203,7,FALSE )-$C$7</f>
        <v>-19.574999999999999</v>
      </c>
      <c r="H174" s="22">
        <f>VLOOKUP(F174,Vertices!$A$11:$J$203,8,FALSE )-$D$7</f>
        <v>-11.32</v>
      </c>
      <c r="I174" s="23">
        <f>VLOOKUP(F174,Vertices!$A$11:$J$203,9,FALSE )-$E$7</f>
        <v>-33.979999999999997</v>
      </c>
      <c r="J174" s="21">
        <f>Faces!D174</f>
        <v>127</v>
      </c>
      <c r="K174" s="22">
        <f>VLOOKUP(J174,Vertices!$A$11:$J$203,7,FALSE )-$C$7</f>
        <v>-15.204999999999998</v>
      </c>
      <c r="L174" s="22">
        <f>VLOOKUP(J174,Vertices!$A$11:$J$203,8,FALSE )-$D$7</f>
        <v>-19.71</v>
      </c>
      <c r="M174" s="23">
        <f>VLOOKUP(J174,Vertices!$A$11:$J$203,9,FALSE )-$E$7</f>
        <v>-34.61</v>
      </c>
      <c r="N174" s="16">
        <f t="shared" si="4"/>
        <v>471.82104441666661</v>
      </c>
      <c r="O174" s="16">
        <f t="shared" si="5"/>
        <v>471.82104441666661</v>
      </c>
    </row>
    <row r="175" spans="1:15" x14ac:dyDescent="0.25">
      <c r="A175">
        <f>Faces!A175</f>
        <v>165</v>
      </c>
      <c r="B175" s="21">
        <f>Faces!B175</f>
        <v>99</v>
      </c>
      <c r="C175" s="22">
        <f>VLOOKUP(B175,Vertices!$A$11:$J$203,7,FALSE )-$C$7</f>
        <v>-8.3249999999999957</v>
      </c>
      <c r="D175" s="22">
        <f>VLOOKUP(B175,Vertices!$A$11:$J$203,8,FALSE )-$D$7</f>
        <v>-23.3</v>
      </c>
      <c r="E175" s="23">
        <f>VLOOKUP(B175,Vertices!$A$11:$J$203,9,FALSE )-$E$7</f>
        <v>-41.61</v>
      </c>
      <c r="F175" s="21">
        <f>Faces!C175</f>
        <v>100</v>
      </c>
      <c r="G175" s="22">
        <f>VLOOKUP(F175,Vertices!$A$11:$J$203,7,FALSE )-$C$7</f>
        <v>-13.625</v>
      </c>
      <c r="H175" s="22">
        <f>VLOOKUP(F175,Vertices!$A$11:$J$203,8,FALSE )-$D$7</f>
        <v>-13.6</v>
      </c>
      <c r="I175" s="23">
        <f>VLOOKUP(F175,Vertices!$A$11:$J$203,9,FALSE )-$E$7</f>
        <v>-40.81</v>
      </c>
      <c r="J175" s="21">
        <f>Faces!D175</f>
        <v>128</v>
      </c>
      <c r="K175" s="22">
        <f>VLOOKUP(J175,Vertices!$A$11:$J$203,7,FALSE )-$C$7</f>
        <v>-19.574999999999999</v>
      </c>
      <c r="L175" s="22">
        <f>VLOOKUP(J175,Vertices!$A$11:$J$203,8,FALSE )-$D$7</f>
        <v>-11.32</v>
      </c>
      <c r="M175" s="23">
        <f>VLOOKUP(J175,Vertices!$A$11:$J$203,9,FALSE )-$E$7</f>
        <v>-33.979999999999997</v>
      </c>
      <c r="N175" s="16">
        <f t="shared" si="4"/>
        <v>527.93156416666625</v>
      </c>
      <c r="O175" s="16">
        <f t="shared" si="5"/>
        <v>527.93156416666625</v>
      </c>
    </row>
    <row r="176" spans="1:15" x14ac:dyDescent="0.25">
      <c r="A176">
        <f>Faces!A176</f>
        <v>166</v>
      </c>
      <c r="B176" s="21">
        <f>Faces!B176</f>
        <v>100</v>
      </c>
      <c r="C176" s="22">
        <f>VLOOKUP(B176,Vertices!$A$11:$J$203,7,FALSE )-$C$7</f>
        <v>-13.625</v>
      </c>
      <c r="D176" s="22">
        <f>VLOOKUP(B176,Vertices!$A$11:$J$203,8,FALSE )-$D$7</f>
        <v>-13.6</v>
      </c>
      <c r="E176" s="23">
        <f>VLOOKUP(B176,Vertices!$A$11:$J$203,9,FALSE )-$E$7</f>
        <v>-40.81</v>
      </c>
      <c r="F176" s="21">
        <f>Faces!C176</f>
        <v>129</v>
      </c>
      <c r="G176" s="22">
        <f>VLOOKUP(F176,Vertices!$A$11:$J$203,7,FALSE )-$C$7</f>
        <v>-25.984999999999999</v>
      </c>
      <c r="H176" s="22">
        <f>VLOOKUP(F176,Vertices!$A$11:$J$203,8,FALSE )-$D$7</f>
        <v>1.82</v>
      </c>
      <c r="I176" s="23">
        <f>VLOOKUP(F176,Vertices!$A$11:$J$203,9,FALSE )-$E$7</f>
        <v>-32.619999999999997</v>
      </c>
      <c r="J176" s="21">
        <f>Faces!D176</f>
        <v>128</v>
      </c>
      <c r="K176" s="22">
        <f>VLOOKUP(J176,Vertices!$A$11:$J$203,7,FALSE )-$C$7</f>
        <v>-19.574999999999999</v>
      </c>
      <c r="L176" s="22">
        <f>VLOOKUP(J176,Vertices!$A$11:$J$203,8,FALSE )-$D$7</f>
        <v>-11.32</v>
      </c>
      <c r="M176" s="23">
        <f>VLOOKUP(J176,Vertices!$A$11:$J$203,9,FALSE )-$E$7</f>
        <v>-33.979999999999997</v>
      </c>
      <c r="N176" s="16">
        <f t="shared" si="4"/>
        <v>710.02044950000038</v>
      </c>
      <c r="O176" s="16">
        <f t="shared" si="5"/>
        <v>710.02044950000038</v>
      </c>
    </row>
    <row r="177" spans="1:15" x14ac:dyDescent="0.25">
      <c r="A177">
        <f>Faces!A177</f>
        <v>167</v>
      </c>
      <c r="B177" s="21">
        <f>Faces!B177</f>
        <v>100</v>
      </c>
      <c r="C177" s="22">
        <f>VLOOKUP(B177,Vertices!$A$11:$J$203,7,FALSE )-$C$7</f>
        <v>-13.625</v>
      </c>
      <c r="D177" s="22">
        <f>VLOOKUP(B177,Vertices!$A$11:$J$203,8,FALSE )-$D$7</f>
        <v>-13.6</v>
      </c>
      <c r="E177" s="23">
        <f>VLOOKUP(B177,Vertices!$A$11:$J$203,9,FALSE )-$E$7</f>
        <v>-40.81</v>
      </c>
      <c r="F177" s="21">
        <f>Faces!C177</f>
        <v>101</v>
      </c>
      <c r="G177" s="22">
        <f>VLOOKUP(F177,Vertices!$A$11:$J$203,7,FALSE )-$C$7</f>
        <v>-21.674999999999997</v>
      </c>
      <c r="H177" s="22">
        <f>VLOOKUP(F177,Vertices!$A$11:$J$203,8,FALSE )-$D$7</f>
        <v>2.11</v>
      </c>
      <c r="I177" s="23">
        <f>VLOOKUP(F177,Vertices!$A$11:$J$203,9,FALSE )-$E$7</f>
        <v>-39.49</v>
      </c>
      <c r="J177" s="21">
        <f>Faces!D177</f>
        <v>129</v>
      </c>
      <c r="K177" s="22">
        <f>VLOOKUP(J177,Vertices!$A$11:$J$203,7,FALSE )-$C$7</f>
        <v>-25.984999999999999</v>
      </c>
      <c r="L177" s="22">
        <f>VLOOKUP(J177,Vertices!$A$11:$J$203,8,FALSE )-$D$7</f>
        <v>1.82</v>
      </c>
      <c r="M177" s="23">
        <f>VLOOKUP(J177,Vertices!$A$11:$J$203,9,FALSE )-$E$7</f>
        <v>-32.619999999999997</v>
      </c>
      <c r="N177" s="16">
        <f t="shared" si="4"/>
        <v>834.83419475000062</v>
      </c>
      <c r="O177" s="16">
        <f t="shared" si="5"/>
        <v>834.83419475000062</v>
      </c>
    </row>
    <row r="178" spans="1:15" x14ac:dyDescent="0.25">
      <c r="A178">
        <f>Faces!A178</f>
        <v>168</v>
      </c>
      <c r="B178" s="21">
        <f>Faces!B178</f>
        <v>101</v>
      </c>
      <c r="C178" s="22">
        <f>VLOOKUP(B178,Vertices!$A$11:$J$203,7,FALSE )-$C$7</f>
        <v>-21.674999999999997</v>
      </c>
      <c r="D178" s="22">
        <f>VLOOKUP(B178,Vertices!$A$11:$J$203,8,FALSE )-$D$7</f>
        <v>2.11</v>
      </c>
      <c r="E178" s="23">
        <f>VLOOKUP(B178,Vertices!$A$11:$J$203,9,FALSE )-$E$7</f>
        <v>-39.49</v>
      </c>
      <c r="F178" s="21">
        <f>Faces!C178</f>
        <v>130</v>
      </c>
      <c r="G178" s="22">
        <f>VLOOKUP(F178,Vertices!$A$11:$J$203,7,FALSE )-$C$7</f>
        <v>-31.125</v>
      </c>
      <c r="H178" s="22">
        <f>VLOOKUP(F178,Vertices!$A$11:$J$203,8,FALSE )-$D$7</f>
        <v>13.31</v>
      </c>
      <c r="I178" s="23">
        <f>VLOOKUP(F178,Vertices!$A$11:$J$203,9,FALSE )-$E$7</f>
        <v>-31.27</v>
      </c>
      <c r="J178" s="21">
        <f>Faces!D178</f>
        <v>129</v>
      </c>
      <c r="K178" s="22">
        <f>VLOOKUP(J178,Vertices!$A$11:$J$203,7,FALSE )-$C$7</f>
        <v>-25.984999999999999</v>
      </c>
      <c r="L178" s="22">
        <f>VLOOKUP(J178,Vertices!$A$11:$J$203,8,FALSE )-$D$7</f>
        <v>1.82</v>
      </c>
      <c r="M178" s="23">
        <f>VLOOKUP(J178,Vertices!$A$11:$J$203,9,FALSE )-$E$7</f>
        <v>-32.619999999999997</v>
      </c>
      <c r="N178" s="16">
        <f t="shared" si="4"/>
        <v>611.94713783333339</v>
      </c>
      <c r="O178" s="16">
        <f t="shared" si="5"/>
        <v>611.94713783333339</v>
      </c>
    </row>
    <row r="179" spans="1:15" x14ac:dyDescent="0.25">
      <c r="A179">
        <f>Faces!A179</f>
        <v>169</v>
      </c>
      <c r="B179" s="21">
        <f>Faces!B179</f>
        <v>101</v>
      </c>
      <c r="C179" s="22">
        <f>VLOOKUP(B179,Vertices!$A$11:$J$203,7,FALSE )-$C$7</f>
        <v>-21.674999999999997</v>
      </c>
      <c r="D179" s="22">
        <f>VLOOKUP(B179,Vertices!$A$11:$J$203,8,FALSE )-$D$7</f>
        <v>2.11</v>
      </c>
      <c r="E179" s="23">
        <f>VLOOKUP(B179,Vertices!$A$11:$J$203,9,FALSE )-$E$7</f>
        <v>-39.49</v>
      </c>
      <c r="F179" s="21">
        <f>Faces!C179</f>
        <v>102</v>
      </c>
      <c r="G179" s="22">
        <f>VLOOKUP(F179,Vertices!$A$11:$J$203,7,FALSE )-$C$7</f>
        <v>-28.384999999999998</v>
      </c>
      <c r="H179" s="22">
        <f>VLOOKUP(F179,Vertices!$A$11:$J$203,8,FALSE )-$D$7</f>
        <v>16.18</v>
      </c>
      <c r="I179" s="23">
        <f>VLOOKUP(F179,Vertices!$A$11:$J$203,9,FALSE )-$E$7</f>
        <v>-38.549999999999997</v>
      </c>
      <c r="J179" s="21">
        <f>Faces!D179</f>
        <v>130</v>
      </c>
      <c r="K179" s="22">
        <f>VLOOKUP(J179,Vertices!$A$11:$J$203,7,FALSE )-$C$7</f>
        <v>-31.125</v>
      </c>
      <c r="L179" s="22">
        <f>VLOOKUP(J179,Vertices!$A$11:$J$203,8,FALSE )-$D$7</f>
        <v>13.31</v>
      </c>
      <c r="M179" s="23">
        <f>VLOOKUP(J179,Vertices!$A$11:$J$203,9,FALSE )-$E$7</f>
        <v>-31.27</v>
      </c>
      <c r="N179" s="16">
        <f t="shared" si="4"/>
        <v>743.98284966666722</v>
      </c>
      <c r="O179" s="16">
        <f t="shared" si="5"/>
        <v>743.98284966666722</v>
      </c>
    </row>
    <row r="180" spans="1:15" x14ac:dyDescent="0.25">
      <c r="A180">
        <f>Faces!A180</f>
        <v>170</v>
      </c>
      <c r="B180" s="21">
        <f>Faces!B180</f>
        <v>126</v>
      </c>
      <c r="C180" s="22">
        <f>VLOOKUP(B180,Vertices!$A$11:$J$203,7,FALSE )-$C$7</f>
        <v>-10.984999999999999</v>
      </c>
      <c r="D180" s="22">
        <f>VLOOKUP(B180,Vertices!$A$11:$J$203,8,FALSE )-$D$7</f>
        <v>-27.78</v>
      </c>
      <c r="E180" s="23">
        <f>VLOOKUP(B180,Vertices!$A$11:$J$203,9,FALSE )-$E$7</f>
        <v>-35.21</v>
      </c>
      <c r="F180" s="21">
        <f>Faces!C180</f>
        <v>151</v>
      </c>
      <c r="G180" s="22">
        <f>VLOOKUP(F180,Vertices!$A$11:$J$203,7,FALSE )-$C$7</f>
        <v>-22.614999999999998</v>
      </c>
      <c r="H180" s="22">
        <f>VLOOKUP(F180,Vertices!$A$11:$J$203,8,FALSE )-$D$7</f>
        <v>-15.73</v>
      </c>
      <c r="I180" s="23">
        <f>VLOOKUP(F180,Vertices!$A$11:$J$203,9,FALSE )-$E$7</f>
        <v>-27.45</v>
      </c>
      <c r="J180" s="21">
        <f>Faces!D180</f>
        <v>150</v>
      </c>
      <c r="K180" s="22">
        <f>VLOOKUP(J180,Vertices!$A$11:$J$203,7,FALSE )-$C$7</f>
        <v>-19.384999999999998</v>
      </c>
      <c r="L180" s="22">
        <f>VLOOKUP(J180,Vertices!$A$11:$J$203,8,FALSE )-$D$7</f>
        <v>-22.41</v>
      </c>
      <c r="M180" s="23">
        <f>VLOOKUP(J180,Vertices!$A$11:$J$203,9,FALSE )-$E$7</f>
        <v>-28.05</v>
      </c>
      <c r="N180" s="16">
        <f t="shared" si="4"/>
        <v>392.90659183333383</v>
      </c>
      <c r="O180" s="16">
        <f t="shared" si="5"/>
        <v>392.90659183333383</v>
      </c>
    </row>
    <row r="181" spans="1:15" x14ac:dyDescent="0.25">
      <c r="A181">
        <f>Faces!A181</f>
        <v>171</v>
      </c>
      <c r="B181" s="21">
        <f>Faces!B181</f>
        <v>126</v>
      </c>
      <c r="C181" s="22">
        <f>VLOOKUP(B181,Vertices!$A$11:$J$203,7,FALSE )-$C$7</f>
        <v>-10.984999999999999</v>
      </c>
      <c r="D181" s="22">
        <f>VLOOKUP(B181,Vertices!$A$11:$J$203,8,FALSE )-$D$7</f>
        <v>-27.78</v>
      </c>
      <c r="E181" s="23">
        <f>VLOOKUP(B181,Vertices!$A$11:$J$203,9,FALSE )-$E$7</f>
        <v>-35.21</v>
      </c>
      <c r="F181" s="21">
        <f>Faces!C181</f>
        <v>127</v>
      </c>
      <c r="G181" s="22">
        <f>VLOOKUP(F181,Vertices!$A$11:$J$203,7,FALSE )-$C$7</f>
        <v>-15.204999999999998</v>
      </c>
      <c r="H181" s="22">
        <f>VLOOKUP(F181,Vertices!$A$11:$J$203,8,FALSE )-$D$7</f>
        <v>-19.71</v>
      </c>
      <c r="I181" s="23">
        <f>VLOOKUP(F181,Vertices!$A$11:$J$203,9,FALSE )-$E$7</f>
        <v>-34.61</v>
      </c>
      <c r="J181" s="21">
        <f>Faces!D181</f>
        <v>151</v>
      </c>
      <c r="K181" s="22">
        <f>VLOOKUP(J181,Vertices!$A$11:$J$203,7,FALSE )-$C$7</f>
        <v>-22.614999999999998</v>
      </c>
      <c r="L181" s="22">
        <f>VLOOKUP(J181,Vertices!$A$11:$J$203,8,FALSE )-$D$7</f>
        <v>-15.73</v>
      </c>
      <c r="M181" s="23">
        <f>VLOOKUP(J181,Vertices!$A$11:$J$203,9,FALSE )-$E$7</f>
        <v>-27.45</v>
      </c>
      <c r="N181" s="16">
        <f t="shared" si="4"/>
        <v>473.08363816666679</v>
      </c>
      <c r="O181" s="16">
        <f t="shared" si="5"/>
        <v>473.08363816666679</v>
      </c>
    </row>
    <row r="182" spans="1:15" x14ac:dyDescent="0.25">
      <c r="A182">
        <f>Faces!A182</f>
        <v>172</v>
      </c>
      <c r="B182" s="21">
        <f>Faces!B182</f>
        <v>127</v>
      </c>
      <c r="C182" s="22">
        <f>VLOOKUP(B182,Vertices!$A$11:$J$203,7,FALSE )-$C$7</f>
        <v>-15.204999999999998</v>
      </c>
      <c r="D182" s="22">
        <f>VLOOKUP(B182,Vertices!$A$11:$J$203,8,FALSE )-$D$7</f>
        <v>-19.71</v>
      </c>
      <c r="E182" s="23">
        <f>VLOOKUP(B182,Vertices!$A$11:$J$203,9,FALSE )-$E$7</f>
        <v>-34.61</v>
      </c>
      <c r="F182" s="21">
        <f>Faces!C182</f>
        <v>152</v>
      </c>
      <c r="G182" s="22">
        <f>VLOOKUP(F182,Vertices!$A$11:$J$203,7,FALSE )-$C$7</f>
        <v>-25.824999999999999</v>
      </c>
      <c r="H182" s="22">
        <f>VLOOKUP(F182,Vertices!$A$11:$J$203,8,FALSE )-$D$7</f>
        <v>-8.92</v>
      </c>
      <c r="I182" s="23">
        <f>VLOOKUP(F182,Vertices!$A$11:$J$203,9,FALSE )-$E$7</f>
        <v>-26.77</v>
      </c>
      <c r="J182" s="21">
        <f>Faces!D182</f>
        <v>151</v>
      </c>
      <c r="K182" s="22">
        <f>VLOOKUP(J182,Vertices!$A$11:$J$203,7,FALSE )-$C$7</f>
        <v>-22.614999999999998</v>
      </c>
      <c r="L182" s="22">
        <f>VLOOKUP(J182,Vertices!$A$11:$J$203,8,FALSE )-$D$7</f>
        <v>-15.73</v>
      </c>
      <c r="M182" s="23">
        <f>VLOOKUP(J182,Vertices!$A$11:$J$203,9,FALSE )-$E$7</f>
        <v>-27.45</v>
      </c>
      <c r="N182" s="16">
        <f t="shared" si="4"/>
        <v>393.04229283333297</v>
      </c>
      <c r="O182" s="16">
        <f t="shared" si="5"/>
        <v>393.04229283333297</v>
      </c>
    </row>
    <row r="183" spans="1:15" x14ac:dyDescent="0.25">
      <c r="A183">
        <f>Faces!A183</f>
        <v>173</v>
      </c>
      <c r="B183" s="21">
        <f>Faces!B183</f>
        <v>127</v>
      </c>
      <c r="C183" s="22">
        <f>VLOOKUP(B183,Vertices!$A$11:$J$203,7,FALSE )-$C$7</f>
        <v>-15.204999999999998</v>
      </c>
      <c r="D183" s="22">
        <f>VLOOKUP(B183,Vertices!$A$11:$J$203,8,FALSE )-$D$7</f>
        <v>-19.71</v>
      </c>
      <c r="E183" s="23">
        <f>VLOOKUP(B183,Vertices!$A$11:$J$203,9,FALSE )-$E$7</f>
        <v>-34.61</v>
      </c>
      <c r="F183" s="21">
        <f>Faces!C183</f>
        <v>128</v>
      </c>
      <c r="G183" s="22">
        <f>VLOOKUP(F183,Vertices!$A$11:$J$203,7,FALSE )-$C$7</f>
        <v>-19.574999999999999</v>
      </c>
      <c r="H183" s="22">
        <f>VLOOKUP(F183,Vertices!$A$11:$J$203,8,FALSE )-$D$7</f>
        <v>-11.32</v>
      </c>
      <c r="I183" s="23">
        <f>VLOOKUP(F183,Vertices!$A$11:$J$203,9,FALSE )-$E$7</f>
        <v>-33.979999999999997</v>
      </c>
      <c r="J183" s="21">
        <f>Faces!D183</f>
        <v>152</v>
      </c>
      <c r="K183" s="22">
        <f>VLOOKUP(J183,Vertices!$A$11:$J$203,7,FALSE )-$C$7</f>
        <v>-25.824999999999999</v>
      </c>
      <c r="L183" s="22">
        <f>VLOOKUP(J183,Vertices!$A$11:$J$203,8,FALSE )-$D$7</f>
        <v>-8.92</v>
      </c>
      <c r="M183" s="23">
        <f>VLOOKUP(J183,Vertices!$A$11:$J$203,9,FALSE )-$E$7</f>
        <v>-26.77</v>
      </c>
      <c r="N183" s="16">
        <f t="shared" si="4"/>
        <v>482.01170274999851</v>
      </c>
      <c r="O183" s="16">
        <f t="shared" si="5"/>
        <v>482.01170274999851</v>
      </c>
    </row>
    <row r="184" spans="1:15" x14ac:dyDescent="0.25">
      <c r="A184">
        <f>Faces!A184</f>
        <v>174</v>
      </c>
      <c r="B184" s="21">
        <f>Faces!B184</f>
        <v>128</v>
      </c>
      <c r="C184" s="22">
        <f>VLOOKUP(B184,Vertices!$A$11:$J$203,7,FALSE )-$C$7</f>
        <v>-19.574999999999999</v>
      </c>
      <c r="D184" s="22">
        <f>VLOOKUP(B184,Vertices!$A$11:$J$203,8,FALSE )-$D$7</f>
        <v>-11.32</v>
      </c>
      <c r="E184" s="23">
        <f>VLOOKUP(B184,Vertices!$A$11:$J$203,9,FALSE )-$E$7</f>
        <v>-33.979999999999997</v>
      </c>
      <c r="F184" s="21">
        <f>Faces!C184</f>
        <v>153</v>
      </c>
      <c r="G184" s="22">
        <f>VLOOKUP(F184,Vertices!$A$11:$J$203,7,FALSE )-$C$7</f>
        <v>-30.544999999999998</v>
      </c>
      <c r="H184" s="22">
        <f>VLOOKUP(F184,Vertices!$A$11:$J$203,8,FALSE )-$D$7</f>
        <v>1.64</v>
      </c>
      <c r="I184" s="23">
        <f>VLOOKUP(F184,Vertices!$A$11:$J$203,9,FALSE )-$E$7</f>
        <v>-25.33</v>
      </c>
      <c r="J184" s="21">
        <f>Faces!D184</f>
        <v>152</v>
      </c>
      <c r="K184" s="22">
        <f>VLOOKUP(J184,Vertices!$A$11:$J$203,7,FALSE )-$C$7</f>
        <v>-25.824999999999999</v>
      </c>
      <c r="L184" s="22">
        <f>VLOOKUP(J184,Vertices!$A$11:$J$203,8,FALSE )-$D$7</f>
        <v>-8.92</v>
      </c>
      <c r="M184" s="23">
        <f>VLOOKUP(J184,Vertices!$A$11:$J$203,9,FALSE )-$E$7</f>
        <v>-26.77</v>
      </c>
      <c r="N184" s="16">
        <f t="shared" si="4"/>
        <v>593.97501066666621</v>
      </c>
      <c r="O184" s="16">
        <f t="shared" si="5"/>
        <v>593.97501066666621</v>
      </c>
    </row>
    <row r="185" spans="1:15" x14ac:dyDescent="0.25">
      <c r="A185">
        <f>Faces!A185</f>
        <v>175</v>
      </c>
      <c r="B185" s="21">
        <f>Faces!B185</f>
        <v>128</v>
      </c>
      <c r="C185" s="22">
        <f>VLOOKUP(B185,Vertices!$A$11:$J$203,7,FALSE )-$C$7</f>
        <v>-19.574999999999999</v>
      </c>
      <c r="D185" s="22">
        <f>VLOOKUP(B185,Vertices!$A$11:$J$203,8,FALSE )-$D$7</f>
        <v>-11.32</v>
      </c>
      <c r="E185" s="23">
        <f>VLOOKUP(B185,Vertices!$A$11:$J$203,9,FALSE )-$E$7</f>
        <v>-33.979999999999997</v>
      </c>
      <c r="F185" s="21">
        <f>Faces!C185</f>
        <v>129</v>
      </c>
      <c r="G185" s="22">
        <f>VLOOKUP(F185,Vertices!$A$11:$J$203,7,FALSE )-$C$7</f>
        <v>-25.984999999999999</v>
      </c>
      <c r="H185" s="22">
        <f>VLOOKUP(F185,Vertices!$A$11:$J$203,8,FALSE )-$D$7</f>
        <v>1.82</v>
      </c>
      <c r="I185" s="23">
        <f>VLOOKUP(F185,Vertices!$A$11:$J$203,9,FALSE )-$E$7</f>
        <v>-32.619999999999997</v>
      </c>
      <c r="J185" s="21">
        <f>Faces!D185</f>
        <v>153</v>
      </c>
      <c r="K185" s="22">
        <f>VLOOKUP(J185,Vertices!$A$11:$J$203,7,FALSE )-$C$7</f>
        <v>-30.544999999999998</v>
      </c>
      <c r="L185" s="22">
        <f>VLOOKUP(J185,Vertices!$A$11:$J$203,8,FALSE )-$D$7</f>
        <v>1.64</v>
      </c>
      <c r="M185" s="23">
        <f>VLOOKUP(J185,Vertices!$A$11:$J$203,9,FALSE )-$E$7</f>
        <v>-25.33</v>
      </c>
      <c r="N185" s="16">
        <f t="shared" si="4"/>
        <v>735.64922449999995</v>
      </c>
      <c r="O185" s="16">
        <f t="shared" si="5"/>
        <v>735.64922449999995</v>
      </c>
    </row>
    <row r="186" spans="1:15" x14ac:dyDescent="0.25">
      <c r="A186">
        <f>Faces!A186</f>
        <v>176</v>
      </c>
      <c r="B186" s="21">
        <f>Faces!B186</f>
        <v>129</v>
      </c>
      <c r="C186" s="22">
        <f>VLOOKUP(B186,Vertices!$A$11:$J$203,7,FALSE )-$C$7</f>
        <v>-25.984999999999999</v>
      </c>
      <c r="D186" s="22">
        <f>VLOOKUP(B186,Vertices!$A$11:$J$203,8,FALSE )-$D$7</f>
        <v>1.82</v>
      </c>
      <c r="E186" s="23">
        <f>VLOOKUP(B186,Vertices!$A$11:$J$203,9,FALSE )-$E$7</f>
        <v>-32.619999999999997</v>
      </c>
      <c r="F186" s="21">
        <f>Faces!C186</f>
        <v>154</v>
      </c>
      <c r="G186" s="22">
        <f>VLOOKUP(F186,Vertices!$A$11:$J$203,7,FALSE )-$C$7</f>
        <v>-34.265000000000001</v>
      </c>
      <c r="H186" s="22">
        <f>VLOOKUP(F186,Vertices!$A$11:$J$203,8,FALSE )-$D$7</f>
        <v>10.82</v>
      </c>
      <c r="I186" s="23">
        <f>VLOOKUP(F186,Vertices!$A$11:$J$203,9,FALSE )-$E$7</f>
        <v>-23.85</v>
      </c>
      <c r="J186" s="21">
        <f>Faces!D186</f>
        <v>153</v>
      </c>
      <c r="K186" s="22">
        <f>VLOOKUP(J186,Vertices!$A$11:$J$203,7,FALSE )-$C$7</f>
        <v>-30.544999999999998</v>
      </c>
      <c r="L186" s="22">
        <f>VLOOKUP(J186,Vertices!$A$11:$J$203,8,FALSE )-$D$7</f>
        <v>1.64</v>
      </c>
      <c r="M186" s="23">
        <f>VLOOKUP(J186,Vertices!$A$11:$J$203,9,FALSE )-$E$7</f>
        <v>-25.33</v>
      </c>
      <c r="N186" s="16">
        <f t="shared" si="4"/>
        <v>516.02733650000016</v>
      </c>
      <c r="O186" s="16">
        <f t="shared" si="5"/>
        <v>516.02733650000016</v>
      </c>
    </row>
    <row r="187" spans="1:15" x14ac:dyDescent="0.25">
      <c r="A187">
        <f>Faces!A187</f>
        <v>177</v>
      </c>
      <c r="B187" s="21">
        <f>Faces!B187</f>
        <v>129</v>
      </c>
      <c r="C187" s="22">
        <f>VLOOKUP(B187,Vertices!$A$11:$J$203,7,FALSE )-$C$7</f>
        <v>-25.984999999999999</v>
      </c>
      <c r="D187" s="22">
        <f>VLOOKUP(B187,Vertices!$A$11:$J$203,8,FALSE )-$D$7</f>
        <v>1.82</v>
      </c>
      <c r="E187" s="23">
        <f>VLOOKUP(B187,Vertices!$A$11:$J$203,9,FALSE )-$E$7</f>
        <v>-32.619999999999997</v>
      </c>
      <c r="F187" s="21">
        <f>Faces!C187</f>
        <v>130</v>
      </c>
      <c r="G187" s="22">
        <f>VLOOKUP(F187,Vertices!$A$11:$J$203,7,FALSE )-$C$7</f>
        <v>-31.125</v>
      </c>
      <c r="H187" s="22">
        <f>VLOOKUP(F187,Vertices!$A$11:$J$203,8,FALSE )-$D$7</f>
        <v>13.31</v>
      </c>
      <c r="I187" s="23">
        <f>VLOOKUP(F187,Vertices!$A$11:$J$203,9,FALSE )-$E$7</f>
        <v>-31.27</v>
      </c>
      <c r="J187" s="21">
        <f>Faces!D187</f>
        <v>154</v>
      </c>
      <c r="K187" s="22">
        <f>VLOOKUP(J187,Vertices!$A$11:$J$203,7,FALSE )-$C$7</f>
        <v>-34.265000000000001</v>
      </c>
      <c r="L187" s="22">
        <f>VLOOKUP(J187,Vertices!$A$11:$J$203,8,FALSE )-$D$7</f>
        <v>10.82</v>
      </c>
      <c r="M187" s="23">
        <f>VLOOKUP(J187,Vertices!$A$11:$J$203,9,FALSE )-$E$7</f>
        <v>-23.85</v>
      </c>
      <c r="N187" s="16">
        <f t="shared" si="4"/>
        <v>639.23286141666631</v>
      </c>
      <c r="O187" s="16">
        <f t="shared" si="5"/>
        <v>639.23286141666631</v>
      </c>
    </row>
    <row r="188" spans="1:15" x14ac:dyDescent="0.25">
      <c r="A188">
        <f>Faces!A188</f>
        <v>178</v>
      </c>
      <c r="B188" s="21">
        <f>Faces!B188</f>
        <v>150</v>
      </c>
      <c r="C188" s="22">
        <f>VLOOKUP(B188,Vertices!$A$11:$J$203,7,FALSE )-$C$7</f>
        <v>-19.384999999999998</v>
      </c>
      <c r="D188" s="22">
        <f>VLOOKUP(B188,Vertices!$A$11:$J$203,8,FALSE )-$D$7</f>
        <v>-22.41</v>
      </c>
      <c r="E188" s="23">
        <f>VLOOKUP(B188,Vertices!$A$11:$J$203,9,FALSE )-$E$7</f>
        <v>-28.05</v>
      </c>
      <c r="F188" s="21">
        <f>Faces!C188</f>
        <v>151</v>
      </c>
      <c r="G188" s="22">
        <f>VLOOKUP(F188,Vertices!$A$11:$J$203,7,FALSE )-$C$7</f>
        <v>-22.614999999999998</v>
      </c>
      <c r="H188" s="22">
        <f>VLOOKUP(F188,Vertices!$A$11:$J$203,8,FALSE )-$D$7</f>
        <v>-15.73</v>
      </c>
      <c r="I188" s="23">
        <f>VLOOKUP(F188,Vertices!$A$11:$J$203,9,FALSE )-$E$7</f>
        <v>-27.45</v>
      </c>
      <c r="J188" s="21">
        <f>Faces!D188</f>
        <v>173</v>
      </c>
      <c r="K188" s="22">
        <f>VLOOKUP(J188,Vertices!$A$11:$J$203,7,FALSE )-$C$7</f>
        <v>-29.715</v>
      </c>
      <c r="L188" s="22">
        <f>VLOOKUP(J188,Vertices!$A$11:$J$203,8,FALSE )-$D$7</f>
        <v>-15.31</v>
      </c>
      <c r="M188" s="23">
        <f>VLOOKUP(J188,Vertices!$A$11:$J$203,9,FALSE )-$E$7</f>
        <v>-19.73</v>
      </c>
      <c r="N188" s="16">
        <f t="shared" si="4"/>
        <v>458.40577366666639</v>
      </c>
      <c r="O188" s="16">
        <f t="shared" si="5"/>
        <v>458.40577366666639</v>
      </c>
    </row>
    <row r="189" spans="1:15" x14ac:dyDescent="0.25">
      <c r="A189">
        <f>Faces!A189</f>
        <v>179</v>
      </c>
      <c r="B189" s="21">
        <f>Faces!B189</f>
        <v>151</v>
      </c>
      <c r="C189" s="22">
        <f>VLOOKUP(B189,Vertices!$A$11:$J$203,7,FALSE )-$C$7</f>
        <v>-22.614999999999998</v>
      </c>
      <c r="D189" s="22">
        <f>VLOOKUP(B189,Vertices!$A$11:$J$203,8,FALSE )-$D$7</f>
        <v>-15.73</v>
      </c>
      <c r="E189" s="23">
        <f>VLOOKUP(B189,Vertices!$A$11:$J$203,9,FALSE )-$E$7</f>
        <v>-27.45</v>
      </c>
      <c r="F189" s="21">
        <f>Faces!C189</f>
        <v>174</v>
      </c>
      <c r="G189" s="22">
        <f>VLOOKUP(F189,Vertices!$A$11:$J$203,7,FALSE )-$C$7</f>
        <v>-33.334999999999994</v>
      </c>
      <c r="H189" s="22">
        <f>VLOOKUP(F189,Vertices!$A$11:$J$203,8,FALSE )-$D$7</f>
        <v>-6.07</v>
      </c>
      <c r="I189" s="23">
        <f>VLOOKUP(F189,Vertices!$A$11:$J$203,9,FALSE )-$E$7</f>
        <v>-17.97</v>
      </c>
      <c r="J189" s="21">
        <f>Faces!D189</f>
        <v>173</v>
      </c>
      <c r="K189" s="22">
        <f>VLOOKUP(J189,Vertices!$A$11:$J$203,7,FALSE )-$C$7</f>
        <v>-29.715</v>
      </c>
      <c r="L189" s="22">
        <f>VLOOKUP(J189,Vertices!$A$11:$J$203,8,FALSE )-$D$7</f>
        <v>-15.31</v>
      </c>
      <c r="M189" s="23">
        <f>VLOOKUP(J189,Vertices!$A$11:$J$203,9,FALSE )-$E$7</f>
        <v>-19.73</v>
      </c>
      <c r="N189" s="16">
        <f t="shared" si="4"/>
        <v>599.76731266666718</v>
      </c>
      <c r="O189" s="16">
        <f t="shared" si="5"/>
        <v>599.76731266666718</v>
      </c>
    </row>
    <row r="190" spans="1:15" x14ac:dyDescent="0.25">
      <c r="A190">
        <f>Faces!A190</f>
        <v>180</v>
      </c>
      <c r="B190" s="21">
        <f>Faces!B190</f>
        <v>151</v>
      </c>
      <c r="C190" s="22">
        <f>VLOOKUP(B190,Vertices!$A$11:$J$203,7,FALSE )-$C$7</f>
        <v>-22.614999999999998</v>
      </c>
      <c r="D190" s="22">
        <f>VLOOKUP(B190,Vertices!$A$11:$J$203,8,FALSE )-$D$7</f>
        <v>-15.73</v>
      </c>
      <c r="E190" s="23">
        <f>VLOOKUP(B190,Vertices!$A$11:$J$203,9,FALSE )-$E$7</f>
        <v>-27.45</v>
      </c>
      <c r="F190" s="21">
        <f>Faces!C190</f>
        <v>152</v>
      </c>
      <c r="G190" s="22">
        <f>VLOOKUP(F190,Vertices!$A$11:$J$203,7,FALSE )-$C$7</f>
        <v>-25.824999999999999</v>
      </c>
      <c r="H190" s="22">
        <f>VLOOKUP(F190,Vertices!$A$11:$J$203,8,FALSE )-$D$7</f>
        <v>-8.92</v>
      </c>
      <c r="I190" s="23">
        <f>VLOOKUP(F190,Vertices!$A$11:$J$203,9,FALSE )-$E$7</f>
        <v>-26.77</v>
      </c>
      <c r="J190" s="21">
        <f>Faces!D190</f>
        <v>174</v>
      </c>
      <c r="K190" s="22">
        <f>VLOOKUP(J190,Vertices!$A$11:$J$203,7,FALSE )-$C$7</f>
        <v>-33.334999999999994</v>
      </c>
      <c r="L190" s="22">
        <f>VLOOKUP(J190,Vertices!$A$11:$J$203,8,FALSE )-$D$7</f>
        <v>-6.07</v>
      </c>
      <c r="M190" s="23">
        <f>VLOOKUP(J190,Vertices!$A$11:$J$203,9,FALSE )-$E$7</f>
        <v>-17.97</v>
      </c>
      <c r="N190" s="16">
        <f t="shared" si="4"/>
        <v>471.36778266666653</v>
      </c>
      <c r="O190" s="16">
        <f t="shared" si="5"/>
        <v>471.36778266666653</v>
      </c>
    </row>
    <row r="191" spans="1:15" x14ac:dyDescent="0.25">
      <c r="A191">
        <f>Faces!A191</f>
        <v>181</v>
      </c>
      <c r="B191" s="21">
        <f>Faces!B191</f>
        <v>152</v>
      </c>
      <c r="C191" s="22">
        <f>VLOOKUP(B191,Vertices!$A$11:$J$203,7,FALSE )-$C$7</f>
        <v>-25.824999999999999</v>
      </c>
      <c r="D191" s="22">
        <f>VLOOKUP(B191,Vertices!$A$11:$J$203,8,FALSE )-$D$7</f>
        <v>-8.92</v>
      </c>
      <c r="E191" s="23">
        <f>VLOOKUP(B191,Vertices!$A$11:$J$203,9,FALSE )-$E$7</f>
        <v>-26.77</v>
      </c>
      <c r="F191" s="21">
        <f>Faces!C191</f>
        <v>175</v>
      </c>
      <c r="G191" s="22">
        <f>VLOOKUP(F191,Vertices!$A$11:$J$203,7,FALSE )-$C$7</f>
        <v>-36.185000000000002</v>
      </c>
      <c r="H191" s="22">
        <f>VLOOKUP(F191,Vertices!$A$11:$J$203,8,FALSE )-$D$7</f>
        <v>1.66</v>
      </c>
      <c r="I191" s="23">
        <f>VLOOKUP(F191,Vertices!$A$11:$J$203,9,FALSE )-$E$7</f>
        <v>-16.739999999999998</v>
      </c>
      <c r="J191" s="21">
        <f>Faces!D191</f>
        <v>174</v>
      </c>
      <c r="K191" s="22">
        <f>VLOOKUP(J191,Vertices!$A$11:$J$203,7,FALSE )-$C$7</f>
        <v>-33.334999999999994</v>
      </c>
      <c r="L191" s="22">
        <f>VLOOKUP(J191,Vertices!$A$11:$J$203,8,FALSE )-$D$7</f>
        <v>-6.07</v>
      </c>
      <c r="M191" s="23">
        <f>VLOOKUP(J191,Vertices!$A$11:$J$203,9,FALSE )-$E$7</f>
        <v>-17.97</v>
      </c>
      <c r="N191" s="16">
        <f t="shared" si="4"/>
        <v>524.02131541666643</v>
      </c>
      <c r="O191" s="16">
        <f t="shared" si="5"/>
        <v>524.02131541666643</v>
      </c>
    </row>
    <row r="192" spans="1:15" x14ac:dyDescent="0.25">
      <c r="A192">
        <f>Faces!A192</f>
        <v>182</v>
      </c>
      <c r="B192" s="21">
        <f>Faces!B192</f>
        <v>152</v>
      </c>
      <c r="C192" s="22">
        <f>VLOOKUP(B192,Vertices!$A$11:$J$203,7,FALSE )-$C$7</f>
        <v>-25.824999999999999</v>
      </c>
      <c r="D192" s="22">
        <f>VLOOKUP(B192,Vertices!$A$11:$J$203,8,FALSE )-$D$7</f>
        <v>-8.92</v>
      </c>
      <c r="E192" s="23">
        <f>VLOOKUP(B192,Vertices!$A$11:$J$203,9,FALSE )-$E$7</f>
        <v>-26.77</v>
      </c>
      <c r="F192" s="21">
        <f>Faces!C192</f>
        <v>153</v>
      </c>
      <c r="G192" s="22">
        <f>VLOOKUP(F192,Vertices!$A$11:$J$203,7,FALSE )-$C$7</f>
        <v>-30.544999999999998</v>
      </c>
      <c r="H192" s="22">
        <f>VLOOKUP(F192,Vertices!$A$11:$J$203,8,FALSE )-$D$7</f>
        <v>1.64</v>
      </c>
      <c r="I192" s="23">
        <f>VLOOKUP(F192,Vertices!$A$11:$J$203,9,FALSE )-$E$7</f>
        <v>-25.33</v>
      </c>
      <c r="J192" s="21">
        <f>Faces!D192</f>
        <v>175</v>
      </c>
      <c r="K192" s="22">
        <f>VLOOKUP(J192,Vertices!$A$11:$J$203,7,FALSE )-$C$7</f>
        <v>-36.185000000000002</v>
      </c>
      <c r="L192" s="22">
        <f>VLOOKUP(J192,Vertices!$A$11:$J$203,8,FALSE )-$D$7</f>
        <v>1.66</v>
      </c>
      <c r="M192" s="23">
        <f>VLOOKUP(J192,Vertices!$A$11:$J$203,9,FALSE )-$E$7</f>
        <v>-16.739999999999998</v>
      </c>
      <c r="N192" s="16">
        <f t="shared" si="4"/>
        <v>703.81975733333354</v>
      </c>
      <c r="O192" s="16">
        <f t="shared" si="5"/>
        <v>703.81975733333354</v>
      </c>
    </row>
    <row r="193" spans="1:15" x14ac:dyDescent="0.25">
      <c r="A193">
        <f>Faces!A193</f>
        <v>183</v>
      </c>
      <c r="B193" s="21">
        <f>Faces!B193</f>
        <v>153</v>
      </c>
      <c r="C193" s="22">
        <f>VLOOKUP(B193,Vertices!$A$11:$J$203,7,FALSE )-$C$7</f>
        <v>-30.544999999999998</v>
      </c>
      <c r="D193" s="22">
        <f>VLOOKUP(B193,Vertices!$A$11:$J$203,8,FALSE )-$D$7</f>
        <v>1.64</v>
      </c>
      <c r="E193" s="23">
        <f>VLOOKUP(B193,Vertices!$A$11:$J$203,9,FALSE )-$E$7</f>
        <v>-25.33</v>
      </c>
      <c r="F193" s="21">
        <f>Faces!C193</f>
        <v>176</v>
      </c>
      <c r="G193" s="22">
        <f>VLOOKUP(F193,Vertices!$A$11:$J$203,7,FALSE )-$C$7</f>
        <v>-38.594999999999999</v>
      </c>
      <c r="H193" s="22">
        <f>VLOOKUP(F193,Vertices!$A$11:$J$203,8,FALSE )-$D$7</f>
        <v>8.39</v>
      </c>
      <c r="I193" s="23">
        <f>VLOOKUP(F193,Vertices!$A$11:$J$203,9,FALSE )-$E$7</f>
        <v>-14.5</v>
      </c>
      <c r="J193" s="21">
        <f>Faces!D193</f>
        <v>175</v>
      </c>
      <c r="K193" s="22">
        <f>VLOOKUP(J193,Vertices!$A$11:$J$203,7,FALSE )-$C$7</f>
        <v>-36.185000000000002</v>
      </c>
      <c r="L193" s="22">
        <f>VLOOKUP(J193,Vertices!$A$11:$J$203,8,FALSE )-$D$7</f>
        <v>1.66</v>
      </c>
      <c r="M193" s="23">
        <f>VLOOKUP(J193,Vertices!$A$11:$J$203,9,FALSE )-$E$7</f>
        <v>-16.739999999999998</v>
      </c>
      <c r="N193" s="16">
        <f t="shared" si="4"/>
        <v>451.91039558333324</v>
      </c>
      <c r="O193" s="16">
        <f t="shared" si="5"/>
        <v>451.91039558333324</v>
      </c>
    </row>
    <row r="194" spans="1:15" x14ac:dyDescent="0.25">
      <c r="A194">
        <f>Faces!A194</f>
        <v>184</v>
      </c>
      <c r="B194" s="21">
        <f>Faces!B194</f>
        <v>153</v>
      </c>
      <c r="C194" s="22">
        <f>VLOOKUP(B194,Vertices!$A$11:$J$203,7,FALSE )-$C$7</f>
        <v>-30.544999999999998</v>
      </c>
      <c r="D194" s="22">
        <f>VLOOKUP(B194,Vertices!$A$11:$J$203,8,FALSE )-$D$7</f>
        <v>1.64</v>
      </c>
      <c r="E194" s="23">
        <f>VLOOKUP(B194,Vertices!$A$11:$J$203,9,FALSE )-$E$7</f>
        <v>-25.33</v>
      </c>
      <c r="F194" s="21">
        <f>Faces!C194</f>
        <v>154</v>
      </c>
      <c r="G194" s="22">
        <f>VLOOKUP(F194,Vertices!$A$11:$J$203,7,FALSE )-$C$7</f>
        <v>-34.265000000000001</v>
      </c>
      <c r="H194" s="22">
        <f>VLOOKUP(F194,Vertices!$A$11:$J$203,8,FALSE )-$D$7</f>
        <v>10.82</v>
      </c>
      <c r="I194" s="23">
        <f>VLOOKUP(F194,Vertices!$A$11:$J$203,9,FALSE )-$E$7</f>
        <v>-23.85</v>
      </c>
      <c r="J194" s="21">
        <f>Faces!D194</f>
        <v>176</v>
      </c>
      <c r="K194" s="22">
        <f>VLOOKUP(J194,Vertices!$A$11:$J$203,7,FALSE )-$C$7</f>
        <v>-38.594999999999999</v>
      </c>
      <c r="L194" s="22">
        <f>VLOOKUP(J194,Vertices!$A$11:$J$203,8,FALSE )-$D$7</f>
        <v>8.39</v>
      </c>
      <c r="M194" s="23">
        <f>VLOOKUP(J194,Vertices!$A$11:$J$203,9,FALSE )-$E$7</f>
        <v>-14.5</v>
      </c>
      <c r="N194" s="16">
        <f t="shared" si="4"/>
        <v>653.48561483333378</v>
      </c>
      <c r="O194" s="16">
        <f t="shared" si="5"/>
        <v>653.48561483333378</v>
      </c>
    </row>
    <row r="195" spans="1:15" x14ac:dyDescent="0.25">
      <c r="A195">
        <f>Faces!A195</f>
        <v>185</v>
      </c>
      <c r="B195" s="21">
        <f>Faces!B195</f>
        <v>173</v>
      </c>
      <c r="C195" s="22">
        <f>VLOOKUP(B195,Vertices!$A$11:$J$203,7,FALSE )-$C$7</f>
        <v>-29.715</v>
      </c>
      <c r="D195" s="22">
        <f>VLOOKUP(B195,Vertices!$A$11:$J$203,8,FALSE )-$D$7</f>
        <v>-15.31</v>
      </c>
      <c r="E195" s="23">
        <f>VLOOKUP(B195,Vertices!$A$11:$J$203,9,FALSE )-$E$7</f>
        <v>-19.73</v>
      </c>
      <c r="F195" s="21">
        <f>Faces!C195</f>
        <v>174</v>
      </c>
      <c r="G195" s="22">
        <f>VLOOKUP(F195,Vertices!$A$11:$J$203,7,FALSE )-$C$7</f>
        <v>-33.334999999999994</v>
      </c>
      <c r="H195" s="22">
        <f>VLOOKUP(F195,Vertices!$A$11:$J$203,8,FALSE )-$D$7</f>
        <v>-6.07</v>
      </c>
      <c r="I195" s="23">
        <f>VLOOKUP(F195,Vertices!$A$11:$J$203,9,FALSE )-$E$7</f>
        <v>-17.97</v>
      </c>
      <c r="J195" s="21">
        <f>Faces!D195</f>
        <v>189</v>
      </c>
      <c r="K195" s="22">
        <f>VLOOKUP(J195,Vertices!$A$11:$J$203,7,FALSE )-$C$7</f>
        <v>-40.814999999999998</v>
      </c>
      <c r="L195" s="22">
        <f>VLOOKUP(J195,Vertices!$A$11:$J$203,8,FALSE )-$D$7</f>
        <v>-7.57</v>
      </c>
      <c r="M195" s="23">
        <f>VLOOKUP(J195,Vertices!$A$11:$J$203,9,FALSE )-$E$7</f>
        <v>-10.68</v>
      </c>
      <c r="N195" s="16">
        <f t="shared" si="4"/>
        <v>625.54827666666654</v>
      </c>
      <c r="O195" s="16">
        <f t="shared" si="5"/>
        <v>625.54827666666654</v>
      </c>
    </row>
    <row r="196" spans="1:15" x14ac:dyDescent="0.25">
      <c r="A196">
        <f>Faces!A196</f>
        <v>186</v>
      </c>
      <c r="B196" s="21">
        <f>Faces!B196</f>
        <v>174</v>
      </c>
      <c r="C196" s="22">
        <f>VLOOKUP(B196,Vertices!$A$11:$J$203,7,FALSE )-$C$7</f>
        <v>-33.334999999999994</v>
      </c>
      <c r="D196" s="22">
        <f>VLOOKUP(B196,Vertices!$A$11:$J$203,8,FALSE )-$D$7</f>
        <v>-6.07</v>
      </c>
      <c r="E196" s="23">
        <f>VLOOKUP(B196,Vertices!$A$11:$J$203,9,FALSE )-$E$7</f>
        <v>-17.97</v>
      </c>
      <c r="F196" s="21">
        <f>Faces!C196</f>
        <v>190</v>
      </c>
      <c r="G196" s="22">
        <f>VLOOKUP(F196,Vertices!$A$11:$J$203,7,FALSE )-$C$7</f>
        <v>-43.545000000000002</v>
      </c>
      <c r="H196" s="22">
        <f>VLOOKUP(F196,Vertices!$A$11:$J$203,8,FALSE )-$D$7</f>
        <v>6.23</v>
      </c>
      <c r="I196" s="23">
        <f>VLOOKUP(F196,Vertices!$A$11:$J$203,9,FALSE )-$E$7</f>
        <v>-4.82</v>
      </c>
      <c r="J196" s="21">
        <f>Faces!D196</f>
        <v>189</v>
      </c>
      <c r="K196" s="22">
        <f>VLOOKUP(J196,Vertices!$A$11:$J$203,7,FALSE )-$C$7</f>
        <v>-40.814999999999998</v>
      </c>
      <c r="L196" s="22">
        <f>VLOOKUP(J196,Vertices!$A$11:$J$203,8,FALSE )-$D$7</f>
        <v>-7.57</v>
      </c>
      <c r="M196" s="23">
        <f>VLOOKUP(J196,Vertices!$A$11:$J$203,9,FALSE )-$E$7</f>
        <v>-10.68</v>
      </c>
      <c r="N196" s="16">
        <f t="shared" si="4"/>
        <v>904.97382883333341</v>
      </c>
      <c r="O196" s="16">
        <f t="shared" si="5"/>
        <v>904.97382883333341</v>
      </c>
    </row>
    <row r="197" spans="1:15" x14ac:dyDescent="0.25">
      <c r="A197">
        <f>Faces!A197</f>
        <v>187</v>
      </c>
      <c r="B197" s="21">
        <f>Faces!B197</f>
        <v>174</v>
      </c>
      <c r="C197" s="22">
        <f>VLOOKUP(B197,Vertices!$A$11:$J$203,7,FALSE )-$C$7</f>
        <v>-33.334999999999994</v>
      </c>
      <c r="D197" s="22">
        <f>VLOOKUP(B197,Vertices!$A$11:$J$203,8,FALSE )-$D$7</f>
        <v>-6.07</v>
      </c>
      <c r="E197" s="23">
        <f>VLOOKUP(B197,Vertices!$A$11:$J$203,9,FALSE )-$E$7</f>
        <v>-17.97</v>
      </c>
      <c r="F197" s="21">
        <f>Faces!C197</f>
        <v>175</v>
      </c>
      <c r="G197" s="22">
        <f>VLOOKUP(F197,Vertices!$A$11:$J$203,7,FALSE )-$C$7</f>
        <v>-36.185000000000002</v>
      </c>
      <c r="H197" s="22">
        <f>VLOOKUP(F197,Vertices!$A$11:$J$203,8,FALSE )-$D$7</f>
        <v>1.66</v>
      </c>
      <c r="I197" s="23">
        <f>VLOOKUP(F197,Vertices!$A$11:$J$203,9,FALSE )-$E$7</f>
        <v>-16.739999999999998</v>
      </c>
      <c r="J197" s="21">
        <f>Faces!D197</f>
        <v>190</v>
      </c>
      <c r="K197" s="22">
        <f>VLOOKUP(J197,Vertices!$A$11:$J$203,7,FALSE )-$C$7</f>
        <v>-43.545000000000002</v>
      </c>
      <c r="L197" s="22">
        <f>VLOOKUP(J197,Vertices!$A$11:$J$203,8,FALSE )-$D$7</f>
        <v>6.23</v>
      </c>
      <c r="M197" s="23">
        <f>VLOOKUP(J197,Vertices!$A$11:$J$203,9,FALSE )-$E$7</f>
        <v>-4.82</v>
      </c>
      <c r="N197" s="16">
        <f t="shared" si="4"/>
        <v>637.28896041666655</v>
      </c>
      <c r="O197" s="16">
        <f t="shared" si="5"/>
        <v>637.28896041666655</v>
      </c>
    </row>
    <row r="198" spans="1:15" x14ac:dyDescent="0.25">
      <c r="A198">
        <f>Faces!A198</f>
        <v>188</v>
      </c>
      <c r="B198" s="21">
        <f>Faces!B198</f>
        <v>175</v>
      </c>
      <c r="C198" s="22">
        <f>VLOOKUP(B198,Vertices!$A$11:$J$203,7,FALSE )-$C$7</f>
        <v>-36.185000000000002</v>
      </c>
      <c r="D198" s="22">
        <f>VLOOKUP(B198,Vertices!$A$11:$J$203,8,FALSE )-$D$7</f>
        <v>1.66</v>
      </c>
      <c r="E198" s="23">
        <f>VLOOKUP(B198,Vertices!$A$11:$J$203,9,FALSE )-$E$7</f>
        <v>-16.739999999999998</v>
      </c>
      <c r="F198" s="21">
        <f>Faces!C198</f>
        <v>176</v>
      </c>
      <c r="G198" s="22">
        <f>VLOOKUP(F198,Vertices!$A$11:$J$203,7,FALSE )-$C$7</f>
        <v>-38.594999999999999</v>
      </c>
      <c r="H198" s="22">
        <f>VLOOKUP(F198,Vertices!$A$11:$J$203,8,FALSE )-$D$7</f>
        <v>8.39</v>
      </c>
      <c r="I198" s="23">
        <f>VLOOKUP(F198,Vertices!$A$11:$J$203,9,FALSE )-$E$7</f>
        <v>-14.5</v>
      </c>
      <c r="J198" s="21">
        <f>Faces!D198</f>
        <v>190</v>
      </c>
      <c r="K198" s="22">
        <f>VLOOKUP(J198,Vertices!$A$11:$J$203,7,FALSE )-$C$7</f>
        <v>-43.545000000000002</v>
      </c>
      <c r="L198" s="22">
        <f>VLOOKUP(J198,Vertices!$A$11:$J$203,8,FALSE )-$D$7</f>
        <v>6.23</v>
      </c>
      <c r="M198" s="23">
        <f>VLOOKUP(J198,Vertices!$A$11:$J$203,9,FALSE )-$E$7</f>
        <v>-4.82</v>
      </c>
      <c r="N198" s="16">
        <f t="shared" si="4"/>
        <v>526.14833233333331</v>
      </c>
      <c r="O198" s="16">
        <f t="shared" si="5"/>
        <v>526.14833233333331</v>
      </c>
    </row>
    <row r="199" spans="1:15" x14ac:dyDescent="0.25">
      <c r="A199">
        <f>Faces!A199</f>
        <v>189</v>
      </c>
      <c r="B199" s="21">
        <f>Faces!B199</f>
        <v>6</v>
      </c>
      <c r="C199" s="22">
        <f>VLOOKUP(B199,Vertices!$A$11:$J$203,7,FALSE )-$C$7</f>
        <v>-3.4549999999999983</v>
      </c>
      <c r="D199" s="22">
        <f>VLOOKUP(B199,Vertices!$A$11:$J$203,8,FALSE )-$D$7</f>
        <v>75</v>
      </c>
      <c r="E199" s="23">
        <f>VLOOKUP(B199,Vertices!$A$11:$J$203,9,FALSE )-$E$7</f>
        <v>-4</v>
      </c>
      <c r="F199" s="21">
        <f>Faces!C199</f>
        <v>92</v>
      </c>
      <c r="G199" s="22">
        <f>VLOOKUP(F199,Vertices!$A$11:$J$203,7,FALSE )-$C$7</f>
        <v>-10.155000000000001</v>
      </c>
      <c r="H199" s="22">
        <f>VLOOKUP(F199,Vertices!$A$11:$J$203,8,FALSE )-$D$7</f>
        <v>63.56</v>
      </c>
      <c r="I199" s="23">
        <f>VLOOKUP(F199,Vertices!$A$11:$J$203,9,FALSE )-$E$7</f>
        <v>-3.99</v>
      </c>
      <c r="J199" s="21">
        <f>Faces!D199</f>
        <v>93</v>
      </c>
      <c r="K199" s="22">
        <f>VLOOKUP(J199,Vertices!$A$11:$J$203,7,FALSE )-$C$7</f>
        <v>-11.994999999999997</v>
      </c>
      <c r="L199" s="22">
        <f>VLOOKUP(J199,Vertices!$A$11:$J$203,8,FALSE )-$D$7</f>
        <v>58.97</v>
      </c>
      <c r="M199" s="23">
        <f>VLOOKUP(J199,Vertices!$A$11:$J$203,9,FALSE )-$E$7</f>
        <v>-7.73</v>
      </c>
      <c r="N199" s="16">
        <f t="shared" si="4"/>
        <v>344.58773875000037</v>
      </c>
      <c r="O199" s="16">
        <f t="shared" si="5"/>
        <v>344.58773875000037</v>
      </c>
    </row>
    <row r="200" spans="1:15" x14ac:dyDescent="0.25">
      <c r="A200">
        <f>Faces!A200</f>
        <v>190</v>
      </c>
      <c r="B200" s="21">
        <f>Faces!B200</f>
        <v>6</v>
      </c>
      <c r="C200" s="22">
        <f>VLOOKUP(B200,Vertices!$A$11:$J$203,7,FALSE )-$C$7</f>
        <v>-3.4549999999999983</v>
      </c>
      <c r="D200" s="22">
        <f>VLOOKUP(B200,Vertices!$A$11:$J$203,8,FALSE )-$D$7</f>
        <v>75</v>
      </c>
      <c r="E200" s="23">
        <f>VLOOKUP(B200,Vertices!$A$11:$J$203,9,FALSE )-$E$7</f>
        <v>-4</v>
      </c>
      <c r="F200" s="21">
        <f>Faces!C200</f>
        <v>93</v>
      </c>
      <c r="G200" s="22">
        <f>VLOOKUP(F200,Vertices!$A$11:$J$203,7,FALSE )-$C$7</f>
        <v>-11.994999999999997</v>
      </c>
      <c r="H200" s="22">
        <f>VLOOKUP(F200,Vertices!$A$11:$J$203,8,FALSE )-$D$7</f>
        <v>58.97</v>
      </c>
      <c r="I200" s="23">
        <f>VLOOKUP(F200,Vertices!$A$11:$J$203,9,FALSE )-$E$7</f>
        <v>-7.73</v>
      </c>
      <c r="J200" s="21">
        <f>Faces!D200</f>
        <v>12</v>
      </c>
      <c r="K200" s="22">
        <f>VLOOKUP(J200,Vertices!$A$11:$J$203,7,FALSE )-$C$7</f>
        <v>-5.634999999999998</v>
      </c>
      <c r="L200" s="22">
        <f>VLOOKUP(J200,Vertices!$A$11:$J$203,8,FALSE )-$D$7</f>
        <v>69.39</v>
      </c>
      <c r="M200" s="23">
        <f>VLOOKUP(J200,Vertices!$A$11:$J$203,9,FALSE )-$E$7</f>
        <v>-8.6300000000000008</v>
      </c>
      <c r="N200" s="16">
        <f t="shared" si="4"/>
        <v>431.94089800000029</v>
      </c>
      <c r="O200" s="16">
        <f t="shared" si="5"/>
        <v>431.94089800000029</v>
      </c>
    </row>
    <row r="201" spans="1:15" x14ac:dyDescent="0.25">
      <c r="A201">
        <f>Faces!A201</f>
        <v>191</v>
      </c>
      <c r="B201" s="21">
        <f>Faces!B201</f>
        <v>12</v>
      </c>
      <c r="C201" s="22">
        <f>VLOOKUP(B201,Vertices!$A$11:$J$203,7,FALSE )-$C$7</f>
        <v>-5.634999999999998</v>
      </c>
      <c r="D201" s="22">
        <f>VLOOKUP(B201,Vertices!$A$11:$J$203,8,FALSE )-$D$7</f>
        <v>69.39</v>
      </c>
      <c r="E201" s="23">
        <f>VLOOKUP(B201,Vertices!$A$11:$J$203,9,FALSE )-$E$7</f>
        <v>-8.6300000000000008</v>
      </c>
      <c r="F201" s="21">
        <f>Faces!C201</f>
        <v>93</v>
      </c>
      <c r="G201" s="22">
        <f>VLOOKUP(F201,Vertices!$A$11:$J$203,7,FALSE )-$C$7</f>
        <v>-11.994999999999997</v>
      </c>
      <c r="H201" s="22">
        <f>VLOOKUP(F201,Vertices!$A$11:$J$203,8,FALSE )-$D$7</f>
        <v>58.97</v>
      </c>
      <c r="I201" s="23">
        <f>VLOOKUP(F201,Vertices!$A$11:$J$203,9,FALSE )-$E$7</f>
        <v>-7.73</v>
      </c>
      <c r="J201" s="21">
        <f>Faces!D201</f>
        <v>94</v>
      </c>
      <c r="K201" s="22">
        <f>VLOOKUP(J201,Vertices!$A$11:$J$203,7,FALSE )-$C$7</f>
        <v>-13.905000000000001</v>
      </c>
      <c r="L201" s="22">
        <f>VLOOKUP(J201,Vertices!$A$11:$J$203,8,FALSE )-$D$7</f>
        <v>54.19</v>
      </c>
      <c r="M201" s="23">
        <f>VLOOKUP(J201,Vertices!$A$11:$J$203,9,FALSE )-$E$7</f>
        <v>-11.57</v>
      </c>
      <c r="N201" s="16">
        <f t="shared" si="4"/>
        <v>359.04476033333304</v>
      </c>
      <c r="O201" s="16">
        <f t="shared" si="5"/>
        <v>359.04476033333304</v>
      </c>
    </row>
    <row r="202" spans="1:15" x14ac:dyDescent="0.25">
      <c r="A202">
        <f>Faces!A202</f>
        <v>192</v>
      </c>
      <c r="B202" s="21">
        <f>Faces!B202</f>
        <v>12</v>
      </c>
      <c r="C202" s="22">
        <f>VLOOKUP(B202,Vertices!$A$11:$J$203,7,FALSE )-$C$7</f>
        <v>-5.634999999999998</v>
      </c>
      <c r="D202" s="22">
        <f>VLOOKUP(B202,Vertices!$A$11:$J$203,8,FALSE )-$D$7</f>
        <v>69.39</v>
      </c>
      <c r="E202" s="23">
        <f>VLOOKUP(B202,Vertices!$A$11:$J$203,9,FALSE )-$E$7</f>
        <v>-8.6300000000000008</v>
      </c>
      <c r="F202" s="21">
        <f>Faces!C202</f>
        <v>94</v>
      </c>
      <c r="G202" s="22">
        <f>VLOOKUP(F202,Vertices!$A$11:$J$203,7,FALSE )-$C$7</f>
        <v>-13.905000000000001</v>
      </c>
      <c r="H202" s="22">
        <f>VLOOKUP(F202,Vertices!$A$11:$J$203,8,FALSE )-$D$7</f>
        <v>54.19</v>
      </c>
      <c r="I202" s="23">
        <f>VLOOKUP(F202,Vertices!$A$11:$J$203,9,FALSE )-$E$7</f>
        <v>-11.57</v>
      </c>
      <c r="J202" s="21">
        <f>Faces!D202</f>
        <v>18</v>
      </c>
      <c r="K202" s="22">
        <f>VLOOKUP(J202,Vertices!$A$11:$J$203,7,FALSE )-$C$7</f>
        <v>-7.8549999999999969</v>
      </c>
      <c r="L202" s="22">
        <f>VLOOKUP(J202,Vertices!$A$11:$J$203,8,FALSE )-$D$7</f>
        <v>63.95</v>
      </c>
      <c r="M202" s="23">
        <f>VLOOKUP(J202,Vertices!$A$11:$J$203,9,FALSE )-$E$7</f>
        <v>-13.07</v>
      </c>
      <c r="N202" s="16">
        <f t="shared" si="4"/>
        <v>413.70607466666678</v>
      </c>
      <c r="O202" s="16">
        <f t="shared" si="5"/>
        <v>413.70607466666678</v>
      </c>
    </row>
    <row r="203" spans="1:15" x14ac:dyDescent="0.25">
      <c r="A203">
        <f>Faces!A203</f>
        <v>193</v>
      </c>
      <c r="B203" s="21">
        <f>Faces!B203</f>
        <v>18</v>
      </c>
      <c r="C203" s="22">
        <f>VLOOKUP(B203,Vertices!$A$11:$J$203,7,FALSE )-$C$7</f>
        <v>-7.8549999999999969</v>
      </c>
      <c r="D203" s="22">
        <f>VLOOKUP(B203,Vertices!$A$11:$J$203,8,FALSE )-$D$7</f>
        <v>63.95</v>
      </c>
      <c r="E203" s="23">
        <f>VLOOKUP(B203,Vertices!$A$11:$J$203,9,FALSE )-$E$7</f>
        <v>-13.07</v>
      </c>
      <c r="F203" s="21">
        <f>Faces!C203</f>
        <v>94</v>
      </c>
      <c r="G203" s="22">
        <f>VLOOKUP(F203,Vertices!$A$11:$J$203,7,FALSE )-$C$7</f>
        <v>-13.905000000000001</v>
      </c>
      <c r="H203" s="22">
        <f>VLOOKUP(F203,Vertices!$A$11:$J$203,8,FALSE )-$D$7</f>
        <v>54.19</v>
      </c>
      <c r="I203" s="23">
        <f>VLOOKUP(F203,Vertices!$A$11:$J$203,9,FALSE )-$E$7</f>
        <v>-11.57</v>
      </c>
      <c r="J203" s="21">
        <f>Faces!D203</f>
        <v>95</v>
      </c>
      <c r="K203" s="22">
        <f>VLOOKUP(J203,Vertices!$A$11:$J$203,7,FALSE )-$C$7</f>
        <v>-17.795000000000002</v>
      </c>
      <c r="L203" s="22">
        <f>VLOOKUP(J203,Vertices!$A$11:$J$203,8,FALSE )-$D$7</f>
        <v>44.64</v>
      </c>
      <c r="M203" s="23">
        <f>VLOOKUP(J203,Vertices!$A$11:$J$203,9,FALSE )-$E$7</f>
        <v>-19.03</v>
      </c>
      <c r="N203" s="16">
        <f t="shared" si="4"/>
        <v>700.46282666666593</v>
      </c>
      <c r="O203" s="16">
        <f t="shared" si="5"/>
        <v>700.46282666666593</v>
      </c>
    </row>
    <row r="204" spans="1:15" x14ac:dyDescent="0.25">
      <c r="A204">
        <f>Faces!A204</f>
        <v>194</v>
      </c>
      <c r="B204" s="21">
        <f>Faces!B204</f>
        <v>18</v>
      </c>
      <c r="C204" s="22">
        <f>VLOOKUP(B204,Vertices!$A$11:$J$203,7,FALSE )-$C$7</f>
        <v>-7.8549999999999969</v>
      </c>
      <c r="D204" s="22">
        <f>VLOOKUP(B204,Vertices!$A$11:$J$203,8,FALSE )-$D$7</f>
        <v>63.95</v>
      </c>
      <c r="E204" s="23">
        <f>VLOOKUP(B204,Vertices!$A$11:$J$203,9,FALSE )-$E$7</f>
        <v>-13.07</v>
      </c>
      <c r="F204" s="21">
        <f>Faces!C204</f>
        <v>95</v>
      </c>
      <c r="G204" s="22">
        <f>VLOOKUP(F204,Vertices!$A$11:$J$203,7,FALSE )-$C$7</f>
        <v>-17.795000000000002</v>
      </c>
      <c r="H204" s="22">
        <f>VLOOKUP(F204,Vertices!$A$11:$J$203,8,FALSE )-$D$7</f>
        <v>44.64</v>
      </c>
      <c r="I204" s="23">
        <f>VLOOKUP(F204,Vertices!$A$11:$J$203,9,FALSE )-$E$7</f>
        <v>-19.03</v>
      </c>
      <c r="J204" s="21">
        <f>Faces!D204</f>
        <v>24</v>
      </c>
      <c r="K204" s="22">
        <f>VLOOKUP(J204,Vertices!$A$11:$J$203,7,FALSE )-$C$7</f>
        <v>-12.424999999999997</v>
      </c>
      <c r="L204" s="22">
        <f>VLOOKUP(J204,Vertices!$A$11:$J$203,8,FALSE )-$D$7</f>
        <v>52.81</v>
      </c>
      <c r="M204" s="23">
        <f>VLOOKUP(J204,Vertices!$A$11:$J$203,9,FALSE )-$E$7</f>
        <v>-21.85</v>
      </c>
      <c r="N204" s="16">
        <f t="shared" ref="N204:N267" si="6">-1*(C204*H204*M204+D204*I204*K204+E204*G204*L204-C204*I204*L204-D204*G204*M204-E204*H204*K204)/6</f>
        <v>823.90044499999931</v>
      </c>
      <c r="O204" s="16">
        <f t="shared" ref="O204:O267" si="7">ABS(N204)</f>
        <v>823.90044499999931</v>
      </c>
    </row>
    <row r="205" spans="1:15" x14ac:dyDescent="0.25">
      <c r="A205">
        <f>Faces!A205</f>
        <v>195</v>
      </c>
      <c r="B205" s="21">
        <f>Faces!B205</f>
        <v>24</v>
      </c>
      <c r="C205" s="22">
        <f>VLOOKUP(B205,Vertices!$A$11:$J$203,7,FALSE )-$C$7</f>
        <v>-12.424999999999997</v>
      </c>
      <c r="D205" s="22">
        <f>VLOOKUP(B205,Vertices!$A$11:$J$203,8,FALSE )-$D$7</f>
        <v>52.81</v>
      </c>
      <c r="E205" s="23">
        <f>VLOOKUP(B205,Vertices!$A$11:$J$203,9,FALSE )-$E$7</f>
        <v>-21.85</v>
      </c>
      <c r="F205" s="21">
        <f>Faces!C205</f>
        <v>95</v>
      </c>
      <c r="G205" s="22">
        <f>VLOOKUP(F205,Vertices!$A$11:$J$203,7,FALSE )-$C$7</f>
        <v>-17.795000000000002</v>
      </c>
      <c r="H205" s="22">
        <f>VLOOKUP(F205,Vertices!$A$11:$J$203,8,FALSE )-$D$7</f>
        <v>44.64</v>
      </c>
      <c r="I205" s="23">
        <f>VLOOKUP(F205,Vertices!$A$11:$J$203,9,FALSE )-$E$7</f>
        <v>-19.03</v>
      </c>
      <c r="J205" s="21">
        <f>Faces!D205</f>
        <v>96</v>
      </c>
      <c r="K205" s="22">
        <f>VLOOKUP(J205,Vertices!$A$11:$J$203,7,FALSE )-$C$7</f>
        <v>-23.494999999999997</v>
      </c>
      <c r="L205" s="22">
        <f>VLOOKUP(J205,Vertices!$A$11:$J$203,8,FALSE )-$D$7</f>
        <v>29.75</v>
      </c>
      <c r="M205" s="23">
        <f>VLOOKUP(J205,Vertices!$A$11:$J$203,9,FALSE )-$E$7</f>
        <v>-29.7</v>
      </c>
      <c r="N205" s="16">
        <f t="shared" si="6"/>
        <v>1034.8678444166665</v>
      </c>
      <c r="O205" s="16">
        <f t="shared" si="7"/>
        <v>1034.8678444166665</v>
      </c>
    </row>
    <row r="206" spans="1:15" x14ac:dyDescent="0.25">
      <c r="A206">
        <f>Faces!A206</f>
        <v>196</v>
      </c>
      <c r="B206" s="21">
        <f>Faces!B206</f>
        <v>24</v>
      </c>
      <c r="C206" s="22">
        <f>VLOOKUP(B206,Vertices!$A$11:$J$203,7,FALSE )-$C$7</f>
        <v>-12.424999999999997</v>
      </c>
      <c r="D206" s="22">
        <f>VLOOKUP(B206,Vertices!$A$11:$J$203,8,FALSE )-$D$7</f>
        <v>52.81</v>
      </c>
      <c r="E206" s="23">
        <f>VLOOKUP(B206,Vertices!$A$11:$J$203,9,FALSE )-$E$7</f>
        <v>-21.85</v>
      </c>
      <c r="F206" s="21">
        <f>Faces!C206</f>
        <v>96</v>
      </c>
      <c r="G206" s="22">
        <f>VLOOKUP(F206,Vertices!$A$11:$J$203,7,FALSE )-$C$7</f>
        <v>-23.494999999999997</v>
      </c>
      <c r="H206" s="22">
        <f>VLOOKUP(F206,Vertices!$A$11:$J$203,8,FALSE )-$D$7</f>
        <v>29.75</v>
      </c>
      <c r="I206" s="23">
        <f>VLOOKUP(F206,Vertices!$A$11:$J$203,9,FALSE )-$E$7</f>
        <v>-29.7</v>
      </c>
      <c r="J206" s="21">
        <f>Faces!D206</f>
        <v>30</v>
      </c>
      <c r="K206" s="22">
        <f>VLOOKUP(J206,Vertices!$A$11:$J$203,7,FALSE )-$C$7</f>
        <v>-19.614999999999998</v>
      </c>
      <c r="L206" s="22">
        <f>VLOOKUP(J206,Vertices!$A$11:$J$203,8,FALSE )-$D$7</f>
        <v>35.11</v>
      </c>
      <c r="M206" s="23">
        <f>VLOOKUP(J206,Vertices!$A$11:$J$203,9,FALSE )-$E$7</f>
        <v>-35.020000000000003</v>
      </c>
      <c r="N206" s="16">
        <f t="shared" si="6"/>
        <v>1237.3640906666651</v>
      </c>
      <c r="O206" s="16">
        <f t="shared" si="7"/>
        <v>1237.3640906666651</v>
      </c>
    </row>
    <row r="207" spans="1:15" x14ac:dyDescent="0.25">
      <c r="A207">
        <f>Faces!A207</f>
        <v>197</v>
      </c>
      <c r="B207" s="21">
        <f>Faces!B207</f>
        <v>30</v>
      </c>
      <c r="C207" s="22">
        <f>VLOOKUP(B207,Vertices!$A$11:$J$203,7,FALSE )-$C$7</f>
        <v>-19.614999999999998</v>
      </c>
      <c r="D207" s="22">
        <f>VLOOKUP(B207,Vertices!$A$11:$J$203,8,FALSE )-$D$7</f>
        <v>35.11</v>
      </c>
      <c r="E207" s="23">
        <f>VLOOKUP(B207,Vertices!$A$11:$J$203,9,FALSE )-$E$7</f>
        <v>-35.020000000000003</v>
      </c>
      <c r="F207" s="21">
        <f>Faces!C207</f>
        <v>96</v>
      </c>
      <c r="G207" s="22">
        <f>VLOOKUP(F207,Vertices!$A$11:$J$203,7,FALSE )-$C$7</f>
        <v>-23.494999999999997</v>
      </c>
      <c r="H207" s="22">
        <f>VLOOKUP(F207,Vertices!$A$11:$J$203,8,FALSE )-$D$7</f>
        <v>29.75</v>
      </c>
      <c r="I207" s="23">
        <f>VLOOKUP(F207,Vertices!$A$11:$J$203,9,FALSE )-$E$7</f>
        <v>-29.7</v>
      </c>
      <c r="J207" s="21">
        <f>Faces!D207</f>
        <v>102</v>
      </c>
      <c r="K207" s="22">
        <f>VLOOKUP(J207,Vertices!$A$11:$J$203,7,FALSE )-$C$7</f>
        <v>-28.384999999999998</v>
      </c>
      <c r="L207" s="22">
        <f>VLOOKUP(J207,Vertices!$A$11:$J$203,8,FALSE )-$D$7</f>
        <v>16.18</v>
      </c>
      <c r="M207" s="23">
        <f>VLOOKUP(J207,Vertices!$A$11:$J$203,9,FALSE )-$E$7</f>
        <v>-38.549999999999997</v>
      </c>
      <c r="N207" s="16">
        <f t="shared" si="6"/>
        <v>898.57811633333165</v>
      </c>
      <c r="O207" s="16">
        <f t="shared" si="7"/>
        <v>898.57811633333165</v>
      </c>
    </row>
    <row r="208" spans="1:15" x14ac:dyDescent="0.25">
      <c r="A208">
        <f>Faces!A208</f>
        <v>198</v>
      </c>
      <c r="B208" s="21">
        <f>Faces!B208</f>
        <v>30</v>
      </c>
      <c r="C208" s="22">
        <f>VLOOKUP(B208,Vertices!$A$11:$J$203,7,FALSE )-$C$7</f>
        <v>-19.614999999999998</v>
      </c>
      <c r="D208" s="22">
        <f>VLOOKUP(B208,Vertices!$A$11:$J$203,8,FALSE )-$D$7</f>
        <v>35.11</v>
      </c>
      <c r="E208" s="23">
        <f>VLOOKUP(B208,Vertices!$A$11:$J$203,9,FALSE )-$E$7</f>
        <v>-35.020000000000003</v>
      </c>
      <c r="F208" s="21">
        <f>Faces!C208</f>
        <v>102</v>
      </c>
      <c r="G208" s="22">
        <f>VLOOKUP(F208,Vertices!$A$11:$J$203,7,FALSE )-$C$7</f>
        <v>-28.384999999999998</v>
      </c>
      <c r="H208" s="22">
        <f>VLOOKUP(F208,Vertices!$A$11:$J$203,8,FALSE )-$D$7</f>
        <v>16.18</v>
      </c>
      <c r="I208" s="23">
        <f>VLOOKUP(F208,Vertices!$A$11:$J$203,9,FALSE )-$E$7</f>
        <v>-38.549999999999997</v>
      </c>
      <c r="J208" s="21">
        <f>Faces!D208</f>
        <v>36</v>
      </c>
      <c r="K208" s="22">
        <f>VLOOKUP(J208,Vertices!$A$11:$J$203,7,FALSE )-$C$7</f>
        <v>-26.454999999999998</v>
      </c>
      <c r="L208" s="22">
        <f>VLOOKUP(J208,Vertices!$A$11:$J$203,8,FALSE )-$D$7</f>
        <v>20</v>
      </c>
      <c r="M208" s="23">
        <f>VLOOKUP(J208,Vertices!$A$11:$J$203,9,FALSE )-$E$7</f>
        <v>-46</v>
      </c>
      <c r="N208" s="16">
        <f t="shared" si="6"/>
        <v>945.02884341666504</v>
      </c>
      <c r="O208" s="16">
        <f t="shared" si="7"/>
        <v>945.02884341666504</v>
      </c>
    </row>
    <row r="209" spans="1:15" x14ac:dyDescent="0.25">
      <c r="A209">
        <f>Faces!A209</f>
        <v>199</v>
      </c>
      <c r="B209" s="21">
        <f>Faces!B209</f>
        <v>92</v>
      </c>
      <c r="C209" s="22">
        <f>VLOOKUP(B209,Vertices!$A$11:$J$203,7,FALSE )-$C$7</f>
        <v>-10.155000000000001</v>
      </c>
      <c r="D209" s="22">
        <f>VLOOKUP(B209,Vertices!$A$11:$J$203,8,FALSE )-$D$7</f>
        <v>63.56</v>
      </c>
      <c r="E209" s="23">
        <f>VLOOKUP(B209,Vertices!$A$11:$J$203,9,FALSE )-$E$7</f>
        <v>-3.99</v>
      </c>
      <c r="F209" s="21">
        <f>Faces!C209</f>
        <v>122</v>
      </c>
      <c r="G209" s="22">
        <f>VLOOKUP(F209,Vertices!$A$11:$J$203,7,FALSE )-$C$7</f>
        <v>-16.725000000000001</v>
      </c>
      <c r="H209" s="22">
        <f>VLOOKUP(F209,Vertices!$A$11:$J$203,8,FALSE )-$D$7</f>
        <v>52.41</v>
      </c>
      <c r="I209" s="23">
        <f>VLOOKUP(F209,Vertices!$A$11:$J$203,9,FALSE )-$E$7</f>
        <v>-3.59</v>
      </c>
      <c r="J209" s="21">
        <f>Faces!D209</f>
        <v>93</v>
      </c>
      <c r="K209" s="22">
        <f>VLOOKUP(J209,Vertices!$A$11:$J$203,7,FALSE )-$C$7</f>
        <v>-11.994999999999997</v>
      </c>
      <c r="L209" s="22">
        <f>VLOOKUP(J209,Vertices!$A$11:$J$203,8,FALSE )-$D$7</f>
        <v>58.97</v>
      </c>
      <c r="M209" s="23">
        <f>VLOOKUP(J209,Vertices!$A$11:$J$203,9,FALSE )-$E$7</f>
        <v>-7.73</v>
      </c>
      <c r="N209" s="16">
        <f t="shared" si="6"/>
        <v>348.19113333333371</v>
      </c>
      <c r="O209" s="16">
        <f t="shared" si="7"/>
        <v>348.19113333333371</v>
      </c>
    </row>
    <row r="210" spans="1:15" x14ac:dyDescent="0.25">
      <c r="A210">
        <f>Faces!A210</f>
        <v>200</v>
      </c>
      <c r="B210" s="21">
        <f>Faces!B210</f>
        <v>122</v>
      </c>
      <c r="C210" s="22">
        <f>VLOOKUP(B210,Vertices!$A$11:$J$203,7,FALSE )-$C$7</f>
        <v>-16.725000000000001</v>
      </c>
      <c r="D210" s="22">
        <f>VLOOKUP(B210,Vertices!$A$11:$J$203,8,FALSE )-$D$7</f>
        <v>52.41</v>
      </c>
      <c r="E210" s="23">
        <f>VLOOKUP(B210,Vertices!$A$11:$J$203,9,FALSE )-$E$7</f>
        <v>-3.59</v>
      </c>
      <c r="F210" s="21">
        <f>Faces!C210</f>
        <v>123</v>
      </c>
      <c r="G210" s="22">
        <f>VLOOKUP(F210,Vertices!$A$11:$J$203,7,FALSE )-$C$7</f>
        <v>-19.774999999999999</v>
      </c>
      <c r="H210" s="22">
        <f>VLOOKUP(F210,Vertices!$A$11:$J$203,8,FALSE )-$D$7</f>
        <v>44.79</v>
      </c>
      <c r="I210" s="23">
        <f>VLOOKUP(F210,Vertices!$A$11:$J$203,9,FALSE )-$E$7</f>
        <v>-9.75</v>
      </c>
      <c r="J210" s="21">
        <f>Faces!D210</f>
        <v>93</v>
      </c>
      <c r="K210" s="22">
        <f>VLOOKUP(J210,Vertices!$A$11:$J$203,7,FALSE )-$C$7</f>
        <v>-11.994999999999997</v>
      </c>
      <c r="L210" s="22">
        <f>VLOOKUP(J210,Vertices!$A$11:$J$203,8,FALSE )-$D$7</f>
        <v>58.97</v>
      </c>
      <c r="M210" s="23">
        <f>VLOOKUP(J210,Vertices!$A$11:$J$203,9,FALSE )-$E$7</f>
        <v>-7.73</v>
      </c>
      <c r="N210" s="16">
        <f t="shared" si="6"/>
        <v>574.9792936666671</v>
      </c>
      <c r="O210" s="16">
        <f t="shared" si="7"/>
        <v>574.9792936666671</v>
      </c>
    </row>
    <row r="211" spans="1:15" x14ac:dyDescent="0.25">
      <c r="A211">
        <f>Faces!A211</f>
        <v>201</v>
      </c>
      <c r="B211" s="21">
        <f>Faces!B211</f>
        <v>93</v>
      </c>
      <c r="C211" s="22">
        <f>VLOOKUP(B211,Vertices!$A$11:$J$203,7,FALSE )-$C$7</f>
        <v>-11.994999999999997</v>
      </c>
      <c r="D211" s="22">
        <f>VLOOKUP(B211,Vertices!$A$11:$J$203,8,FALSE )-$D$7</f>
        <v>58.97</v>
      </c>
      <c r="E211" s="23">
        <f>VLOOKUP(B211,Vertices!$A$11:$J$203,9,FALSE )-$E$7</f>
        <v>-7.73</v>
      </c>
      <c r="F211" s="21">
        <f>Faces!C211</f>
        <v>123</v>
      </c>
      <c r="G211" s="22">
        <f>VLOOKUP(F211,Vertices!$A$11:$J$203,7,FALSE )-$C$7</f>
        <v>-19.774999999999999</v>
      </c>
      <c r="H211" s="22">
        <f>VLOOKUP(F211,Vertices!$A$11:$J$203,8,FALSE )-$D$7</f>
        <v>44.79</v>
      </c>
      <c r="I211" s="23">
        <f>VLOOKUP(F211,Vertices!$A$11:$J$203,9,FALSE )-$E$7</f>
        <v>-9.75</v>
      </c>
      <c r="J211" s="21">
        <f>Faces!D211</f>
        <v>94</v>
      </c>
      <c r="K211" s="22">
        <f>VLOOKUP(J211,Vertices!$A$11:$J$203,7,FALSE )-$C$7</f>
        <v>-13.905000000000001</v>
      </c>
      <c r="L211" s="22">
        <f>VLOOKUP(J211,Vertices!$A$11:$J$203,8,FALSE )-$D$7</f>
        <v>54.19</v>
      </c>
      <c r="M211" s="23">
        <f>VLOOKUP(J211,Vertices!$A$11:$J$203,9,FALSE )-$E$7</f>
        <v>-11.57</v>
      </c>
      <c r="N211" s="16">
        <f t="shared" si="6"/>
        <v>358.27571166666667</v>
      </c>
      <c r="O211" s="16">
        <f t="shared" si="7"/>
        <v>358.27571166666667</v>
      </c>
    </row>
    <row r="212" spans="1:15" x14ac:dyDescent="0.25">
      <c r="A212">
        <f>Faces!A212</f>
        <v>202</v>
      </c>
      <c r="B212" s="21">
        <f>Faces!B212</f>
        <v>94</v>
      </c>
      <c r="C212" s="22">
        <f>VLOOKUP(B212,Vertices!$A$11:$J$203,7,FALSE )-$C$7</f>
        <v>-13.905000000000001</v>
      </c>
      <c r="D212" s="22">
        <f>VLOOKUP(B212,Vertices!$A$11:$J$203,8,FALSE )-$D$7</f>
        <v>54.19</v>
      </c>
      <c r="E212" s="23">
        <f>VLOOKUP(B212,Vertices!$A$11:$J$203,9,FALSE )-$E$7</f>
        <v>-11.57</v>
      </c>
      <c r="F212" s="21">
        <f>Faces!C212</f>
        <v>123</v>
      </c>
      <c r="G212" s="22">
        <f>VLOOKUP(F212,Vertices!$A$11:$J$203,7,FALSE )-$C$7</f>
        <v>-19.774999999999999</v>
      </c>
      <c r="H212" s="22">
        <f>VLOOKUP(F212,Vertices!$A$11:$J$203,8,FALSE )-$D$7</f>
        <v>44.79</v>
      </c>
      <c r="I212" s="23">
        <f>VLOOKUP(F212,Vertices!$A$11:$J$203,9,FALSE )-$E$7</f>
        <v>-9.75</v>
      </c>
      <c r="J212" s="21">
        <f>Faces!D212</f>
        <v>124</v>
      </c>
      <c r="K212" s="22">
        <f>VLOOKUP(J212,Vertices!$A$11:$J$203,7,FALSE )-$C$7</f>
        <v>-22.914999999999999</v>
      </c>
      <c r="L212" s="22">
        <f>VLOOKUP(J212,Vertices!$A$11:$J$203,8,FALSE )-$D$7</f>
        <v>36.979999999999997</v>
      </c>
      <c r="M212" s="23">
        <f>VLOOKUP(J212,Vertices!$A$11:$J$203,9,FALSE )-$E$7</f>
        <v>-15.54</v>
      </c>
      <c r="N212" s="16">
        <f t="shared" si="6"/>
        <v>549.13697316666583</v>
      </c>
      <c r="O212" s="16">
        <f t="shared" si="7"/>
        <v>549.13697316666583</v>
      </c>
    </row>
    <row r="213" spans="1:15" x14ac:dyDescent="0.25">
      <c r="A213">
        <f>Faces!A213</f>
        <v>203</v>
      </c>
      <c r="B213" s="21">
        <f>Faces!B213</f>
        <v>94</v>
      </c>
      <c r="C213" s="22">
        <f>VLOOKUP(B213,Vertices!$A$11:$J$203,7,FALSE )-$C$7</f>
        <v>-13.905000000000001</v>
      </c>
      <c r="D213" s="22">
        <f>VLOOKUP(B213,Vertices!$A$11:$J$203,8,FALSE )-$D$7</f>
        <v>54.19</v>
      </c>
      <c r="E213" s="23">
        <f>VLOOKUP(B213,Vertices!$A$11:$J$203,9,FALSE )-$E$7</f>
        <v>-11.57</v>
      </c>
      <c r="F213" s="21">
        <f>Faces!C213</f>
        <v>124</v>
      </c>
      <c r="G213" s="22">
        <f>VLOOKUP(F213,Vertices!$A$11:$J$203,7,FALSE )-$C$7</f>
        <v>-22.914999999999999</v>
      </c>
      <c r="H213" s="22">
        <f>VLOOKUP(F213,Vertices!$A$11:$J$203,8,FALSE )-$D$7</f>
        <v>36.979999999999997</v>
      </c>
      <c r="I213" s="23">
        <f>VLOOKUP(F213,Vertices!$A$11:$J$203,9,FALSE )-$E$7</f>
        <v>-15.54</v>
      </c>
      <c r="J213" s="21">
        <f>Faces!D213</f>
        <v>95</v>
      </c>
      <c r="K213" s="22">
        <f>VLOOKUP(J213,Vertices!$A$11:$J$203,7,FALSE )-$C$7</f>
        <v>-17.795000000000002</v>
      </c>
      <c r="L213" s="22">
        <f>VLOOKUP(J213,Vertices!$A$11:$J$203,8,FALSE )-$D$7</f>
        <v>44.64</v>
      </c>
      <c r="M213" s="23">
        <f>VLOOKUP(J213,Vertices!$A$11:$J$203,9,FALSE )-$E$7</f>
        <v>-19.03</v>
      </c>
      <c r="N213" s="16">
        <f t="shared" si="6"/>
        <v>714.08100074999936</v>
      </c>
      <c r="O213" s="16">
        <f t="shared" si="7"/>
        <v>714.08100074999936</v>
      </c>
    </row>
    <row r="214" spans="1:15" x14ac:dyDescent="0.25">
      <c r="A214">
        <f>Faces!A214</f>
        <v>204</v>
      </c>
      <c r="B214" s="21">
        <f>Faces!B214</f>
        <v>95</v>
      </c>
      <c r="C214" s="22">
        <f>VLOOKUP(B214,Vertices!$A$11:$J$203,7,FALSE )-$C$7</f>
        <v>-17.795000000000002</v>
      </c>
      <c r="D214" s="22">
        <f>VLOOKUP(B214,Vertices!$A$11:$J$203,8,FALSE )-$D$7</f>
        <v>44.64</v>
      </c>
      <c r="E214" s="23">
        <f>VLOOKUP(B214,Vertices!$A$11:$J$203,9,FALSE )-$E$7</f>
        <v>-19.03</v>
      </c>
      <c r="F214" s="21">
        <f>Faces!C214</f>
        <v>124</v>
      </c>
      <c r="G214" s="22">
        <f>VLOOKUP(F214,Vertices!$A$11:$J$203,7,FALSE )-$C$7</f>
        <v>-22.914999999999999</v>
      </c>
      <c r="H214" s="22">
        <f>VLOOKUP(F214,Vertices!$A$11:$J$203,8,FALSE )-$D$7</f>
        <v>36.979999999999997</v>
      </c>
      <c r="I214" s="23">
        <f>VLOOKUP(F214,Vertices!$A$11:$J$203,9,FALSE )-$E$7</f>
        <v>-15.54</v>
      </c>
      <c r="J214" s="21">
        <f>Faces!D214</f>
        <v>125</v>
      </c>
      <c r="K214" s="22">
        <f>VLOOKUP(J214,Vertices!$A$11:$J$203,7,FALSE )-$C$7</f>
        <v>-27.434999999999999</v>
      </c>
      <c r="L214" s="22">
        <f>VLOOKUP(J214,Vertices!$A$11:$J$203,8,FALSE )-$D$7</f>
        <v>24.6</v>
      </c>
      <c r="M214" s="23">
        <f>VLOOKUP(J214,Vertices!$A$11:$J$203,9,FALSE )-$E$7</f>
        <v>-24.3</v>
      </c>
      <c r="N214" s="16">
        <f t="shared" si="6"/>
        <v>869.43673549999892</v>
      </c>
      <c r="O214" s="16">
        <f t="shared" si="7"/>
        <v>869.43673549999892</v>
      </c>
    </row>
    <row r="215" spans="1:15" x14ac:dyDescent="0.25">
      <c r="A215">
        <f>Faces!A215</f>
        <v>205</v>
      </c>
      <c r="B215" s="21">
        <f>Faces!B215</f>
        <v>95</v>
      </c>
      <c r="C215" s="22">
        <f>VLOOKUP(B215,Vertices!$A$11:$J$203,7,FALSE )-$C$7</f>
        <v>-17.795000000000002</v>
      </c>
      <c r="D215" s="22">
        <f>VLOOKUP(B215,Vertices!$A$11:$J$203,8,FALSE )-$D$7</f>
        <v>44.64</v>
      </c>
      <c r="E215" s="23">
        <f>VLOOKUP(B215,Vertices!$A$11:$J$203,9,FALSE )-$E$7</f>
        <v>-19.03</v>
      </c>
      <c r="F215" s="21">
        <f>Faces!C215</f>
        <v>125</v>
      </c>
      <c r="G215" s="22">
        <f>VLOOKUP(F215,Vertices!$A$11:$J$203,7,FALSE )-$C$7</f>
        <v>-27.434999999999999</v>
      </c>
      <c r="H215" s="22">
        <f>VLOOKUP(F215,Vertices!$A$11:$J$203,8,FALSE )-$D$7</f>
        <v>24.6</v>
      </c>
      <c r="I215" s="23">
        <f>VLOOKUP(F215,Vertices!$A$11:$J$203,9,FALSE )-$E$7</f>
        <v>-24.3</v>
      </c>
      <c r="J215" s="21">
        <f>Faces!D215</f>
        <v>96</v>
      </c>
      <c r="K215" s="22">
        <f>VLOOKUP(J215,Vertices!$A$11:$J$203,7,FALSE )-$C$7</f>
        <v>-23.494999999999997</v>
      </c>
      <c r="L215" s="22">
        <f>VLOOKUP(J215,Vertices!$A$11:$J$203,8,FALSE )-$D$7</f>
        <v>29.75</v>
      </c>
      <c r="M215" s="23">
        <f>VLOOKUP(J215,Vertices!$A$11:$J$203,9,FALSE )-$E$7</f>
        <v>-29.7</v>
      </c>
      <c r="N215" s="16">
        <f t="shared" si="6"/>
        <v>1036.1907562499998</v>
      </c>
      <c r="O215" s="16">
        <f t="shared" si="7"/>
        <v>1036.1907562499998</v>
      </c>
    </row>
    <row r="216" spans="1:15" x14ac:dyDescent="0.25">
      <c r="A216">
        <f>Faces!A216</f>
        <v>206</v>
      </c>
      <c r="B216" s="21">
        <f>Faces!B216</f>
        <v>96</v>
      </c>
      <c r="C216" s="22">
        <f>VLOOKUP(B216,Vertices!$A$11:$J$203,7,FALSE )-$C$7</f>
        <v>-23.494999999999997</v>
      </c>
      <c r="D216" s="22">
        <f>VLOOKUP(B216,Vertices!$A$11:$J$203,8,FALSE )-$D$7</f>
        <v>29.75</v>
      </c>
      <c r="E216" s="23">
        <f>VLOOKUP(B216,Vertices!$A$11:$J$203,9,FALSE )-$E$7</f>
        <v>-29.7</v>
      </c>
      <c r="F216" s="21">
        <f>Faces!C216</f>
        <v>125</v>
      </c>
      <c r="G216" s="22">
        <f>VLOOKUP(F216,Vertices!$A$11:$J$203,7,FALSE )-$C$7</f>
        <v>-27.434999999999999</v>
      </c>
      <c r="H216" s="22">
        <f>VLOOKUP(F216,Vertices!$A$11:$J$203,8,FALSE )-$D$7</f>
        <v>24.6</v>
      </c>
      <c r="I216" s="23">
        <f>VLOOKUP(F216,Vertices!$A$11:$J$203,9,FALSE )-$E$7</f>
        <v>-24.3</v>
      </c>
      <c r="J216" s="21">
        <f>Faces!D216</f>
        <v>130</v>
      </c>
      <c r="K216" s="22">
        <f>VLOOKUP(J216,Vertices!$A$11:$J$203,7,FALSE )-$C$7</f>
        <v>-31.125</v>
      </c>
      <c r="L216" s="22">
        <f>VLOOKUP(J216,Vertices!$A$11:$J$203,8,FALSE )-$D$7</f>
        <v>13.31</v>
      </c>
      <c r="M216" s="23">
        <f>VLOOKUP(J216,Vertices!$A$11:$J$203,9,FALSE )-$E$7</f>
        <v>-31.27</v>
      </c>
      <c r="N216" s="16">
        <f t="shared" si="6"/>
        <v>740.37954375000118</v>
      </c>
      <c r="O216" s="16">
        <f t="shared" si="7"/>
        <v>740.37954375000118</v>
      </c>
    </row>
    <row r="217" spans="1:15" x14ac:dyDescent="0.25">
      <c r="A217">
        <f>Faces!A217</f>
        <v>207</v>
      </c>
      <c r="B217" s="21">
        <f>Faces!B217</f>
        <v>96</v>
      </c>
      <c r="C217" s="22">
        <f>VLOOKUP(B217,Vertices!$A$11:$J$203,7,FALSE )-$C$7</f>
        <v>-23.494999999999997</v>
      </c>
      <c r="D217" s="22">
        <f>VLOOKUP(B217,Vertices!$A$11:$J$203,8,FALSE )-$D$7</f>
        <v>29.75</v>
      </c>
      <c r="E217" s="23">
        <f>VLOOKUP(B217,Vertices!$A$11:$J$203,9,FALSE )-$E$7</f>
        <v>-29.7</v>
      </c>
      <c r="F217" s="21">
        <f>Faces!C217</f>
        <v>130</v>
      </c>
      <c r="G217" s="22">
        <f>VLOOKUP(F217,Vertices!$A$11:$J$203,7,FALSE )-$C$7</f>
        <v>-31.125</v>
      </c>
      <c r="H217" s="22">
        <f>VLOOKUP(F217,Vertices!$A$11:$J$203,8,FALSE )-$D$7</f>
        <v>13.31</v>
      </c>
      <c r="I217" s="23">
        <f>VLOOKUP(F217,Vertices!$A$11:$J$203,9,FALSE )-$E$7</f>
        <v>-31.27</v>
      </c>
      <c r="J217" s="21">
        <f>Faces!D217</f>
        <v>102</v>
      </c>
      <c r="K217" s="22">
        <f>VLOOKUP(J217,Vertices!$A$11:$J$203,7,FALSE )-$C$7</f>
        <v>-28.384999999999998</v>
      </c>
      <c r="L217" s="22">
        <f>VLOOKUP(J217,Vertices!$A$11:$J$203,8,FALSE )-$D$7</f>
        <v>16.18</v>
      </c>
      <c r="M217" s="23">
        <f>VLOOKUP(J217,Vertices!$A$11:$J$203,9,FALSE )-$E$7</f>
        <v>-38.549999999999997</v>
      </c>
      <c r="N217" s="16">
        <f t="shared" si="6"/>
        <v>897.63126741666599</v>
      </c>
      <c r="O217" s="16">
        <f t="shared" si="7"/>
        <v>897.63126741666599</v>
      </c>
    </row>
    <row r="218" spans="1:15" x14ac:dyDescent="0.25">
      <c r="A218">
        <f>Faces!A218</f>
        <v>208</v>
      </c>
      <c r="B218" s="21">
        <f>Faces!B218</f>
        <v>122</v>
      </c>
      <c r="C218" s="22">
        <f>VLOOKUP(B218,Vertices!$A$11:$J$203,7,FALSE )-$C$7</f>
        <v>-16.725000000000001</v>
      </c>
      <c r="D218" s="22">
        <f>VLOOKUP(B218,Vertices!$A$11:$J$203,8,FALSE )-$D$7</f>
        <v>52.41</v>
      </c>
      <c r="E218" s="23">
        <f>VLOOKUP(B218,Vertices!$A$11:$J$203,9,FALSE )-$E$7</f>
        <v>-3.59</v>
      </c>
      <c r="F218" s="21">
        <f>Faces!C218</f>
        <v>146</v>
      </c>
      <c r="G218" s="22">
        <f>VLOOKUP(F218,Vertices!$A$11:$J$203,7,FALSE )-$C$7</f>
        <v>-23.754999999999999</v>
      </c>
      <c r="H218" s="22">
        <f>VLOOKUP(F218,Vertices!$A$11:$J$203,8,FALSE )-$D$7</f>
        <v>41.31</v>
      </c>
      <c r="I218" s="23">
        <f>VLOOKUP(F218,Vertices!$A$11:$J$203,9,FALSE )-$E$7</f>
        <v>-2.4700000000000002</v>
      </c>
      <c r="J218" s="21">
        <f>Faces!D218</f>
        <v>147</v>
      </c>
      <c r="K218" s="22">
        <f>VLOOKUP(J218,Vertices!$A$11:$J$203,7,FALSE )-$C$7</f>
        <v>-26.044999999999998</v>
      </c>
      <c r="L218" s="22">
        <f>VLOOKUP(J218,Vertices!$A$11:$J$203,8,FALSE )-$D$7</f>
        <v>35.380000000000003</v>
      </c>
      <c r="M218" s="23">
        <f>VLOOKUP(J218,Vertices!$A$11:$J$203,9,FALSE )-$E$7</f>
        <v>-7.21</v>
      </c>
      <c r="N218" s="16">
        <f t="shared" si="6"/>
        <v>488.38215516666651</v>
      </c>
      <c r="O218" s="16">
        <f t="shared" si="7"/>
        <v>488.38215516666651</v>
      </c>
    </row>
    <row r="219" spans="1:15" x14ac:dyDescent="0.25">
      <c r="A219">
        <f>Faces!A219</f>
        <v>209</v>
      </c>
      <c r="B219" s="21">
        <f>Faces!B219</f>
        <v>122</v>
      </c>
      <c r="C219" s="22">
        <f>VLOOKUP(B219,Vertices!$A$11:$J$203,7,FALSE )-$C$7</f>
        <v>-16.725000000000001</v>
      </c>
      <c r="D219" s="22">
        <f>VLOOKUP(B219,Vertices!$A$11:$J$203,8,FALSE )-$D$7</f>
        <v>52.41</v>
      </c>
      <c r="E219" s="23">
        <f>VLOOKUP(B219,Vertices!$A$11:$J$203,9,FALSE )-$E$7</f>
        <v>-3.59</v>
      </c>
      <c r="F219" s="21">
        <f>Faces!C219</f>
        <v>147</v>
      </c>
      <c r="G219" s="22">
        <f>VLOOKUP(F219,Vertices!$A$11:$J$203,7,FALSE )-$C$7</f>
        <v>-26.044999999999998</v>
      </c>
      <c r="H219" s="22">
        <f>VLOOKUP(F219,Vertices!$A$11:$J$203,8,FALSE )-$D$7</f>
        <v>35.380000000000003</v>
      </c>
      <c r="I219" s="23">
        <f>VLOOKUP(F219,Vertices!$A$11:$J$203,9,FALSE )-$E$7</f>
        <v>-7.21</v>
      </c>
      <c r="J219" s="21">
        <f>Faces!D219</f>
        <v>123</v>
      </c>
      <c r="K219" s="22">
        <f>VLOOKUP(J219,Vertices!$A$11:$J$203,7,FALSE )-$C$7</f>
        <v>-19.774999999999999</v>
      </c>
      <c r="L219" s="22">
        <f>VLOOKUP(J219,Vertices!$A$11:$J$203,8,FALSE )-$D$7</f>
        <v>44.79</v>
      </c>
      <c r="M219" s="23">
        <f>VLOOKUP(J219,Vertices!$A$11:$J$203,9,FALSE )-$E$7</f>
        <v>-9.75</v>
      </c>
      <c r="N219" s="16">
        <f t="shared" si="6"/>
        <v>631.98865716666637</v>
      </c>
      <c r="O219" s="16">
        <f t="shared" si="7"/>
        <v>631.98865716666637</v>
      </c>
    </row>
    <row r="220" spans="1:15" x14ac:dyDescent="0.25">
      <c r="A220">
        <f>Faces!A220</f>
        <v>210</v>
      </c>
      <c r="B220" s="21">
        <f>Faces!B220</f>
        <v>123</v>
      </c>
      <c r="C220" s="22">
        <f>VLOOKUP(B220,Vertices!$A$11:$J$203,7,FALSE )-$C$7</f>
        <v>-19.774999999999999</v>
      </c>
      <c r="D220" s="22">
        <f>VLOOKUP(B220,Vertices!$A$11:$J$203,8,FALSE )-$D$7</f>
        <v>44.79</v>
      </c>
      <c r="E220" s="23">
        <f>VLOOKUP(B220,Vertices!$A$11:$J$203,9,FALSE )-$E$7</f>
        <v>-9.75</v>
      </c>
      <c r="F220" s="21">
        <f>Faces!C220</f>
        <v>147</v>
      </c>
      <c r="G220" s="22">
        <f>VLOOKUP(F220,Vertices!$A$11:$J$203,7,FALSE )-$C$7</f>
        <v>-26.044999999999998</v>
      </c>
      <c r="H220" s="22">
        <f>VLOOKUP(F220,Vertices!$A$11:$J$203,8,FALSE )-$D$7</f>
        <v>35.380000000000003</v>
      </c>
      <c r="I220" s="23">
        <f>VLOOKUP(F220,Vertices!$A$11:$J$203,9,FALSE )-$E$7</f>
        <v>-7.21</v>
      </c>
      <c r="J220" s="21">
        <f>Faces!D220</f>
        <v>148</v>
      </c>
      <c r="K220" s="22">
        <f>VLOOKUP(J220,Vertices!$A$11:$J$203,7,FALSE )-$C$7</f>
        <v>-28.284999999999997</v>
      </c>
      <c r="L220" s="22">
        <f>VLOOKUP(J220,Vertices!$A$11:$J$203,8,FALSE )-$D$7</f>
        <v>29.32</v>
      </c>
      <c r="M220" s="23">
        <f>VLOOKUP(J220,Vertices!$A$11:$J$203,9,FALSE )-$E$7</f>
        <v>-11.7</v>
      </c>
      <c r="N220" s="16">
        <f t="shared" si="6"/>
        <v>470.10391808333287</v>
      </c>
      <c r="O220" s="16">
        <f t="shared" si="7"/>
        <v>470.10391808333287</v>
      </c>
    </row>
    <row r="221" spans="1:15" x14ac:dyDescent="0.25">
      <c r="A221">
        <f>Faces!A221</f>
        <v>211</v>
      </c>
      <c r="B221" s="21">
        <f>Faces!B221</f>
        <v>123</v>
      </c>
      <c r="C221" s="22">
        <f>VLOOKUP(B221,Vertices!$A$11:$J$203,7,FALSE )-$C$7</f>
        <v>-19.774999999999999</v>
      </c>
      <c r="D221" s="22">
        <f>VLOOKUP(B221,Vertices!$A$11:$J$203,8,FALSE )-$D$7</f>
        <v>44.79</v>
      </c>
      <c r="E221" s="23">
        <f>VLOOKUP(B221,Vertices!$A$11:$J$203,9,FALSE )-$E$7</f>
        <v>-9.75</v>
      </c>
      <c r="F221" s="21">
        <f>Faces!C221</f>
        <v>148</v>
      </c>
      <c r="G221" s="22">
        <f>VLOOKUP(F221,Vertices!$A$11:$J$203,7,FALSE )-$C$7</f>
        <v>-28.284999999999997</v>
      </c>
      <c r="H221" s="22">
        <f>VLOOKUP(F221,Vertices!$A$11:$J$203,8,FALSE )-$D$7</f>
        <v>29.32</v>
      </c>
      <c r="I221" s="23">
        <f>VLOOKUP(F221,Vertices!$A$11:$J$203,9,FALSE )-$E$7</f>
        <v>-11.7</v>
      </c>
      <c r="J221" s="21">
        <f>Faces!D221</f>
        <v>124</v>
      </c>
      <c r="K221" s="22">
        <f>VLOOKUP(J221,Vertices!$A$11:$J$203,7,FALSE )-$C$7</f>
        <v>-22.914999999999999</v>
      </c>
      <c r="L221" s="22">
        <f>VLOOKUP(J221,Vertices!$A$11:$J$203,8,FALSE )-$D$7</f>
        <v>36.979999999999997</v>
      </c>
      <c r="M221" s="23">
        <f>VLOOKUP(J221,Vertices!$A$11:$J$203,9,FALSE )-$E$7</f>
        <v>-15.54</v>
      </c>
      <c r="N221" s="16">
        <f t="shared" si="6"/>
        <v>596.19904850000023</v>
      </c>
      <c r="O221" s="16">
        <f t="shared" si="7"/>
        <v>596.19904850000023</v>
      </c>
    </row>
    <row r="222" spans="1:15" x14ac:dyDescent="0.25">
      <c r="A222">
        <f>Faces!A222</f>
        <v>212</v>
      </c>
      <c r="B222" s="21">
        <f>Faces!B222</f>
        <v>124</v>
      </c>
      <c r="C222" s="22">
        <f>VLOOKUP(B222,Vertices!$A$11:$J$203,7,FALSE )-$C$7</f>
        <v>-22.914999999999999</v>
      </c>
      <c r="D222" s="22">
        <f>VLOOKUP(B222,Vertices!$A$11:$J$203,8,FALSE )-$D$7</f>
        <v>36.979999999999997</v>
      </c>
      <c r="E222" s="23">
        <f>VLOOKUP(B222,Vertices!$A$11:$J$203,9,FALSE )-$E$7</f>
        <v>-15.54</v>
      </c>
      <c r="F222" s="21">
        <f>Faces!C222</f>
        <v>148</v>
      </c>
      <c r="G222" s="22">
        <f>VLOOKUP(F222,Vertices!$A$11:$J$203,7,FALSE )-$C$7</f>
        <v>-28.284999999999997</v>
      </c>
      <c r="H222" s="22">
        <f>VLOOKUP(F222,Vertices!$A$11:$J$203,8,FALSE )-$D$7</f>
        <v>29.32</v>
      </c>
      <c r="I222" s="23">
        <f>VLOOKUP(F222,Vertices!$A$11:$J$203,9,FALSE )-$E$7</f>
        <v>-11.7</v>
      </c>
      <c r="J222" s="21">
        <f>Faces!D222</f>
        <v>149</v>
      </c>
      <c r="K222" s="22">
        <f>VLOOKUP(J222,Vertices!$A$11:$J$203,7,FALSE )-$C$7</f>
        <v>-31.634999999999998</v>
      </c>
      <c r="L222" s="22">
        <f>VLOOKUP(J222,Vertices!$A$11:$J$203,8,FALSE )-$D$7</f>
        <v>19.559999999999999</v>
      </c>
      <c r="M222" s="23">
        <f>VLOOKUP(J222,Vertices!$A$11:$J$203,9,FALSE )-$E$7</f>
        <v>-18.55</v>
      </c>
      <c r="N222" s="16">
        <f t="shared" si="6"/>
        <v>718.81502316666626</v>
      </c>
      <c r="O222" s="16">
        <f t="shared" si="7"/>
        <v>718.81502316666626</v>
      </c>
    </row>
    <row r="223" spans="1:15" x14ac:dyDescent="0.25">
      <c r="A223">
        <f>Faces!A223</f>
        <v>213</v>
      </c>
      <c r="B223" s="21">
        <f>Faces!B223</f>
        <v>124</v>
      </c>
      <c r="C223" s="22">
        <f>VLOOKUP(B223,Vertices!$A$11:$J$203,7,FALSE )-$C$7</f>
        <v>-22.914999999999999</v>
      </c>
      <c r="D223" s="22">
        <f>VLOOKUP(B223,Vertices!$A$11:$J$203,8,FALSE )-$D$7</f>
        <v>36.979999999999997</v>
      </c>
      <c r="E223" s="23">
        <f>VLOOKUP(B223,Vertices!$A$11:$J$203,9,FALSE )-$E$7</f>
        <v>-15.54</v>
      </c>
      <c r="F223" s="21">
        <f>Faces!C223</f>
        <v>149</v>
      </c>
      <c r="G223" s="22">
        <f>VLOOKUP(F223,Vertices!$A$11:$J$203,7,FALSE )-$C$7</f>
        <v>-31.634999999999998</v>
      </c>
      <c r="H223" s="22">
        <f>VLOOKUP(F223,Vertices!$A$11:$J$203,8,FALSE )-$D$7</f>
        <v>19.559999999999999</v>
      </c>
      <c r="I223" s="23">
        <f>VLOOKUP(F223,Vertices!$A$11:$J$203,9,FALSE )-$E$7</f>
        <v>-18.55</v>
      </c>
      <c r="J223" s="21">
        <f>Faces!D223</f>
        <v>125</v>
      </c>
      <c r="K223" s="22">
        <f>VLOOKUP(J223,Vertices!$A$11:$J$203,7,FALSE )-$C$7</f>
        <v>-27.434999999999999</v>
      </c>
      <c r="L223" s="22">
        <f>VLOOKUP(J223,Vertices!$A$11:$J$203,8,FALSE )-$D$7</f>
        <v>24.6</v>
      </c>
      <c r="M223" s="23">
        <f>VLOOKUP(J223,Vertices!$A$11:$J$203,9,FALSE )-$E$7</f>
        <v>-24.3</v>
      </c>
      <c r="N223" s="16">
        <f t="shared" si="6"/>
        <v>903.09887649999928</v>
      </c>
      <c r="O223" s="16">
        <f t="shared" si="7"/>
        <v>903.09887649999928</v>
      </c>
    </row>
    <row r="224" spans="1:15" x14ac:dyDescent="0.25">
      <c r="A224">
        <f>Faces!A224</f>
        <v>214</v>
      </c>
      <c r="B224" s="21">
        <f>Faces!B224</f>
        <v>125</v>
      </c>
      <c r="C224" s="22">
        <f>VLOOKUP(B224,Vertices!$A$11:$J$203,7,FALSE )-$C$7</f>
        <v>-27.434999999999999</v>
      </c>
      <c r="D224" s="22">
        <f>VLOOKUP(B224,Vertices!$A$11:$J$203,8,FALSE )-$D$7</f>
        <v>24.6</v>
      </c>
      <c r="E224" s="23">
        <f>VLOOKUP(B224,Vertices!$A$11:$J$203,9,FALSE )-$E$7</f>
        <v>-24.3</v>
      </c>
      <c r="F224" s="21">
        <f>Faces!C224</f>
        <v>149</v>
      </c>
      <c r="G224" s="22">
        <f>VLOOKUP(F224,Vertices!$A$11:$J$203,7,FALSE )-$C$7</f>
        <v>-31.634999999999998</v>
      </c>
      <c r="H224" s="22">
        <f>VLOOKUP(F224,Vertices!$A$11:$J$203,8,FALSE )-$D$7</f>
        <v>19.559999999999999</v>
      </c>
      <c r="I224" s="23">
        <f>VLOOKUP(F224,Vertices!$A$11:$J$203,9,FALSE )-$E$7</f>
        <v>-18.55</v>
      </c>
      <c r="J224" s="21">
        <f>Faces!D224</f>
        <v>154</v>
      </c>
      <c r="K224" s="22">
        <f>VLOOKUP(J224,Vertices!$A$11:$J$203,7,FALSE )-$C$7</f>
        <v>-34.265000000000001</v>
      </c>
      <c r="L224" s="22">
        <f>VLOOKUP(J224,Vertices!$A$11:$J$203,8,FALSE )-$D$7</f>
        <v>10.82</v>
      </c>
      <c r="M224" s="23">
        <f>VLOOKUP(J224,Vertices!$A$11:$J$203,9,FALSE )-$E$7</f>
        <v>-23.85</v>
      </c>
      <c r="N224" s="16">
        <f t="shared" si="6"/>
        <v>600.18369749999965</v>
      </c>
      <c r="O224" s="16">
        <f t="shared" si="7"/>
        <v>600.18369749999965</v>
      </c>
    </row>
    <row r="225" spans="1:15" x14ac:dyDescent="0.25">
      <c r="A225">
        <f>Faces!A225</f>
        <v>215</v>
      </c>
      <c r="B225" s="21">
        <f>Faces!B225</f>
        <v>125</v>
      </c>
      <c r="C225" s="22">
        <f>VLOOKUP(B225,Vertices!$A$11:$J$203,7,FALSE )-$C$7</f>
        <v>-27.434999999999999</v>
      </c>
      <c r="D225" s="22">
        <f>VLOOKUP(B225,Vertices!$A$11:$J$203,8,FALSE )-$D$7</f>
        <v>24.6</v>
      </c>
      <c r="E225" s="23">
        <f>VLOOKUP(B225,Vertices!$A$11:$J$203,9,FALSE )-$E$7</f>
        <v>-24.3</v>
      </c>
      <c r="F225" s="21">
        <f>Faces!C225</f>
        <v>154</v>
      </c>
      <c r="G225" s="22">
        <f>VLOOKUP(F225,Vertices!$A$11:$J$203,7,FALSE )-$C$7</f>
        <v>-34.265000000000001</v>
      </c>
      <c r="H225" s="22">
        <f>VLOOKUP(F225,Vertices!$A$11:$J$203,8,FALSE )-$D$7</f>
        <v>10.82</v>
      </c>
      <c r="I225" s="23">
        <f>VLOOKUP(F225,Vertices!$A$11:$J$203,9,FALSE )-$E$7</f>
        <v>-23.85</v>
      </c>
      <c r="J225" s="21">
        <f>Faces!D225</f>
        <v>130</v>
      </c>
      <c r="K225" s="22">
        <f>VLOOKUP(J225,Vertices!$A$11:$J$203,7,FALSE )-$C$7</f>
        <v>-31.125</v>
      </c>
      <c r="L225" s="22">
        <f>VLOOKUP(J225,Vertices!$A$11:$J$203,8,FALSE )-$D$7</f>
        <v>13.31</v>
      </c>
      <c r="M225" s="23">
        <f>VLOOKUP(J225,Vertices!$A$11:$J$203,9,FALSE )-$E$7</f>
        <v>-31.27</v>
      </c>
      <c r="N225" s="16">
        <f t="shared" si="6"/>
        <v>770.75574974999972</v>
      </c>
      <c r="O225" s="16">
        <f t="shared" si="7"/>
        <v>770.75574974999972</v>
      </c>
    </row>
    <row r="226" spans="1:15" x14ac:dyDescent="0.25">
      <c r="A226">
        <f>Faces!A226</f>
        <v>216</v>
      </c>
      <c r="B226" s="21">
        <f>Faces!B226</f>
        <v>146</v>
      </c>
      <c r="C226" s="22">
        <f>VLOOKUP(B226,Vertices!$A$11:$J$203,7,FALSE )-$C$7</f>
        <v>-23.754999999999999</v>
      </c>
      <c r="D226" s="22">
        <f>VLOOKUP(B226,Vertices!$A$11:$J$203,8,FALSE )-$D$7</f>
        <v>41.31</v>
      </c>
      <c r="E226" s="23">
        <f>VLOOKUP(B226,Vertices!$A$11:$J$203,9,FALSE )-$E$7</f>
        <v>-2.4700000000000002</v>
      </c>
      <c r="F226" s="21">
        <f>Faces!C226</f>
        <v>170</v>
      </c>
      <c r="G226" s="22">
        <f>VLOOKUP(F226,Vertices!$A$11:$J$203,7,FALSE )-$C$7</f>
        <v>-32.155000000000001</v>
      </c>
      <c r="H226" s="22">
        <f>VLOOKUP(F226,Vertices!$A$11:$J$203,8,FALSE )-$D$7</f>
        <v>28.12</v>
      </c>
      <c r="I226" s="23">
        <f>VLOOKUP(F226,Vertices!$A$11:$J$203,9,FALSE )-$E$7</f>
        <v>-0.32</v>
      </c>
      <c r="J226" s="21">
        <f>Faces!D226</f>
        <v>147</v>
      </c>
      <c r="K226" s="22">
        <f>VLOOKUP(J226,Vertices!$A$11:$J$203,7,FALSE )-$C$7</f>
        <v>-26.044999999999998</v>
      </c>
      <c r="L226" s="22">
        <f>VLOOKUP(J226,Vertices!$A$11:$J$203,8,FALSE )-$D$7</f>
        <v>35.380000000000003</v>
      </c>
      <c r="M226" s="23">
        <f>VLOOKUP(J226,Vertices!$A$11:$J$203,9,FALSE )-$E$7</f>
        <v>-7.21</v>
      </c>
      <c r="N226" s="16">
        <f t="shared" si="6"/>
        <v>614.10983558333362</v>
      </c>
      <c r="O226" s="16">
        <f t="shared" si="7"/>
        <v>614.10983558333362</v>
      </c>
    </row>
    <row r="227" spans="1:15" x14ac:dyDescent="0.25">
      <c r="A227">
        <f>Faces!A227</f>
        <v>217</v>
      </c>
      <c r="B227" s="21">
        <f>Faces!B227</f>
        <v>147</v>
      </c>
      <c r="C227" s="22">
        <f>VLOOKUP(B227,Vertices!$A$11:$J$203,7,FALSE )-$C$7</f>
        <v>-26.044999999999998</v>
      </c>
      <c r="D227" s="22">
        <f>VLOOKUP(B227,Vertices!$A$11:$J$203,8,FALSE )-$D$7</f>
        <v>35.380000000000003</v>
      </c>
      <c r="E227" s="23">
        <f>VLOOKUP(B227,Vertices!$A$11:$J$203,9,FALSE )-$E$7</f>
        <v>-7.21</v>
      </c>
      <c r="F227" s="21">
        <f>Faces!C227</f>
        <v>170</v>
      </c>
      <c r="G227" s="22">
        <f>VLOOKUP(F227,Vertices!$A$11:$J$203,7,FALSE )-$C$7</f>
        <v>-32.155000000000001</v>
      </c>
      <c r="H227" s="22">
        <f>VLOOKUP(F227,Vertices!$A$11:$J$203,8,FALSE )-$D$7</f>
        <v>28.12</v>
      </c>
      <c r="I227" s="23">
        <f>VLOOKUP(F227,Vertices!$A$11:$J$203,9,FALSE )-$E$7</f>
        <v>-0.32</v>
      </c>
      <c r="J227" s="21">
        <f>Faces!D227</f>
        <v>171</v>
      </c>
      <c r="K227" s="22">
        <f>VLOOKUP(J227,Vertices!$A$11:$J$203,7,FALSE )-$C$7</f>
        <v>-34.805</v>
      </c>
      <c r="L227" s="22">
        <f>VLOOKUP(J227,Vertices!$A$11:$J$203,8,FALSE )-$D$7</f>
        <v>21.02</v>
      </c>
      <c r="M227" s="23">
        <f>VLOOKUP(J227,Vertices!$A$11:$J$203,9,FALSE )-$E$7</f>
        <v>-6.3</v>
      </c>
      <c r="N227" s="16">
        <f t="shared" si="6"/>
        <v>752.93178916666693</v>
      </c>
      <c r="O227" s="16">
        <f t="shared" si="7"/>
        <v>752.93178916666693</v>
      </c>
    </row>
    <row r="228" spans="1:15" x14ac:dyDescent="0.25">
      <c r="A228">
        <f>Faces!A228</f>
        <v>218</v>
      </c>
      <c r="B228" s="21">
        <f>Faces!B228</f>
        <v>147</v>
      </c>
      <c r="C228" s="22">
        <f>VLOOKUP(B228,Vertices!$A$11:$J$203,7,FALSE )-$C$7</f>
        <v>-26.044999999999998</v>
      </c>
      <c r="D228" s="22">
        <f>VLOOKUP(B228,Vertices!$A$11:$J$203,8,FALSE )-$D$7</f>
        <v>35.380000000000003</v>
      </c>
      <c r="E228" s="23">
        <f>VLOOKUP(B228,Vertices!$A$11:$J$203,9,FALSE )-$E$7</f>
        <v>-7.21</v>
      </c>
      <c r="F228" s="21">
        <f>Faces!C228</f>
        <v>171</v>
      </c>
      <c r="G228" s="22">
        <f>VLOOKUP(F228,Vertices!$A$11:$J$203,7,FALSE )-$C$7</f>
        <v>-34.805</v>
      </c>
      <c r="H228" s="22">
        <f>VLOOKUP(F228,Vertices!$A$11:$J$203,8,FALSE )-$D$7</f>
        <v>21.02</v>
      </c>
      <c r="I228" s="23">
        <f>VLOOKUP(F228,Vertices!$A$11:$J$203,9,FALSE )-$E$7</f>
        <v>-6.3</v>
      </c>
      <c r="J228" s="21">
        <f>Faces!D228</f>
        <v>148</v>
      </c>
      <c r="K228" s="22">
        <f>VLOOKUP(J228,Vertices!$A$11:$J$203,7,FALSE )-$C$7</f>
        <v>-28.284999999999997</v>
      </c>
      <c r="L228" s="22">
        <f>VLOOKUP(J228,Vertices!$A$11:$J$203,8,FALSE )-$D$7</f>
        <v>29.32</v>
      </c>
      <c r="M228" s="23">
        <f>VLOOKUP(J228,Vertices!$A$11:$J$203,9,FALSE )-$E$7</f>
        <v>-11.7</v>
      </c>
      <c r="N228" s="16">
        <f t="shared" si="6"/>
        <v>572.90698850000001</v>
      </c>
      <c r="O228" s="16">
        <f t="shared" si="7"/>
        <v>572.90698850000001</v>
      </c>
    </row>
    <row r="229" spans="1:15" x14ac:dyDescent="0.25">
      <c r="A229">
        <f>Faces!A229</f>
        <v>219</v>
      </c>
      <c r="B229" s="21">
        <f>Faces!B229</f>
        <v>148</v>
      </c>
      <c r="C229" s="22">
        <f>VLOOKUP(B229,Vertices!$A$11:$J$203,7,FALSE )-$C$7</f>
        <v>-28.284999999999997</v>
      </c>
      <c r="D229" s="22">
        <f>VLOOKUP(B229,Vertices!$A$11:$J$203,8,FALSE )-$D$7</f>
        <v>29.32</v>
      </c>
      <c r="E229" s="23">
        <f>VLOOKUP(B229,Vertices!$A$11:$J$203,9,FALSE )-$E$7</f>
        <v>-11.7</v>
      </c>
      <c r="F229" s="21">
        <f>Faces!C229</f>
        <v>171</v>
      </c>
      <c r="G229" s="22">
        <f>VLOOKUP(F229,Vertices!$A$11:$J$203,7,FALSE )-$C$7</f>
        <v>-34.805</v>
      </c>
      <c r="H229" s="22">
        <f>VLOOKUP(F229,Vertices!$A$11:$J$203,8,FALSE )-$D$7</f>
        <v>21.02</v>
      </c>
      <c r="I229" s="23">
        <f>VLOOKUP(F229,Vertices!$A$11:$J$203,9,FALSE )-$E$7</f>
        <v>-6.3</v>
      </c>
      <c r="J229" s="21">
        <f>Faces!D229</f>
        <v>172</v>
      </c>
      <c r="K229" s="22">
        <f>VLOOKUP(J229,Vertices!$A$11:$J$203,7,FALSE )-$C$7</f>
        <v>-36.974999999999994</v>
      </c>
      <c r="L229" s="22">
        <f>VLOOKUP(J229,Vertices!$A$11:$J$203,8,FALSE )-$D$7</f>
        <v>14.33</v>
      </c>
      <c r="M229" s="23">
        <f>VLOOKUP(J229,Vertices!$A$11:$J$203,9,FALSE )-$E$7</f>
        <v>-11.55</v>
      </c>
      <c r="N229" s="16">
        <f t="shared" si="6"/>
        <v>650.19156750000036</v>
      </c>
      <c r="O229" s="16">
        <f t="shared" si="7"/>
        <v>650.19156750000036</v>
      </c>
    </row>
    <row r="230" spans="1:15" x14ac:dyDescent="0.25">
      <c r="A230">
        <f>Faces!A230</f>
        <v>220</v>
      </c>
      <c r="B230" s="21">
        <f>Faces!B230</f>
        <v>148</v>
      </c>
      <c r="C230" s="22">
        <f>VLOOKUP(B230,Vertices!$A$11:$J$203,7,FALSE )-$C$7</f>
        <v>-28.284999999999997</v>
      </c>
      <c r="D230" s="22">
        <f>VLOOKUP(B230,Vertices!$A$11:$J$203,8,FALSE )-$D$7</f>
        <v>29.32</v>
      </c>
      <c r="E230" s="23">
        <f>VLOOKUP(B230,Vertices!$A$11:$J$203,9,FALSE )-$E$7</f>
        <v>-11.7</v>
      </c>
      <c r="F230" s="21">
        <f>Faces!C230</f>
        <v>172</v>
      </c>
      <c r="G230" s="22">
        <f>VLOOKUP(F230,Vertices!$A$11:$J$203,7,FALSE )-$C$7</f>
        <v>-36.974999999999994</v>
      </c>
      <c r="H230" s="22">
        <f>VLOOKUP(F230,Vertices!$A$11:$J$203,8,FALSE )-$D$7</f>
        <v>14.33</v>
      </c>
      <c r="I230" s="23">
        <f>VLOOKUP(F230,Vertices!$A$11:$J$203,9,FALSE )-$E$7</f>
        <v>-11.55</v>
      </c>
      <c r="J230" s="21">
        <f>Faces!D230</f>
        <v>149</v>
      </c>
      <c r="K230" s="22">
        <f>VLOOKUP(J230,Vertices!$A$11:$J$203,7,FALSE )-$C$7</f>
        <v>-31.634999999999998</v>
      </c>
      <c r="L230" s="22">
        <f>VLOOKUP(J230,Vertices!$A$11:$J$203,8,FALSE )-$D$7</f>
        <v>19.559999999999999</v>
      </c>
      <c r="M230" s="23">
        <f>VLOOKUP(J230,Vertices!$A$11:$J$203,9,FALSE )-$E$7</f>
        <v>-18.55</v>
      </c>
      <c r="N230" s="16">
        <f t="shared" si="6"/>
        <v>851.76686291666613</v>
      </c>
      <c r="O230" s="16">
        <f t="shared" si="7"/>
        <v>851.76686291666613</v>
      </c>
    </row>
    <row r="231" spans="1:15" x14ac:dyDescent="0.25">
      <c r="A231">
        <f>Faces!A231</f>
        <v>221</v>
      </c>
      <c r="B231" s="21">
        <f>Faces!B231</f>
        <v>149</v>
      </c>
      <c r="C231" s="22">
        <f>VLOOKUP(B231,Vertices!$A$11:$J$203,7,FALSE )-$C$7</f>
        <v>-31.634999999999998</v>
      </c>
      <c r="D231" s="22">
        <f>VLOOKUP(B231,Vertices!$A$11:$J$203,8,FALSE )-$D$7</f>
        <v>19.559999999999999</v>
      </c>
      <c r="E231" s="23">
        <f>VLOOKUP(B231,Vertices!$A$11:$J$203,9,FALSE )-$E$7</f>
        <v>-18.55</v>
      </c>
      <c r="F231" s="21">
        <f>Faces!C231</f>
        <v>172</v>
      </c>
      <c r="G231" s="22">
        <f>VLOOKUP(F231,Vertices!$A$11:$J$203,7,FALSE )-$C$7</f>
        <v>-36.974999999999994</v>
      </c>
      <c r="H231" s="22">
        <f>VLOOKUP(F231,Vertices!$A$11:$J$203,8,FALSE )-$D$7</f>
        <v>14.33</v>
      </c>
      <c r="I231" s="23">
        <f>VLOOKUP(F231,Vertices!$A$11:$J$203,9,FALSE )-$E$7</f>
        <v>-11.55</v>
      </c>
      <c r="J231" s="21">
        <f>Faces!D231</f>
        <v>176</v>
      </c>
      <c r="K231" s="22">
        <f>VLOOKUP(J231,Vertices!$A$11:$J$203,7,FALSE )-$C$7</f>
        <v>-38.594999999999999</v>
      </c>
      <c r="L231" s="22">
        <f>VLOOKUP(J231,Vertices!$A$11:$J$203,8,FALSE )-$D$7</f>
        <v>8.39</v>
      </c>
      <c r="M231" s="23">
        <f>VLOOKUP(J231,Vertices!$A$11:$J$203,9,FALSE )-$E$7</f>
        <v>-14.5</v>
      </c>
      <c r="N231" s="16">
        <f t="shared" si="6"/>
        <v>460.7724712499994</v>
      </c>
      <c r="O231" s="16">
        <f t="shared" si="7"/>
        <v>460.7724712499994</v>
      </c>
    </row>
    <row r="232" spans="1:15" x14ac:dyDescent="0.25">
      <c r="A232">
        <f>Faces!A232</f>
        <v>222</v>
      </c>
      <c r="B232" s="21">
        <f>Faces!B232</f>
        <v>149</v>
      </c>
      <c r="C232" s="22">
        <f>VLOOKUP(B232,Vertices!$A$11:$J$203,7,FALSE )-$C$7</f>
        <v>-31.634999999999998</v>
      </c>
      <c r="D232" s="22">
        <f>VLOOKUP(B232,Vertices!$A$11:$J$203,8,FALSE )-$D$7</f>
        <v>19.559999999999999</v>
      </c>
      <c r="E232" s="23">
        <f>VLOOKUP(B232,Vertices!$A$11:$J$203,9,FALSE )-$E$7</f>
        <v>-18.55</v>
      </c>
      <c r="F232" s="21">
        <f>Faces!C232</f>
        <v>176</v>
      </c>
      <c r="G232" s="22">
        <f>VLOOKUP(F232,Vertices!$A$11:$J$203,7,FALSE )-$C$7</f>
        <v>-38.594999999999999</v>
      </c>
      <c r="H232" s="22">
        <f>VLOOKUP(F232,Vertices!$A$11:$J$203,8,FALSE )-$D$7</f>
        <v>8.39</v>
      </c>
      <c r="I232" s="23">
        <f>VLOOKUP(F232,Vertices!$A$11:$J$203,9,FALSE )-$E$7</f>
        <v>-14.5</v>
      </c>
      <c r="J232" s="21">
        <f>Faces!D232</f>
        <v>154</v>
      </c>
      <c r="K232" s="22">
        <f>VLOOKUP(J232,Vertices!$A$11:$J$203,7,FALSE )-$C$7</f>
        <v>-34.265000000000001</v>
      </c>
      <c r="L232" s="22">
        <f>VLOOKUP(J232,Vertices!$A$11:$J$203,8,FALSE )-$D$7</f>
        <v>10.82</v>
      </c>
      <c r="M232" s="23">
        <f>VLOOKUP(J232,Vertices!$A$11:$J$203,9,FALSE )-$E$7</f>
        <v>-23.85</v>
      </c>
      <c r="N232" s="16">
        <f t="shared" si="6"/>
        <v>750.98984416666644</v>
      </c>
      <c r="O232" s="16">
        <f t="shared" si="7"/>
        <v>750.98984416666644</v>
      </c>
    </row>
    <row r="233" spans="1:15" x14ac:dyDescent="0.25">
      <c r="A233">
        <f>Faces!A233</f>
        <v>223</v>
      </c>
      <c r="B233" s="21">
        <f>Faces!B233</f>
        <v>170</v>
      </c>
      <c r="C233" s="22">
        <f>VLOOKUP(B233,Vertices!$A$11:$J$203,7,FALSE )-$C$7</f>
        <v>-32.155000000000001</v>
      </c>
      <c r="D233" s="22">
        <f>VLOOKUP(B233,Vertices!$A$11:$J$203,8,FALSE )-$D$7</f>
        <v>28.12</v>
      </c>
      <c r="E233" s="23">
        <f>VLOOKUP(B233,Vertices!$A$11:$J$203,9,FALSE )-$E$7</f>
        <v>-0.32</v>
      </c>
      <c r="F233" s="21">
        <f>Faces!C233</f>
        <v>188</v>
      </c>
      <c r="G233" s="22">
        <f>VLOOKUP(F233,Vertices!$A$11:$J$203,7,FALSE )-$C$7</f>
        <v>-41.104999999999997</v>
      </c>
      <c r="H233" s="22">
        <f>VLOOKUP(F233,Vertices!$A$11:$J$203,8,FALSE )-$D$7</f>
        <v>14.1</v>
      </c>
      <c r="I233" s="23">
        <f>VLOOKUP(F233,Vertices!$A$11:$J$203,9,FALSE )-$E$7</f>
        <v>2.2000000000000002</v>
      </c>
      <c r="J233" s="21">
        <f>Faces!D233</f>
        <v>171</v>
      </c>
      <c r="K233" s="22">
        <f>VLOOKUP(J233,Vertices!$A$11:$J$203,7,FALSE )-$C$7</f>
        <v>-34.805</v>
      </c>
      <c r="L233" s="22">
        <f>VLOOKUP(J233,Vertices!$A$11:$J$203,8,FALSE )-$D$7</f>
        <v>21.02</v>
      </c>
      <c r="M233" s="23">
        <f>VLOOKUP(J233,Vertices!$A$11:$J$203,9,FALSE )-$E$7</f>
        <v>-6.3</v>
      </c>
      <c r="N233" s="16">
        <f t="shared" si="6"/>
        <v>828.73681966666629</v>
      </c>
      <c r="O233" s="16">
        <f t="shared" si="7"/>
        <v>828.73681966666629</v>
      </c>
    </row>
    <row r="234" spans="1:15" x14ac:dyDescent="0.25">
      <c r="A234">
        <f>Faces!A234</f>
        <v>224</v>
      </c>
      <c r="B234" s="21">
        <f>Faces!B234</f>
        <v>171</v>
      </c>
      <c r="C234" s="22">
        <f>VLOOKUP(B234,Vertices!$A$11:$J$203,7,FALSE )-$C$7</f>
        <v>-34.805</v>
      </c>
      <c r="D234" s="22">
        <f>VLOOKUP(B234,Vertices!$A$11:$J$203,8,FALSE )-$D$7</f>
        <v>21.02</v>
      </c>
      <c r="E234" s="23">
        <f>VLOOKUP(B234,Vertices!$A$11:$J$203,9,FALSE )-$E$7</f>
        <v>-6.3</v>
      </c>
      <c r="F234" s="21">
        <f>Faces!C234</f>
        <v>188</v>
      </c>
      <c r="G234" s="22">
        <f>VLOOKUP(F234,Vertices!$A$11:$J$203,7,FALSE )-$C$7</f>
        <v>-41.104999999999997</v>
      </c>
      <c r="H234" s="22">
        <f>VLOOKUP(F234,Vertices!$A$11:$J$203,8,FALSE )-$D$7</f>
        <v>14.1</v>
      </c>
      <c r="I234" s="23">
        <f>VLOOKUP(F234,Vertices!$A$11:$J$203,9,FALSE )-$E$7</f>
        <v>2.2000000000000002</v>
      </c>
      <c r="J234" s="21">
        <f>Faces!D234</f>
        <v>190</v>
      </c>
      <c r="K234" s="22">
        <f>VLOOKUP(J234,Vertices!$A$11:$J$203,7,FALSE )-$C$7</f>
        <v>-43.545000000000002</v>
      </c>
      <c r="L234" s="22">
        <f>VLOOKUP(J234,Vertices!$A$11:$J$203,8,FALSE )-$D$7</f>
        <v>6.23</v>
      </c>
      <c r="M234" s="23">
        <f>VLOOKUP(J234,Vertices!$A$11:$J$203,9,FALSE )-$E$7</f>
        <v>-4.82</v>
      </c>
      <c r="N234" s="16">
        <f t="shared" si="6"/>
        <v>931.77051116666678</v>
      </c>
      <c r="O234" s="16">
        <f t="shared" si="7"/>
        <v>931.77051116666678</v>
      </c>
    </row>
    <row r="235" spans="1:15" x14ac:dyDescent="0.25">
      <c r="A235">
        <f>Faces!A235</f>
        <v>225</v>
      </c>
      <c r="B235" s="21">
        <f>Faces!B235</f>
        <v>171</v>
      </c>
      <c r="C235" s="22">
        <f>VLOOKUP(B235,Vertices!$A$11:$J$203,7,FALSE )-$C$7</f>
        <v>-34.805</v>
      </c>
      <c r="D235" s="22">
        <f>VLOOKUP(B235,Vertices!$A$11:$J$203,8,FALSE )-$D$7</f>
        <v>21.02</v>
      </c>
      <c r="E235" s="23">
        <f>VLOOKUP(B235,Vertices!$A$11:$J$203,9,FALSE )-$E$7</f>
        <v>-6.3</v>
      </c>
      <c r="F235" s="21">
        <f>Faces!C235</f>
        <v>190</v>
      </c>
      <c r="G235" s="22">
        <f>VLOOKUP(F235,Vertices!$A$11:$J$203,7,FALSE )-$C$7</f>
        <v>-43.545000000000002</v>
      </c>
      <c r="H235" s="22">
        <f>VLOOKUP(F235,Vertices!$A$11:$J$203,8,FALSE )-$D$7</f>
        <v>6.23</v>
      </c>
      <c r="I235" s="23">
        <f>VLOOKUP(F235,Vertices!$A$11:$J$203,9,FALSE )-$E$7</f>
        <v>-4.82</v>
      </c>
      <c r="J235" s="21">
        <f>Faces!D235</f>
        <v>172</v>
      </c>
      <c r="K235" s="22">
        <f>VLOOKUP(J235,Vertices!$A$11:$J$203,7,FALSE )-$C$7</f>
        <v>-36.974999999999994</v>
      </c>
      <c r="L235" s="22">
        <f>VLOOKUP(J235,Vertices!$A$11:$J$203,8,FALSE )-$D$7</f>
        <v>14.33</v>
      </c>
      <c r="M235" s="23">
        <f>VLOOKUP(J235,Vertices!$A$11:$J$203,9,FALSE )-$E$7</f>
        <v>-11.55</v>
      </c>
      <c r="N235" s="16">
        <f t="shared" si="6"/>
        <v>707.55228758333351</v>
      </c>
      <c r="O235" s="16">
        <f t="shared" si="7"/>
        <v>707.55228758333351</v>
      </c>
    </row>
    <row r="236" spans="1:15" x14ac:dyDescent="0.25">
      <c r="A236">
        <f>Faces!A236</f>
        <v>226</v>
      </c>
      <c r="B236" s="21">
        <f>Faces!B236</f>
        <v>172</v>
      </c>
      <c r="C236" s="22">
        <f>VLOOKUP(B236,Vertices!$A$11:$J$203,7,FALSE )-$C$7</f>
        <v>-36.974999999999994</v>
      </c>
      <c r="D236" s="22">
        <f>VLOOKUP(B236,Vertices!$A$11:$J$203,8,FALSE )-$D$7</f>
        <v>14.33</v>
      </c>
      <c r="E236" s="23">
        <f>VLOOKUP(B236,Vertices!$A$11:$J$203,9,FALSE )-$E$7</f>
        <v>-11.55</v>
      </c>
      <c r="F236" s="21">
        <f>Faces!C236</f>
        <v>190</v>
      </c>
      <c r="G236" s="22">
        <f>VLOOKUP(F236,Vertices!$A$11:$J$203,7,FALSE )-$C$7</f>
        <v>-43.545000000000002</v>
      </c>
      <c r="H236" s="22">
        <f>VLOOKUP(F236,Vertices!$A$11:$J$203,8,FALSE )-$D$7</f>
        <v>6.23</v>
      </c>
      <c r="I236" s="23">
        <f>VLOOKUP(F236,Vertices!$A$11:$J$203,9,FALSE )-$E$7</f>
        <v>-4.82</v>
      </c>
      <c r="J236" s="21">
        <f>Faces!D236</f>
        <v>176</v>
      </c>
      <c r="K236" s="22">
        <f>VLOOKUP(J236,Vertices!$A$11:$J$203,7,FALSE )-$C$7</f>
        <v>-38.594999999999999</v>
      </c>
      <c r="L236" s="22">
        <f>VLOOKUP(J236,Vertices!$A$11:$J$203,8,FALSE )-$D$7</f>
        <v>8.39</v>
      </c>
      <c r="M236" s="23">
        <f>VLOOKUP(J236,Vertices!$A$11:$J$203,9,FALSE )-$E$7</f>
        <v>-14.5</v>
      </c>
      <c r="N236" s="16">
        <f t="shared" si="6"/>
        <v>515.79961049999997</v>
      </c>
      <c r="O236" s="16">
        <f t="shared" si="7"/>
        <v>515.79961049999997</v>
      </c>
    </row>
    <row r="237" spans="1:15" x14ac:dyDescent="0.25">
      <c r="A237">
        <f>Faces!A237</f>
        <v>227</v>
      </c>
      <c r="B237" s="21">
        <f>Faces!B237</f>
        <v>6</v>
      </c>
      <c r="C237" s="22">
        <f>VLOOKUP(B237,Vertices!$A$11:$J$203,7,FALSE )-$C$7</f>
        <v>-3.4549999999999983</v>
      </c>
      <c r="D237" s="22">
        <f>VLOOKUP(B237,Vertices!$A$11:$J$203,8,FALSE )-$D$7</f>
        <v>75</v>
      </c>
      <c r="E237" s="23">
        <f>VLOOKUP(B237,Vertices!$A$11:$J$203,9,FALSE )-$E$7</f>
        <v>-4</v>
      </c>
      <c r="F237" s="21">
        <f>Faces!C237</f>
        <v>103</v>
      </c>
      <c r="G237" s="22">
        <f>VLOOKUP(F237,Vertices!$A$11:$J$203,7,FALSE )-$C$7</f>
        <v>-9.9949999999999974</v>
      </c>
      <c r="H237" s="22">
        <f>VLOOKUP(F237,Vertices!$A$11:$J$203,8,FALSE )-$D$7</f>
        <v>62.73</v>
      </c>
      <c r="I237" s="23">
        <f>VLOOKUP(F237,Vertices!$A$11:$J$203,9,FALSE )-$E$7</f>
        <v>0.23</v>
      </c>
      <c r="J237" s="21">
        <f>Faces!D237</f>
        <v>92</v>
      </c>
      <c r="K237" s="22">
        <f>VLOOKUP(J237,Vertices!$A$11:$J$203,7,FALSE )-$C$7</f>
        <v>-10.155000000000001</v>
      </c>
      <c r="L237" s="22">
        <f>VLOOKUP(J237,Vertices!$A$11:$J$203,8,FALSE )-$D$7</f>
        <v>63.56</v>
      </c>
      <c r="M237" s="23">
        <f>VLOOKUP(J237,Vertices!$A$11:$J$203,9,FALSE )-$E$7</f>
        <v>-3.99</v>
      </c>
      <c r="N237" s="16">
        <f t="shared" si="6"/>
        <v>376.31201125000007</v>
      </c>
      <c r="O237" s="16">
        <f t="shared" si="7"/>
        <v>376.31201125000007</v>
      </c>
    </row>
    <row r="238" spans="1:15" x14ac:dyDescent="0.25">
      <c r="A238">
        <f>Faces!A238</f>
        <v>228</v>
      </c>
      <c r="B238" s="21">
        <f>Faces!B238</f>
        <v>6</v>
      </c>
      <c r="C238" s="22">
        <f>VLOOKUP(B238,Vertices!$A$11:$J$203,7,FALSE )-$C$7</f>
        <v>-3.4549999999999983</v>
      </c>
      <c r="D238" s="22">
        <f>VLOOKUP(B238,Vertices!$A$11:$J$203,8,FALSE )-$D$7</f>
        <v>75</v>
      </c>
      <c r="E238" s="23">
        <f>VLOOKUP(B238,Vertices!$A$11:$J$203,9,FALSE )-$E$7</f>
        <v>-4</v>
      </c>
      <c r="F238" s="21">
        <f>Faces!C238</f>
        <v>42</v>
      </c>
      <c r="G238" s="22">
        <f>VLOOKUP(F238,Vertices!$A$11:$J$203,7,FALSE )-$C$7</f>
        <v>-3.1649999999999991</v>
      </c>
      <c r="H238" s="22">
        <f>VLOOKUP(F238,Vertices!$A$11:$J$203,8,FALSE )-$D$7</f>
        <v>74.099999999999994</v>
      </c>
      <c r="I238" s="23">
        <f>VLOOKUP(F238,Vertices!$A$11:$J$203,9,FALSE )-$E$7</f>
        <v>0.87</v>
      </c>
      <c r="J238" s="21">
        <f>Faces!D238</f>
        <v>103</v>
      </c>
      <c r="K238" s="22">
        <f>VLOOKUP(J238,Vertices!$A$11:$J$203,7,FALSE )-$C$7</f>
        <v>-9.9949999999999974</v>
      </c>
      <c r="L238" s="22">
        <f>VLOOKUP(J238,Vertices!$A$11:$J$203,8,FALSE )-$D$7</f>
        <v>62.73</v>
      </c>
      <c r="M238" s="23">
        <f>VLOOKUP(J238,Vertices!$A$11:$J$203,9,FALSE )-$E$7</f>
        <v>0.23</v>
      </c>
      <c r="N238" s="16">
        <f t="shared" si="6"/>
        <v>439.3767157499999</v>
      </c>
      <c r="O238" s="16">
        <f t="shared" si="7"/>
        <v>439.3767157499999</v>
      </c>
    </row>
    <row r="239" spans="1:15" x14ac:dyDescent="0.25">
      <c r="A239">
        <f>Faces!A239</f>
        <v>229</v>
      </c>
      <c r="B239" s="21">
        <f>Faces!B239</f>
        <v>42</v>
      </c>
      <c r="C239" s="22">
        <f>VLOOKUP(B239,Vertices!$A$11:$J$203,7,FALSE )-$C$7</f>
        <v>-3.1649999999999991</v>
      </c>
      <c r="D239" s="22">
        <f>VLOOKUP(B239,Vertices!$A$11:$J$203,8,FALSE )-$D$7</f>
        <v>74.099999999999994</v>
      </c>
      <c r="E239" s="23">
        <f>VLOOKUP(B239,Vertices!$A$11:$J$203,9,FALSE )-$E$7</f>
        <v>0.87</v>
      </c>
      <c r="F239" s="21">
        <f>Faces!C239</f>
        <v>105</v>
      </c>
      <c r="G239" s="22">
        <f>VLOOKUP(F239,Vertices!$A$11:$J$203,7,FALSE )-$C$7</f>
        <v>-9.884999999999998</v>
      </c>
      <c r="H239" s="22">
        <f>VLOOKUP(F239,Vertices!$A$11:$J$203,8,FALSE )-$D$7</f>
        <v>61.71</v>
      </c>
      <c r="I239" s="23">
        <f>VLOOKUP(F239,Vertices!$A$11:$J$203,9,FALSE )-$E$7</f>
        <v>4.66</v>
      </c>
      <c r="J239" s="21">
        <f>Faces!D239</f>
        <v>103</v>
      </c>
      <c r="K239" s="22">
        <f>VLOOKUP(J239,Vertices!$A$11:$J$203,7,FALSE )-$C$7</f>
        <v>-9.9949999999999974</v>
      </c>
      <c r="L239" s="22">
        <f>VLOOKUP(J239,Vertices!$A$11:$J$203,8,FALSE )-$D$7</f>
        <v>62.73</v>
      </c>
      <c r="M239" s="23">
        <f>VLOOKUP(J239,Vertices!$A$11:$J$203,9,FALSE )-$E$7</f>
        <v>0.23</v>
      </c>
      <c r="N239" s="16">
        <f t="shared" si="6"/>
        <v>400.90883574999998</v>
      </c>
      <c r="O239" s="16">
        <f t="shared" si="7"/>
        <v>400.90883574999998</v>
      </c>
    </row>
    <row r="240" spans="1:15" x14ac:dyDescent="0.25">
      <c r="A240">
        <f>Faces!A240</f>
        <v>230</v>
      </c>
      <c r="B240" s="21">
        <f>Faces!B240</f>
        <v>42</v>
      </c>
      <c r="C240" s="22">
        <f>VLOOKUP(B240,Vertices!$A$11:$J$203,7,FALSE )-$C$7</f>
        <v>-3.1649999999999991</v>
      </c>
      <c r="D240" s="22">
        <f>VLOOKUP(B240,Vertices!$A$11:$J$203,8,FALSE )-$D$7</f>
        <v>74.099999999999994</v>
      </c>
      <c r="E240" s="23">
        <f>VLOOKUP(B240,Vertices!$A$11:$J$203,9,FALSE )-$E$7</f>
        <v>0.87</v>
      </c>
      <c r="F240" s="21">
        <f>Faces!C240</f>
        <v>53</v>
      </c>
      <c r="G240" s="22">
        <f>VLOOKUP(F240,Vertices!$A$11:$J$203,7,FALSE )-$C$7</f>
        <v>-2.9849999999999994</v>
      </c>
      <c r="H240" s="22">
        <f>VLOOKUP(F240,Vertices!$A$11:$J$203,8,FALSE )-$D$7</f>
        <v>73.14</v>
      </c>
      <c r="I240" s="23">
        <f>VLOOKUP(F240,Vertices!$A$11:$J$203,9,FALSE )-$E$7</f>
        <v>5.87</v>
      </c>
      <c r="J240" s="21">
        <f>Faces!D240</f>
        <v>105</v>
      </c>
      <c r="K240" s="22">
        <f>VLOOKUP(J240,Vertices!$A$11:$J$203,7,FALSE )-$C$7</f>
        <v>-9.884999999999998</v>
      </c>
      <c r="L240" s="22">
        <f>VLOOKUP(J240,Vertices!$A$11:$J$203,8,FALSE )-$D$7</f>
        <v>61.71</v>
      </c>
      <c r="M240" s="23">
        <f>VLOOKUP(J240,Vertices!$A$11:$J$203,9,FALSE )-$E$7</f>
        <v>4.66</v>
      </c>
      <c r="N240" s="16">
        <f t="shared" si="6"/>
        <v>455.4033419999999</v>
      </c>
      <c r="O240" s="16">
        <f t="shared" si="7"/>
        <v>455.4033419999999</v>
      </c>
    </row>
    <row r="241" spans="1:15" x14ac:dyDescent="0.25">
      <c r="A241">
        <f>Faces!A241</f>
        <v>231</v>
      </c>
      <c r="B241" s="21">
        <f>Faces!B241</f>
        <v>53</v>
      </c>
      <c r="C241" s="22">
        <f>VLOOKUP(B241,Vertices!$A$11:$J$203,7,FALSE )-$C$7</f>
        <v>-2.9849999999999994</v>
      </c>
      <c r="D241" s="22">
        <f>VLOOKUP(B241,Vertices!$A$11:$J$203,8,FALSE )-$D$7</f>
        <v>73.14</v>
      </c>
      <c r="E241" s="23">
        <f>VLOOKUP(B241,Vertices!$A$11:$J$203,9,FALSE )-$E$7</f>
        <v>5.87</v>
      </c>
      <c r="F241" s="21">
        <f>Faces!C241</f>
        <v>107</v>
      </c>
      <c r="G241" s="22">
        <f>VLOOKUP(F241,Vertices!$A$11:$J$203,7,FALSE )-$C$7</f>
        <v>-9.7950000000000017</v>
      </c>
      <c r="H241" s="22">
        <f>VLOOKUP(F241,Vertices!$A$11:$J$203,8,FALSE )-$D$7</f>
        <v>60.22</v>
      </c>
      <c r="I241" s="23">
        <f>VLOOKUP(F241,Vertices!$A$11:$J$203,9,FALSE )-$E$7</f>
        <v>13.63</v>
      </c>
      <c r="J241" s="21">
        <f>Faces!D241</f>
        <v>105</v>
      </c>
      <c r="K241" s="22">
        <f>VLOOKUP(J241,Vertices!$A$11:$J$203,7,FALSE )-$C$7</f>
        <v>-9.884999999999998</v>
      </c>
      <c r="L241" s="22">
        <f>VLOOKUP(J241,Vertices!$A$11:$J$203,8,FALSE )-$D$7</f>
        <v>61.71</v>
      </c>
      <c r="M241" s="23">
        <f>VLOOKUP(J241,Vertices!$A$11:$J$203,9,FALSE )-$E$7</f>
        <v>4.66</v>
      </c>
      <c r="N241" s="16">
        <f t="shared" si="6"/>
        <v>816.11701049999976</v>
      </c>
      <c r="O241" s="16">
        <f t="shared" si="7"/>
        <v>816.11701049999976</v>
      </c>
    </row>
    <row r="242" spans="1:15" x14ac:dyDescent="0.25">
      <c r="A242">
        <f>Faces!A242</f>
        <v>232</v>
      </c>
      <c r="B242" s="21">
        <f>Faces!B242</f>
        <v>53</v>
      </c>
      <c r="C242" s="22">
        <f>VLOOKUP(B242,Vertices!$A$11:$J$203,7,FALSE )-$C$7</f>
        <v>-2.9849999999999994</v>
      </c>
      <c r="D242" s="22">
        <f>VLOOKUP(B242,Vertices!$A$11:$J$203,8,FALSE )-$D$7</f>
        <v>73.14</v>
      </c>
      <c r="E242" s="23">
        <f>VLOOKUP(B242,Vertices!$A$11:$J$203,9,FALSE )-$E$7</f>
        <v>5.87</v>
      </c>
      <c r="F242" s="21">
        <f>Faces!C242</f>
        <v>64</v>
      </c>
      <c r="G242" s="22">
        <f>VLOOKUP(F242,Vertices!$A$11:$J$203,7,FALSE )-$C$7</f>
        <v>-2.8449999999999989</v>
      </c>
      <c r="H242" s="22">
        <f>VLOOKUP(F242,Vertices!$A$11:$J$203,8,FALSE )-$D$7</f>
        <v>71.459999999999994</v>
      </c>
      <c r="I242" s="23">
        <f>VLOOKUP(F242,Vertices!$A$11:$J$203,9,FALSE )-$E$7</f>
        <v>16.14</v>
      </c>
      <c r="J242" s="21">
        <f>Faces!D242</f>
        <v>107</v>
      </c>
      <c r="K242" s="22">
        <f>VLOOKUP(J242,Vertices!$A$11:$J$203,7,FALSE )-$C$7</f>
        <v>-9.7950000000000017</v>
      </c>
      <c r="L242" s="22">
        <f>VLOOKUP(J242,Vertices!$A$11:$J$203,8,FALSE )-$D$7</f>
        <v>60.22</v>
      </c>
      <c r="M242" s="23">
        <f>VLOOKUP(J242,Vertices!$A$11:$J$203,9,FALSE )-$E$7</f>
        <v>13.63</v>
      </c>
      <c r="N242" s="16">
        <f t="shared" si="6"/>
        <v>938.28516533333357</v>
      </c>
      <c r="O242" s="16">
        <f t="shared" si="7"/>
        <v>938.28516533333357</v>
      </c>
    </row>
    <row r="243" spans="1:15" x14ac:dyDescent="0.25">
      <c r="A243">
        <f>Faces!A243</f>
        <v>233</v>
      </c>
      <c r="B243" s="21">
        <f>Faces!B243</f>
        <v>64</v>
      </c>
      <c r="C243" s="22">
        <f>VLOOKUP(B243,Vertices!$A$11:$J$203,7,FALSE )-$C$7</f>
        <v>-2.8449999999999989</v>
      </c>
      <c r="D243" s="22">
        <f>VLOOKUP(B243,Vertices!$A$11:$J$203,8,FALSE )-$D$7</f>
        <v>71.459999999999994</v>
      </c>
      <c r="E243" s="23">
        <f>VLOOKUP(B243,Vertices!$A$11:$J$203,9,FALSE )-$E$7</f>
        <v>16.14</v>
      </c>
      <c r="F243" s="21">
        <f>Faces!C243</f>
        <v>109</v>
      </c>
      <c r="G243" s="22">
        <f>VLOOKUP(F243,Vertices!$A$11:$J$203,7,FALSE )-$C$7</f>
        <v>-10.104999999999997</v>
      </c>
      <c r="H243" s="22">
        <f>VLOOKUP(F243,Vertices!$A$11:$J$203,8,FALSE )-$D$7</f>
        <v>58.07</v>
      </c>
      <c r="I243" s="23">
        <f>VLOOKUP(F243,Vertices!$A$11:$J$203,9,FALSE )-$E$7</f>
        <v>27.09</v>
      </c>
      <c r="J243" s="21">
        <f>Faces!D243</f>
        <v>107</v>
      </c>
      <c r="K243" s="22">
        <f>VLOOKUP(J243,Vertices!$A$11:$J$203,7,FALSE )-$C$7</f>
        <v>-9.7950000000000017</v>
      </c>
      <c r="L243" s="22">
        <f>VLOOKUP(J243,Vertices!$A$11:$J$203,8,FALSE )-$D$7</f>
        <v>60.22</v>
      </c>
      <c r="M243" s="23">
        <f>VLOOKUP(J243,Vertices!$A$11:$J$203,9,FALSE )-$E$7</f>
        <v>13.63</v>
      </c>
      <c r="N243" s="16">
        <f t="shared" si="6"/>
        <v>1228.5299350833338</v>
      </c>
      <c r="O243" s="16">
        <f t="shared" si="7"/>
        <v>1228.5299350833338</v>
      </c>
    </row>
    <row r="244" spans="1:15" x14ac:dyDescent="0.25">
      <c r="A244">
        <f>Faces!A244</f>
        <v>234</v>
      </c>
      <c r="B244" s="21">
        <f>Faces!B244</f>
        <v>64</v>
      </c>
      <c r="C244" s="22">
        <f>VLOOKUP(B244,Vertices!$A$11:$J$203,7,FALSE )-$C$7</f>
        <v>-2.8449999999999989</v>
      </c>
      <c r="D244" s="22">
        <f>VLOOKUP(B244,Vertices!$A$11:$J$203,8,FALSE )-$D$7</f>
        <v>71.459999999999994</v>
      </c>
      <c r="E244" s="23">
        <f>VLOOKUP(B244,Vertices!$A$11:$J$203,9,FALSE )-$E$7</f>
        <v>16.14</v>
      </c>
      <c r="F244" s="21">
        <f>Faces!C244</f>
        <v>75</v>
      </c>
      <c r="G244" s="22">
        <f>VLOOKUP(F244,Vertices!$A$11:$J$203,7,FALSE )-$C$7</f>
        <v>-3.2049999999999983</v>
      </c>
      <c r="H244" s="22">
        <f>VLOOKUP(F244,Vertices!$A$11:$J$203,8,FALSE )-$D$7</f>
        <v>69.27</v>
      </c>
      <c r="I244" s="23">
        <f>VLOOKUP(F244,Vertices!$A$11:$J$203,9,FALSE )-$E$7</f>
        <v>32.31</v>
      </c>
      <c r="J244" s="21">
        <f>Faces!D244</f>
        <v>109</v>
      </c>
      <c r="K244" s="22">
        <f>VLOOKUP(J244,Vertices!$A$11:$J$203,7,FALSE )-$C$7</f>
        <v>-10.104999999999997</v>
      </c>
      <c r="L244" s="22">
        <f>VLOOKUP(J244,Vertices!$A$11:$J$203,8,FALSE )-$D$7</f>
        <v>58.07</v>
      </c>
      <c r="M244" s="23">
        <f>VLOOKUP(J244,Vertices!$A$11:$J$203,9,FALSE )-$E$7</f>
        <v>27.09</v>
      </c>
      <c r="N244" s="16">
        <f t="shared" si="6"/>
        <v>1472.3122704999996</v>
      </c>
      <c r="O244" s="16">
        <f t="shared" si="7"/>
        <v>1472.3122704999996</v>
      </c>
    </row>
    <row r="245" spans="1:15" x14ac:dyDescent="0.25">
      <c r="A245">
        <f>Faces!A245</f>
        <v>235</v>
      </c>
      <c r="B245" s="21">
        <f>Faces!B245</f>
        <v>75</v>
      </c>
      <c r="C245" s="22">
        <f>VLOOKUP(B245,Vertices!$A$11:$J$203,7,FALSE )-$C$7</f>
        <v>-3.2049999999999983</v>
      </c>
      <c r="D245" s="22">
        <f>VLOOKUP(B245,Vertices!$A$11:$J$203,8,FALSE )-$D$7</f>
        <v>69.27</v>
      </c>
      <c r="E245" s="23">
        <f>VLOOKUP(B245,Vertices!$A$11:$J$203,9,FALSE )-$E$7</f>
        <v>32.31</v>
      </c>
      <c r="F245" s="21">
        <f>Faces!C245</f>
        <v>116</v>
      </c>
      <c r="G245" s="22">
        <f>VLOOKUP(F245,Vertices!$A$11:$J$203,7,FALSE )-$C$7</f>
        <v>-10.844999999999999</v>
      </c>
      <c r="H245" s="22">
        <f>VLOOKUP(F245,Vertices!$A$11:$J$203,8,FALSE )-$D$7</f>
        <v>56.54</v>
      </c>
      <c r="I245" s="23">
        <f>VLOOKUP(F245,Vertices!$A$11:$J$203,9,FALSE )-$E$7</f>
        <v>39.47</v>
      </c>
      <c r="J245" s="21">
        <f>Faces!D245</f>
        <v>109</v>
      </c>
      <c r="K245" s="22">
        <f>VLOOKUP(J245,Vertices!$A$11:$J$203,7,FALSE )-$C$7</f>
        <v>-10.104999999999997</v>
      </c>
      <c r="L245" s="22">
        <f>VLOOKUP(J245,Vertices!$A$11:$J$203,8,FALSE )-$D$7</f>
        <v>58.07</v>
      </c>
      <c r="M245" s="23">
        <f>VLOOKUP(J245,Vertices!$A$11:$J$203,9,FALSE )-$E$7</f>
        <v>27.09</v>
      </c>
      <c r="N245" s="16">
        <f t="shared" si="6"/>
        <v>1121.3431698333327</v>
      </c>
      <c r="O245" s="16">
        <f t="shared" si="7"/>
        <v>1121.3431698333327</v>
      </c>
    </row>
    <row r="246" spans="1:15" x14ac:dyDescent="0.25">
      <c r="A246">
        <f>Faces!A246</f>
        <v>236</v>
      </c>
      <c r="B246" s="21">
        <f>Faces!B246</f>
        <v>75</v>
      </c>
      <c r="C246" s="22">
        <f>VLOOKUP(B246,Vertices!$A$11:$J$203,7,FALSE )-$C$7</f>
        <v>-3.2049999999999983</v>
      </c>
      <c r="D246" s="22">
        <f>VLOOKUP(B246,Vertices!$A$11:$J$203,8,FALSE )-$D$7</f>
        <v>69.27</v>
      </c>
      <c r="E246" s="23">
        <f>VLOOKUP(B246,Vertices!$A$11:$J$203,9,FALSE )-$E$7</f>
        <v>32.31</v>
      </c>
      <c r="F246" s="21">
        <f>Faces!C246</f>
        <v>86</v>
      </c>
      <c r="G246" s="22">
        <f>VLOOKUP(F246,Vertices!$A$11:$J$203,7,FALSE )-$C$7</f>
        <v>-4.4549999999999983</v>
      </c>
      <c r="H246" s="22">
        <f>VLOOKUP(F246,Vertices!$A$11:$J$203,8,FALSE )-$D$7</f>
        <v>68</v>
      </c>
      <c r="I246" s="23">
        <f>VLOOKUP(F246,Vertices!$A$11:$J$203,9,FALSE )-$E$7</f>
        <v>48</v>
      </c>
      <c r="J246" s="21">
        <f>Faces!D246</f>
        <v>116</v>
      </c>
      <c r="K246" s="22">
        <f>VLOOKUP(J246,Vertices!$A$11:$J$203,7,FALSE )-$C$7</f>
        <v>-10.844999999999999</v>
      </c>
      <c r="L246" s="22">
        <f>VLOOKUP(J246,Vertices!$A$11:$J$203,8,FALSE )-$D$7</f>
        <v>56.54</v>
      </c>
      <c r="M246" s="23">
        <f>VLOOKUP(J246,Vertices!$A$11:$J$203,9,FALSE )-$E$7</f>
        <v>39.47</v>
      </c>
      <c r="N246" s="16">
        <f t="shared" si="6"/>
        <v>1348.9844379166661</v>
      </c>
      <c r="O246" s="16">
        <f t="shared" si="7"/>
        <v>1348.9844379166661</v>
      </c>
    </row>
    <row r="247" spans="1:15" x14ac:dyDescent="0.25">
      <c r="A247">
        <f>Faces!A247</f>
        <v>237</v>
      </c>
      <c r="B247" s="21">
        <f>Faces!B247</f>
        <v>92</v>
      </c>
      <c r="C247" s="22">
        <f>VLOOKUP(B247,Vertices!$A$11:$J$203,7,FALSE )-$C$7</f>
        <v>-10.155000000000001</v>
      </c>
      <c r="D247" s="22">
        <f>VLOOKUP(B247,Vertices!$A$11:$J$203,8,FALSE )-$D$7</f>
        <v>63.56</v>
      </c>
      <c r="E247" s="23">
        <f>VLOOKUP(B247,Vertices!$A$11:$J$203,9,FALSE )-$E$7</f>
        <v>-3.99</v>
      </c>
      <c r="F247" s="21">
        <f>Faces!C247</f>
        <v>103</v>
      </c>
      <c r="G247" s="22">
        <f>VLOOKUP(F247,Vertices!$A$11:$J$203,7,FALSE )-$C$7</f>
        <v>-9.9949999999999974</v>
      </c>
      <c r="H247" s="22">
        <f>VLOOKUP(F247,Vertices!$A$11:$J$203,8,FALSE )-$D$7</f>
        <v>62.73</v>
      </c>
      <c r="I247" s="23">
        <f>VLOOKUP(F247,Vertices!$A$11:$J$203,9,FALSE )-$E$7</f>
        <v>0.23</v>
      </c>
      <c r="J247" s="21">
        <f>Faces!D247</f>
        <v>122</v>
      </c>
      <c r="K247" s="22">
        <f>VLOOKUP(J247,Vertices!$A$11:$J$203,7,FALSE )-$C$7</f>
        <v>-16.725000000000001</v>
      </c>
      <c r="L247" s="22">
        <f>VLOOKUP(J247,Vertices!$A$11:$J$203,8,FALSE )-$D$7</f>
        <v>52.41</v>
      </c>
      <c r="M247" s="23">
        <f>VLOOKUP(J247,Vertices!$A$11:$J$203,9,FALSE )-$E$7</f>
        <v>-3.59</v>
      </c>
      <c r="N247" s="16">
        <f t="shared" si="6"/>
        <v>368.64499833333343</v>
      </c>
      <c r="O247" s="16">
        <f t="shared" si="7"/>
        <v>368.64499833333343</v>
      </c>
    </row>
    <row r="248" spans="1:15" x14ac:dyDescent="0.25">
      <c r="A248">
        <f>Faces!A248</f>
        <v>238</v>
      </c>
      <c r="B248" s="21">
        <f>Faces!B248</f>
        <v>122</v>
      </c>
      <c r="C248" s="22">
        <f>VLOOKUP(B248,Vertices!$A$11:$J$203,7,FALSE )-$C$7</f>
        <v>-16.725000000000001</v>
      </c>
      <c r="D248" s="22">
        <f>VLOOKUP(B248,Vertices!$A$11:$J$203,8,FALSE )-$D$7</f>
        <v>52.41</v>
      </c>
      <c r="E248" s="23">
        <f>VLOOKUP(B248,Vertices!$A$11:$J$203,9,FALSE )-$E$7</f>
        <v>-3.59</v>
      </c>
      <c r="F248" s="21">
        <f>Faces!C248</f>
        <v>103</v>
      </c>
      <c r="G248" s="22">
        <f>VLOOKUP(F248,Vertices!$A$11:$J$203,7,FALSE )-$C$7</f>
        <v>-9.9949999999999974</v>
      </c>
      <c r="H248" s="22">
        <f>VLOOKUP(F248,Vertices!$A$11:$J$203,8,FALSE )-$D$7</f>
        <v>62.73</v>
      </c>
      <c r="I248" s="23">
        <f>VLOOKUP(F248,Vertices!$A$11:$J$203,9,FALSE )-$E$7</f>
        <v>0.23</v>
      </c>
      <c r="J248" s="21">
        <f>Faces!D248</f>
        <v>131</v>
      </c>
      <c r="K248" s="22">
        <f>VLOOKUP(J248,Vertices!$A$11:$J$203,7,FALSE )-$C$7</f>
        <v>-16.534999999999997</v>
      </c>
      <c r="L248" s="22">
        <f>VLOOKUP(J248,Vertices!$A$11:$J$203,8,FALSE )-$D$7</f>
        <v>50.69</v>
      </c>
      <c r="M248" s="23">
        <f>VLOOKUP(J248,Vertices!$A$11:$J$203,9,FALSE )-$E$7</f>
        <v>3.68</v>
      </c>
      <c r="N248" s="16">
        <f t="shared" si="6"/>
        <v>640.39015616666666</v>
      </c>
      <c r="O248" s="16">
        <f t="shared" si="7"/>
        <v>640.39015616666666</v>
      </c>
    </row>
    <row r="249" spans="1:15" x14ac:dyDescent="0.25">
      <c r="A249">
        <f>Faces!A249</f>
        <v>239</v>
      </c>
      <c r="B249" s="21">
        <f>Faces!B249</f>
        <v>103</v>
      </c>
      <c r="C249" s="22">
        <f>VLOOKUP(B249,Vertices!$A$11:$J$203,7,FALSE )-$C$7</f>
        <v>-9.9949999999999974</v>
      </c>
      <c r="D249" s="22">
        <f>VLOOKUP(B249,Vertices!$A$11:$J$203,8,FALSE )-$D$7</f>
        <v>62.73</v>
      </c>
      <c r="E249" s="23">
        <f>VLOOKUP(B249,Vertices!$A$11:$J$203,9,FALSE )-$E$7</f>
        <v>0.23</v>
      </c>
      <c r="F249" s="21">
        <f>Faces!C249</f>
        <v>105</v>
      </c>
      <c r="G249" s="22">
        <f>VLOOKUP(F249,Vertices!$A$11:$J$203,7,FALSE )-$C$7</f>
        <v>-9.884999999999998</v>
      </c>
      <c r="H249" s="22">
        <f>VLOOKUP(F249,Vertices!$A$11:$J$203,8,FALSE )-$D$7</f>
        <v>61.71</v>
      </c>
      <c r="I249" s="23">
        <f>VLOOKUP(F249,Vertices!$A$11:$J$203,9,FALSE )-$E$7</f>
        <v>4.66</v>
      </c>
      <c r="J249" s="21">
        <f>Faces!D249</f>
        <v>131</v>
      </c>
      <c r="K249" s="22">
        <f>VLOOKUP(J249,Vertices!$A$11:$J$203,7,FALSE )-$C$7</f>
        <v>-16.534999999999997</v>
      </c>
      <c r="L249" s="22">
        <f>VLOOKUP(J249,Vertices!$A$11:$J$203,8,FALSE )-$D$7</f>
        <v>50.69</v>
      </c>
      <c r="M249" s="23">
        <f>VLOOKUP(J249,Vertices!$A$11:$J$203,9,FALSE )-$E$7</f>
        <v>3.68</v>
      </c>
      <c r="N249" s="16">
        <f t="shared" si="6"/>
        <v>390.16732433333323</v>
      </c>
      <c r="O249" s="16">
        <f t="shared" si="7"/>
        <v>390.16732433333323</v>
      </c>
    </row>
    <row r="250" spans="1:15" x14ac:dyDescent="0.25">
      <c r="A250">
        <f>Faces!A250</f>
        <v>240</v>
      </c>
      <c r="B250" s="21">
        <f>Faces!B250</f>
        <v>105</v>
      </c>
      <c r="C250" s="22">
        <f>VLOOKUP(B250,Vertices!$A$11:$J$203,7,FALSE )-$C$7</f>
        <v>-9.884999999999998</v>
      </c>
      <c r="D250" s="22">
        <f>VLOOKUP(B250,Vertices!$A$11:$J$203,8,FALSE )-$D$7</f>
        <v>61.71</v>
      </c>
      <c r="E250" s="23">
        <f>VLOOKUP(B250,Vertices!$A$11:$J$203,9,FALSE )-$E$7</f>
        <v>4.66</v>
      </c>
      <c r="F250" s="21">
        <f>Faces!C250</f>
        <v>133</v>
      </c>
      <c r="G250" s="22">
        <f>VLOOKUP(F250,Vertices!$A$11:$J$203,7,FALSE )-$C$7</f>
        <v>-16.634999999999998</v>
      </c>
      <c r="H250" s="22">
        <f>VLOOKUP(F250,Vertices!$A$11:$J$203,8,FALSE )-$D$7</f>
        <v>49.2</v>
      </c>
      <c r="I250" s="23">
        <f>VLOOKUP(F250,Vertices!$A$11:$J$203,9,FALSE )-$E$7</f>
        <v>11.03</v>
      </c>
      <c r="J250" s="21">
        <f>Faces!D250</f>
        <v>131</v>
      </c>
      <c r="K250" s="22">
        <f>VLOOKUP(J250,Vertices!$A$11:$J$203,7,FALSE )-$C$7</f>
        <v>-16.534999999999997</v>
      </c>
      <c r="L250" s="22">
        <f>VLOOKUP(J250,Vertices!$A$11:$J$203,8,FALSE )-$D$7</f>
        <v>50.69</v>
      </c>
      <c r="M250" s="23">
        <f>VLOOKUP(J250,Vertices!$A$11:$J$203,9,FALSE )-$E$7</f>
        <v>3.68</v>
      </c>
      <c r="N250" s="16">
        <f t="shared" si="6"/>
        <v>646.40096950000009</v>
      </c>
      <c r="O250" s="16">
        <f t="shared" si="7"/>
        <v>646.40096950000009</v>
      </c>
    </row>
    <row r="251" spans="1:15" x14ac:dyDescent="0.25">
      <c r="A251">
        <f>Faces!A251</f>
        <v>241</v>
      </c>
      <c r="B251" s="21">
        <f>Faces!B251</f>
        <v>105</v>
      </c>
      <c r="C251" s="22">
        <f>VLOOKUP(B251,Vertices!$A$11:$J$203,7,FALSE )-$C$7</f>
        <v>-9.884999999999998</v>
      </c>
      <c r="D251" s="22">
        <f>VLOOKUP(B251,Vertices!$A$11:$J$203,8,FALSE )-$D$7</f>
        <v>61.71</v>
      </c>
      <c r="E251" s="23">
        <f>VLOOKUP(B251,Vertices!$A$11:$J$203,9,FALSE )-$E$7</f>
        <v>4.66</v>
      </c>
      <c r="F251" s="21">
        <f>Faces!C251</f>
        <v>107</v>
      </c>
      <c r="G251" s="22">
        <f>VLOOKUP(F251,Vertices!$A$11:$J$203,7,FALSE )-$C$7</f>
        <v>-9.7950000000000017</v>
      </c>
      <c r="H251" s="22">
        <f>VLOOKUP(F251,Vertices!$A$11:$J$203,8,FALSE )-$D$7</f>
        <v>60.22</v>
      </c>
      <c r="I251" s="23">
        <f>VLOOKUP(F251,Vertices!$A$11:$J$203,9,FALSE )-$E$7</f>
        <v>13.63</v>
      </c>
      <c r="J251" s="21">
        <f>Faces!D251</f>
        <v>133</v>
      </c>
      <c r="K251" s="22">
        <f>VLOOKUP(J251,Vertices!$A$11:$J$203,7,FALSE )-$C$7</f>
        <v>-16.634999999999998</v>
      </c>
      <c r="L251" s="22">
        <f>VLOOKUP(J251,Vertices!$A$11:$J$203,8,FALSE )-$D$7</f>
        <v>49.2</v>
      </c>
      <c r="M251" s="23">
        <f>VLOOKUP(J251,Vertices!$A$11:$J$203,9,FALSE )-$E$7</f>
        <v>11.03</v>
      </c>
      <c r="N251" s="16">
        <f t="shared" si="6"/>
        <v>806.55000349999898</v>
      </c>
      <c r="O251" s="16">
        <f t="shared" si="7"/>
        <v>806.55000349999898</v>
      </c>
    </row>
    <row r="252" spans="1:15" x14ac:dyDescent="0.25">
      <c r="A252">
        <f>Faces!A252</f>
        <v>242</v>
      </c>
      <c r="B252" s="21">
        <f>Faces!B252</f>
        <v>107</v>
      </c>
      <c r="C252" s="22">
        <f>VLOOKUP(B252,Vertices!$A$11:$J$203,7,FALSE )-$C$7</f>
        <v>-9.7950000000000017</v>
      </c>
      <c r="D252" s="22">
        <f>VLOOKUP(B252,Vertices!$A$11:$J$203,8,FALSE )-$D$7</f>
        <v>60.22</v>
      </c>
      <c r="E252" s="23">
        <f>VLOOKUP(B252,Vertices!$A$11:$J$203,9,FALSE )-$E$7</f>
        <v>13.63</v>
      </c>
      <c r="F252" s="21">
        <f>Faces!C252</f>
        <v>135</v>
      </c>
      <c r="G252" s="22">
        <f>VLOOKUP(F252,Vertices!$A$11:$J$203,7,FALSE )-$C$7</f>
        <v>-16.795000000000002</v>
      </c>
      <c r="H252" s="22">
        <f>VLOOKUP(F252,Vertices!$A$11:$J$203,8,FALSE )-$D$7</f>
        <v>47.17</v>
      </c>
      <c r="I252" s="23">
        <f>VLOOKUP(F252,Vertices!$A$11:$J$203,9,FALSE )-$E$7</f>
        <v>21.98</v>
      </c>
      <c r="J252" s="21">
        <f>Faces!D252</f>
        <v>133</v>
      </c>
      <c r="K252" s="22">
        <f>VLOOKUP(J252,Vertices!$A$11:$J$203,7,FALSE )-$C$7</f>
        <v>-16.634999999999998</v>
      </c>
      <c r="L252" s="22">
        <f>VLOOKUP(J252,Vertices!$A$11:$J$203,8,FALSE )-$D$7</f>
        <v>49.2</v>
      </c>
      <c r="M252" s="23">
        <f>VLOOKUP(J252,Vertices!$A$11:$J$203,9,FALSE )-$E$7</f>
        <v>11.03</v>
      </c>
      <c r="N252" s="16">
        <f t="shared" si="6"/>
        <v>989.04713416666618</v>
      </c>
      <c r="O252" s="16">
        <f t="shared" si="7"/>
        <v>989.04713416666618</v>
      </c>
    </row>
    <row r="253" spans="1:15" x14ac:dyDescent="0.25">
      <c r="A253">
        <f>Faces!A253</f>
        <v>243</v>
      </c>
      <c r="B253" s="21">
        <f>Faces!B253</f>
        <v>107</v>
      </c>
      <c r="C253" s="22">
        <f>VLOOKUP(B253,Vertices!$A$11:$J$203,7,FALSE )-$C$7</f>
        <v>-9.7950000000000017</v>
      </c>
      <c r="D253" s="22">
        <f>VLOOKUP(B253,Vertices!$A$11:$J$203,8,FALSE )-$D$7</f>
        <v>60.22</v>
      </c>
      <c r="E253" s="23">
        <f>VLOOKUP(B253,Vertices!$A$11:$J$203,9,FALSE )-$E$7</f>
        <v>13.63</v>
      </c>
      <c r="F253" s="21">
        <f>Faces!C253</f>
        <v>109</v>
      </c>
      <c r="G253" s="22">
        <f>VLOOKUP(F253,Vertices!$A$11:$J$203,7,FALSE )-$C$7</f>
        <v>-10.104999999999997</v>
      </c>
      <c r="H253" s="22">
        <f>VLOOKUP(F253,Vertices!$A$11:$J$203,8,FALSE )-$D$7</f>
        <v>58.07</v>
      </c>
      <c r="I253" s="23">
        <f>VLOOKUP(F253,Vertices!$A$11:$J$203,9,FALSE )-$E$7</f>
        <v>27.09</v>
      </c>
      <c r="J253" s="21">
        <f>Faces!D253</f>
        <v>135</v>
      </c>
      <c r="K253" s="22">
        <f>VLOOKUP(J253,Vertices!$A$11:$J$203,7,FALSE )-$C$7</f>
        <v>-16.795000000000002</v>
      </c>
      <c r="L253" s="22">
        <f>VLOOKUP(J253,Vertices!$A$11:$J$203,8,FALSE )-$D$7</f>
        <v>47.17</v>
      </c>
      <c r="M253" s="23">
        <f>VLOOKUP(J253,Vertices!$A$11:$J$203,9,FALSE )-$E$7</f>
        <v>21.98</v>
      </c>
      <c r="N253" s="16">
        <f t="shared" si="6"/>
        <v>1202.1194437500001</v>
      </c>
      <c r="O253" s="16">
        <f t="shared" si="7"/>
        <v>1202.1194437500001</v>
      </c>
    </row>
    <row r="254" spans="1:15" x14ac:dyDescent="0.25">
      <c r="A254">
        <f>Faces!A254</f>
        <v>244</v>
      </c>
      <c r="B254" s="21">
        <f>Faces!B254</f>
        <v>109</v>
      </c>
      <c r="C254" s="22">
        <f>VLOOKUP(B254,Vertices!$A$11:$J$203,7,FALSE )-$C$7</f>
        <v>-10.104999999999997</v>
      </c>
      <c r="D254" s="22">
        <f>VLOOKUP(B254,Vertices!$A$11:$J$203,8,FALSE )-$D$7</f>
        <v>58.07</v>
      </c>
      <c r="E254" s="23">
        <f>VLOOKUP(B254,Vertices!$A$11:$J$203,9,FALSE )-$E$7</f>
        <v>27.09</v>
      </c>
      <c r="F254" s="21">
        <f>Faces!C254</f>
        <v>141</v>
      </c>
      <c r="G254" s="22">
        <f>VLOOKUP(F254,Vertices!$A$11:$J$203,7,FALSE )-$C$7</f>
        <v>-17.335000000000001</v>
      </c>
      <c r="H254" s="22">
        <f>VLOOKUP(F254,Vertices!$A$11:$J$203,8,FALSE )-$D$7</f>
        <v>45.71</v>
      </c>
      <c r="I254" s="23">
        <f>VLOOKUP(F254,Vertices!$A$11:$J$203,9,FALSE )-$E$7</f>
        <v>31.75</v>
      </c>
      <c r="J254" s="21">
        <f>Faces!D254</f>
        <v>135</v>
      </c>
      <c r="K254" s="22">
        <f>VLOOKUP(J254,Vertices!$A$11:$J$203,7,FALSE )-$C$7</f>
        <v>-16.795000000000002</v>
      </c>
      <c r="L254" s="22">
        <f>VLOOKUP(J254,Vertices!$A$11:$J$203,8,FALSE )-$D$7</f>
        <v>47.17</v>
      </c>
      <c r="M254" s="23">
        <f>VLOOKUP(J254,Vertices!$A$11:$J$203,9,FALSE )-$E$7</f>
        <v>21.98</v>
      </c>
      <c r="N254" s="16">
        <f t="shared" si="6"/>
        <v>868.73621716666696</v>
      </c>
      <c r="O254" s="16">
        <f t="shared" si="7"/>
        <v>868.73621716666696</v>
      </c>
    </row>
    <row r="255" spans="1:15" x14ac:dyDescent="0.25">
      <c r="A255">
        <f>Faces!A255</f>
        <v>245</v>
      </c>
      <c r="B255" s="21">
        <f>Faces!B255</f>
        <v>109</v>
      </c>
      <c r="C255" s="22">
        <f>VLOOKUP(B255,Vertices!$A$11:$J$203,7,FALSE )-$C$7</f>
        <v>-10.104999999999997</v>
      </c>
      <c r="D255" s="22">
        <f>VLOOKUP(B255,Vertices!$A$11:$J$203,8,FALSE )-$D$7</f>
        <v>58.07</v>
      </c>
      <c r="E255" s="23">
        <f>VLOOKUP(B255,Vertices!$A$11:$J$203,9,FALSE )-$E$7</f>
        <v>27.09</v>
      </c>
      <c r="F255" s="21">
        <f>Faces!C255</f>
        <v>116</v>
      </c>
      <c r="G255" s="22">
        <f>VLOOKUP(F255,Vertices!$A$11:$J$203,7,FALSE )-$C$7</f>
        <v>-10.844999999999999</v>
      </c>
      <c r="H255" s="22">
        <f>VLOOKUP(F255,Vertices!$A$11:$J$203,8,FALSE )-$D$7</f>
        <v>56.54</v>
      </c>
      <c r="I255" s="23">
        <f>VLOOKUP(F255,Vertices!$A$11:$J$203,9,FALSE )-$E$7</f>
        <v>39.47</v>
      </c>
      <c r="J255" s="21">
        <f>Faces!D255</f>
        <v>141</v>
      </c>
      <c r="K255" s="22">
        <f>VLOOKUP(J255,Vertices!$A$11:$J$203,7,FALSE )-$C$7</f>
        <v>-17.335000000000001</v>
      </c>
      <c r="L255" s="22">
        <f>VLOOKUP(J255,Vertices!$A$11:$J$203,8,FALSE )-$D$7</f>
        <v>45.71</v>
      </c>
      <c r="M255" s="23">
        <f>VLOOKUP(J255,Vertices!$A$11:$J$203,9,FALSE )-$E$7</f>
        <v>31.75</v>
      </c>
      <c r="N255" s="16">
        <f t="shared" si="6"/>
        <v>1087.254193333333</v>
      </c>
      <c r="O255" s="16">
        <f t="shared" si="7"/>
        <v>1087.254193333333</v>
      </c>
    </row>
    <row r="256" spans="1:15" x14ac:dyDescent="0.25">
      <c r="A256">
        <f>Faces!A256</f>
        <v>246</v>
      </c>
      <c r="B256" s="21">
        <f>Faces!B256</f>
        <v>122</v>
      </c>
      <c r="C256" s="22">
        <f>VLOOKUP(B256,Vertices!$A$11:$J$203,7,FALSE )-$C$7</f>
        <v>-16.725000000000001</v>
      </c>
      <c r="D256" s="22">
        <f>VLOOKUP(B256,Vertices!$A$11:$J$203,8,FALSE )-$D$7</f>
        <v>52.41</v>
      </c>
      <c r="E256" s="23">
        <f>VLOOKUP(B256,Vertices!$A$11:$J$203,9,FALSE )-$E$7</f>
        <v>-3.59</v>
      </c>
      <c r="F256" s="21">
        <f>Faces!C256</f>
        <v>155</v>
      </c>
      <c r="G256" s="22">
        <f>VLOOKUP(F256,Vertices!$A$11:$J$203,7,FALSE )-$C$7</f>
        <v>-23.594999999999999</v>
      </c>
      <c r="H256" s="22">
        <f>VLOOKUP(F256,Vertices!$A$11:$J$203,8,FALSE )-$D$7</f>
        <v>39.67</v>
      </c>
      <c r="I256" s="23">
        <f>VLOOKUP(F256,Vertices!$A$11:$J$203,9,FALSE )-$E$7</f>
        <v>3.2</v>
      </c>
      <c r="J256" s="21">
        <f>Faces!D256</f>
        <v>146</v>
      </c>
      <c r="K256" s="22">
        <f>VLOOKUP(J256,Vertices!$A$11:$J$203,7,FALSE )-$C$7</f>
        <v>-23.754999999999999</v>
      </c>
      <c r="L256" s="22">
        <f>VLOOKUP(J256,Vertices!$A$11:$J$203,8,FALSE )-$D$7</f>
        <v>41.31</v>
      </c>
      <c r="M256" s="23">
        <f>VLOOKUP(J256,Vertices!$A$11:$J$203,9,FALSE )-$E$7</f>
        <v>-2.4700000000000002</v>
      </c>
      <c r="N256" s="16">
        <f t="shared" si="6"/>
        <v>512.09914833333312</v>
      </c>
      <c r="O256" s="16">
        <f t="shared" si="7"/>
        <v>512.09914833333312</v>
      </c>
    </row>
    <row r="257" spans="1:15" x14ac:dyDescent="0.25">
      <c r="A257">
        <f>Faces!A257</f>
        <v>247</v>
      </c>
      <c r="B257" s="21">
        <f>Faces!B257</f>
        <v>122</v>
      </c>
      <c r="C257" s="22">
        <f>VLOOKUP(B257,Vertices!$A$11:$J$203,7,FALSE )-$C$7</f>
        <v>-16.725000000000001</v>
      </c>
      <c r="D257" s="22">
        <f>VLOOKUP(B257,Vertices!$A$11:$J$203,8,FALSE )-$D$7</f>
        <v>52.41</v>
      </c>
      <c r="E257" s="23">
        <f>VLOOKUP(B257,Vertices!$A$11:$J$203,9,FALSE )-$E$7</f>
        <v>-3.59</v>
      </c>
      <c r="F257" s="21">
        <f>Faces!C257</f>
        <v>131</v>
      </c>
      <c r="G257" s="22">
        <f>VLOOKUP(F257,Vertices!$A$11:$J$203,7,FALSE )-$C$7</f>
        <v>-16.534999999999997</v>
      </c>
      <c r="H257" s="22">
        <f>VLOOKUP(F257,Vertices!$A$11:$J$203,8,FALSE )-$D$7</f>
        <v>50.69</v>
      </c>
      <c r="I257" s="23">
        <f>VLOOKUP(F257,Vertices!$A$11:$J$203,9,FALSE )-$E$7</f>
        <v>3.68</v>
      </c>
      <c r="J257" s="21">
        <f>Faces!D257</f>
        <v>155</v>
      </c>
      <c r="K257" s="22">
        <f>VLOOKUP(J257,Vertices!$A$11:$J$203,7,FALSE )-$C$7</f>
        <v>-23.594999999999999</v>
      </c>
      <c r="L257" s="22">
        <f>VLOOKUP(J257,Vertices!$A$11:$J$203,8,FALSE )-$D$7</f>
        <v>39.67</v>
      </c>
      <c r="M257" s="23">
        <f>VLOOKUP(J257,Vertices!$A$11:$J$203,9,FALSE )-$E$7</f>
        <v>3.2</v>
      </c>
      <c r="N257" s="16">
        <f t="shared" si="6"/>
        <v>664.64229083333328</v>
      </c>
      <c r="O257" s="16">
        <f t="shared" si="7"/>
        <v>664.64229083333328</v>
      </c>
    </row>
    <row r="258" spans="1:15" x14ac:dyDescent="0.25">
      <c r="A258">
        <f>Faces!A258</f>
        <v>248</v>
      </c>
      <c r="B258" s="21">
        <f>Faces!B258</f>
        <v>131</v>
      </c>
      <c r="C258" s="22">
        <f>VLOOKUP(B258,Vertices!$A$11:$J$203,7,FALSE )-$C$7</f>
        <v>-16.534999999999997</v>
      </c>
      <c r="D258" s="22">
        <f>VLOOKUP(B258,Vertices!$A$11:$J$203,8,FALSE )-$D$7</f>
        <v>50.69</v>
      </c>
      <c r="E258" s="23">
        <f>VLOOKUP(B258,Vertices!$A$11:$J$203,9,FALSE )-$E$7</f>
        <v>3.68</v>
      </c>
      <c r="F258" s="21">
        <f>Faces!C258</f>
        <v>157</v>
      </c>
      <c r="G258" s="22">
        <f>VLOOKUP(F258,Vertices!$A$11:$J$203,7,FALSE )-$C$7</f>
        <v>-23.614999999999998</v>
      </c>
      <c r="H258" s="22">
        <f>VLOOKUP(F258,Vertices!$A$11:$J$203,8,FALSE )-$D$7</f>
        <v>38.18</v>
      </c>
      <c r="I258" s="23">
        <f>VLOOKUP(F258,Vertices!$A$11:$J$203,9,FALSE )-$E$7</f>
        <v>8.74</v>
      </c>
      <c r="J258" s="21">
        <f>Faces!D258</f>
        <v>155</v>
      </c>
      <c r="K258" s="22">
        <f>VLOOKUP(J258,Vertices!$A$11:$J$203,7,FALSE )-$C$7</f>
        <v>-23.594999999999999</v>
      </c>
      <c r="L258" s="22">
        <f>VLOOKUP(J258,Vertices!$A$11:$J$203,8,FALSE )-$D$7</f>
        <v>39.67</v>
      </c>
      <c r="M258" s="23">
        <f>VLOOKUP(J258,Vertices!$A$11:$J$203,9,FALSE )-$E$7</f>
        <v>3.2</v>
      </c>
      <c r="N258" s="16">
        <f t="shared" si="6"/>
        <v>507.04921833333333</v>
      </c>
      <c r="O258" s="16">
        <f t="shared" si="7"/>
        <v>507.04921833333333</v>
      </c>
    </row>
    <row r="259" spans="1:15" x14ac:dyDescent="0.25">
      <c r="A259">
        <f>Faces!A259</f>
        <v>249</v>
      </c>
      <c r="B259" s="21">
        <f>Faces!B259</f>
        <v>131</v>
      </c>
      <c r="C259" s="22">
        <f>VLOOKUP(B259,Vertices!$A$11:$J$203,7,FALSE )-$C$7</f>
        <v>-16.534999999999997</v>
      </c>
      <c r="D259" s="22">
        <f>VLOOKUP(B259,Vertices!$A$11:$J$203,8,FALSE )-$D$7</f>
        <v>50.69</v>
      </c>
      <c r="E259" s="23">
        <f>VLOOKUP(B259,Vertices!$A$11:$J$203,9,FALSE )-$E$7</f>
        <v>3.68</v>
      </c>
      <c r="F259" s="21">
        <f>Faces!C259</f>
        <v>133</v>
      </c>
      <c r="G259" s="22">
        <f>VLOOKUP(F259,Vertices!$A$11:$J$203,7,FALSE )-$C$7</f>
        <v>-16.634999999999998</v>
      </c>
      <c r="H259" s="22">
        <f>VLOOKUP(F259,Vertices!$A$11:$J$203,8,FALSE )-$D$7</f>
        <v>49.2</v>
      </c>
      <c r="I259" s="23">
        <f>VLOOKUP(F259,Vertices!$A$11:$J$203,9,FALSE )-$E$7</f>
        <v>11.03</v>
      </c>
      <c r="J259" s="21">
        <f>Faces!D259</f>
        <v>157</v>
      </c>
      <c r="K259" s="22">
        <f>VLOOKUP(J259,Vertices!$A$11:$J$203,7,FALSE )-$C$7</f>
        <v>-23.614999999999998</v>
      </c>
      <c r="L259" s="22">
        <f>VLOOKUP(J259,Vertices!$A$11:$J$203,8,FALSE )-$D$7</f>
        <v>38.18</v>
      </c>
      <c r="M259" s="23">
        <f>VLOOKUP(J259,Vertices!$A$11:$J$203,9,FALSE )-$E$7</f>
        <v>8.74</v>
      </c>
      <c r="N259" s="16">
        <f t="shared" si="6"/>
        <v>673.67982074999998</v>
      </c>
      <c r="O259" s="16">
        <f t="shared" si="7"/>
        <v>673.67982074999998</v>
      </c>
    </row>
    <row r="260" spans="1:15" x14ac:dyDescent="0.25">
      <c r="A260">
        <f>Faces!A260</f>
        <v>250</v>
      </c>
      <c r="B260" s="21">
        <f>Faces!B260</f>
        <v>133</v>
      </c>
      <c r="C260" s="22">
        <f>VLOOKUP(B260,Vertices!$A$11:$J$203,7,FALSE )-$C$7</f>
        <v>-16.634999999999998</v>
      </c>
      <c r="D260" s="22">
        <f>VLOOKUP(B260,Vertices!$A$11:$J$203,8,FALSE )-$D$7</f>
        <v>49.2</v>
      </c>
      <c r="E260" s="23">
        <f>VLOOKUP(B260,Vertices!$A$11:$J$203,9,FALSE )-$E$7</f>
        <v>11.03</v>
      </c>
      <c r="F260" s="21">
        <f>Faces!C260</f>
        <v>159</v>
      </c>
      <c r="G260" s="22">
        <f>VLOOKUP(F260,Vertices!$A$11:$J$203,7,FALSE )-$C$7</f>
        <v>-23.654999999999998</v>
      </c>
      <c r="H260" s="22">
        <f>VLOOKUP(F260,Vertices!$A$11:$J$203,8,FALSE )-$D$7</f>
        <v>36.18</v>
      </c>
      <c r="I260" s="23">
        <f>VLOOKUP(F260,Vertices!$A$11:$J$203,9,FALSE )-$E$7</f>
        <v>16.940000000000001</v>
      </c>
      <c r="J260" s="21">
        <f>Faces!D260</f>
        <v>157</v>
      </c>
      <c r="K260" s="22">
        <f>VLOOKUP(J260,Vertices!$A$11:$J$203,7,FALSE )-$C$7</f>
        <v>-23.614999999999998</v>
      </c>
      <c r="L260" s="22">
        <f>VLOOKUP(J260,Vertices!$A$11:$J$203,8,FALSE )-$D$7</f>
        <v>38.18</v>
      </c>
      <c r="M260" s="23">
        <f>VLOOKUP(J260,Vertices!$A$11:$J$203,9,FALSE )-$E$7</f>
        <v>8.74</v>
      </c>
      <c r="N260" s="16">
        <f t="shared" si="6"/>
        <v>758.17135599999983</v>
      </c>
      <c r="O260" s="16">
        <f t="shared" si="7"/>
        <v>758.17135599999983</v>
      </c>
    </row>
    <row r="261" spans="1:15" x14ac:dyDescent="0.25">
      <c r="A261">
        <f>Faces!A261</f>
        <v>251</v>
      </c>
      <c r="B261" s="21">
        <f>Faces!B261</f>
        <v>133</v>
      </c>
      <c r="C261" s="22">
        <f>VLOOKUP(B261,Vertices!$A$11:$J$203,7,FALSE )-$C$7</f>
        <v>-16.634999999999998</v>
      </c>
      <c r="D261" s="22">
        <f>VLOOKUP(B261,Vertices!$A$11:$J$203,8,FALSE )-$D$7</f>
        <v>49.2</v>
      </c>
      <c r="E261" s="23">
        <f>VLOOKUP(B261,Vertices!$A$11:$J$203,9,FALSE )-$E$7</f>
        <v>11.03</v>
      </c>
      <c r="F261" s="21">
        <f>Faces!C261</f>
        <v>135</v>
      </c>
      <c r="G261" s="22">
        <f>VLOOKUP(F261,Vertices!$A$11:$J$203,7,FALSE )-$C$7</f>
        <v>-16.795000000000002</v>
      </c>
      <c r="H261" s="22">
        <f>VLOOKUP(F261,Vertices!$A$11:$J$203,8,FALSE )-$D$7</f>
        <v>47.17</v>
      </c>
      <c r="I261" s="23">
        <f>VLOOKUP(F261,Vertices!$A$11:$J$203,9,FALSE )-$E$7</f>
        <v>21.98</v>
      </c>
      <c r="J261" s="21">
        <f>Faces!D261</f>
        <v>159</v>
      </c>
      <c r="K261" s="22">
        <f>VLOOKUP(J261,Vertices!$A$11:$J$203,7,FALSE )-$C$7</f>
        <v>-23.654999999999998</v>
      </c>
      <c r="L261" s="22">
        <f>VLOOKUP(J261,Vertices!$A$11:$J$203,8,FALSE )-$D$7</f>
        <v>36.18</v>
      </c>
      <c r="M261" s="23">
        <f>VLOOKUP(J261,Vertices!$A$11:$J$203,9,FALSE )-$E$7</f>
        <v>16.940000000000001</v>
      </c>
      <c r="N261" s="16">
        <f t="shared" si="6"/>
        <v>1006.9496552500013</v>
      </c>
      <c r="O261" s="16">
        <f t="shared" si="7"/>
        <v>1006.9496552500013</v>
      </c>
    </row>
    <row r="262" spans="1:15" x14ac:dyDescent="0.25">
      <c r="A262">
        <f>Faces!A262</f>
        <v>252</v>
      </c>
      <c r="B262" s="21">
        <f>Faces!B262</f>
        <v>135</v>
      </c>
      <c r="C262" s="22">
        <f>VLOOKUP(B262,Vertices!$A$11:$J$203,7,FALSE )-$C$7</f>
        <v>-16.795000000000002</v>
      </c>
      <c r="D262" s="22">
        <f>VLOOKUP(B262,Vertices!$A$11:$J$203,8,FALSE )-$D$7</f>
        <v>47.17</v>
      </c>
      <c r="E262" s="23">
        <f>VLOOKUP(B262,Vertices!$A$11:$J$203,9,FALSE )-$E$7</f>
        <v>21.98</v>
      </c>
      <c r="F262" s="21">
        <f>Faces!C262</f>
        <v>165</v>
      </c>
      <c r="G262" s="22">
        <f>VLOOKUP(F262,Vertices!$A$11:$J$203,7,FALSE )-$C$7</f>
        <v>-23.965</v>
      </c>
      <c r="H262" s="22">
        <f>VLOOKUP(F262,Vertices!$A$11:$J$203,8,FALSE )-$D$7</f>
        <v>34.659999999999997</v>
      </c>
      <c r="I262" s="23">
        <f>VLOOKUP(F262,Vertices!$A$11:$J$203,9,FALSE )-$E$7</f>
        <v>24.24</v>
      </c>
      <c r="J262" s="21">
        <f>Faces!D262</f>
        <v>159</v>
      </c>
      <c r="K262" s="22">
        <f>VLOOKUP(J262,Vertices!$A$11:$J$203,7,FALSE )-$C$7</f>
        <v>-23.654999999999998</v>
      </c>
      <c r="L262" s="22">
        <f>VLOOKUP(J262,Vertices!$A$11:$J$203,8,FALSE )-$D$7</f>
        <v>36.18</v>
      </c>
      <c r="M262" s="23">
        <f>VLOOKUP(J262,Vertices!$A$11:$J$203,9,FALSE )-$E$7</f>
        <v>16.940000000000001</v>
      </c>
      <c r="N262" s="16">
        <f t="shared" si="6"/>
        <v>677.70991049999918</v>
      </c>
      <c r="O262" s="16">
        <f t="shared" si="7"/>
        <v>677.70991049999918</v>
      </c>
    </row>
    <row r="263" spans="1:15" x14ac:dyDescent="0.25">
      <c r="A263">
        <f>Faces!A263</f>
        <v>253</v>
      </c>
      <c r="B263" s="21">
        <f>Faces!B263</f>
        <v>135</v>
      </c>
      <c r="C263" s="22">
        <f>VLOOKUP(B263,Vertices!$A$11:$J$203,7,FALSE )-$C$7</f>
        <v>-16.795000000000002</v>
      </c>
      <c r="D263" s="22">
        <f>VLOOKUP(B263,Vertices!$A$11:$J$203,8,FALSE )-$D$7</f>
        <v>47.17</v>
      </c>
      <c r="E263" s="23">
        <f>VLOOKUP(B263,Vertices!$A$11:$J$203,9,FALSE )-$E$7</f>
        <v>21.98</v>
      </c>
      <c r="F263" s="21">
        <f>Faces!C263</f>
        <v>141</v>
      </c>
      <c r="G263" s="22">
        <f>VLOOKUP(F263,Vertices!$A$11:$J$203,7,FALSE )-$C$7</f>
        <v>-17.335000000000001</v>
      </c>
      <c r="H263" s="22">
        <f>VLOOKUP(F263,Vertices!$A$11:$J$203,8,FALSE )-$D$7</f>
        <v>45.71</v>
      </c>
      <c r="I263" s="23">
        <f>VLOOKUP(F263,Vertices!$A$11:$J$203,9,FALSE )-$E$7</f>
        <v>31.75</v>
      </c>
      <c r="J263" s="21">
        <f>Faces!D263</f>
        <v>165</v>
      </c>
      <c r="K263" s="22">
        <f>VLOOKUP(J263,Vertices!$A$11:$J$203,7,FALSE )-$C$7</f>
        <v>-23.965</v>
      </c>
      <c r="L263" s="22">
        <f>VLOOKUP(J263,Vertices!$A$11:$J$203,8,FALSE )-$D$7</f>
        <v>34.659999999999997</v>
      </c>
      <c r="M263" s="23">
        <f>VLOOKUP(J263,Vertices!$A$11:$J$203,9,FALSE )-$E$7</f>
        <v>24.24</v>
      </c>
      <c r="N263" s="16">
        <f t="shared" si="6"/>
        <v>887.60924891666582</v>
      </c>
      <c r="O263" s="16">
        <f t="shared" si="7"/>
        <v>887.60924891666582</v>
      </c>
    </row>
    <row r="264" spans="1:15" x14ac:dyDescent="0.25">
      <c r="A264">
        <f>Faces!A264</f>
        <v>254</v>
      </c>
      <c r="B264" s="21">
        <f>Faces!B264</f>
        <v>146</v>
      </c>
      <c r="C264" s="22">
        <f>VLOOKUP(B264,Vertices!$A$11:$J$203,7,FALSE )-$C$7</f>
        <v>-23.754999999999999</v>
      </c>
      <c r="D264" s="22">
        <f>VLOOKUP(B264,Vertices!$A$11:$J$203,8,FALSE )-$D$7</f>
        <v>41.31</v>
      </c>
      <c r="E264" s="23">
        <f>VLOOKUP(B264,Vertices!$A$11:$J$203,9,FALSE )-$E$7</f>
        <v>-2.4700000000000002</v>
      </c>
      <c r="F264" s="21">
        <f>Faces!C264</f>
        <v>155</v>
      </c>
      <c r="G264" s="22">
        <f>VLOOKUP(F264,Vertices!$A$11:$J$203,7,FALSE )-$C$7</f>
        <v>-23.594999999999999</v>
      </c>
      <c r="H264" s="22">
        <f>VLOOKUP(F264,Vertices!$A$11:$J$203,8,FALSE )-$D$7</f>
        <v>39.67</v>
      </c>
      <c r="I264" s="23">
        <f>VLOOKUP(F264,Vertices!$A$11:$J$203,9,FALSE )-$E$7</f>
        <v>3.2</v>
      </c>
      <c r="J264" s="21">
        <f>Faces!D264</f>
        <v>170</v>
      </c>
      <c r="K264" s="22">
        <f>VLOOKUP(J264,Vertices!$A$11:$J$203,7,FALSE )-$C$7</f>
        <v>-32.155000000000001</v>
      </c>
      <c r="L264" s="22">
        <f>VLOOKUP(J264,Vertices!$A$11:$J$203,8,FALSE )-$D$7</f>
        <v>28.12</v>
      </c>
      <c r="M264" s="23">
        <f>VLOOKUP(J264,Vertices!$A$11:$J$203,9,FALSE )-$E$7</f>
        <v>-0.32</v>
      </c>
      <c r="N264" s="16">
        <f t="shared" si="6"/>
        <v>605.88268225000013</v>
      </c>
      <c r="O264" s="16">
        <f t="shared" si="7"/>
        <v>605.88268225000013</v>
      </c>
    </row>
    <row r="265" spans="1:15" x14ac:dyDescent="0.25">
      <c r="A265">
        <f>Faces!A265</f>
        <v>255</v>
      </c>
      <c r="B265" s="21">
        <f>Faces!B265</f>
        <v>155</v>
      </c>
      <c r="C265" s="22">
        <f>VLOOKUP(B265,Vertices!$A$11:$J$203,7,FALSE )-$C$7</f>
        <v>-23.594999999999999</v>
      </c>
      <c r="D265" s="22">
        <f>VLOOKUP(B265,Vertices!$A$11:$J$203,8,FALSE )-$D$7</f>
        <v>39.67</v>
      </c>
      <c r="E265" s="23">
        <f>VLOOKUP(B265,Vertices!$A$11:$J$203,9,FALSE )-$E$7</f>
        <v>3.2</v>
      </c>
      <c r="F265" s="21">
        <f>Faces!C265</f>
        <v>177</v>
      </c>
      <c r="G265" s="22">
        <f>VLOOKUP(F265,Vertices!$A$11:$J$203,7,FALSE )-$C$7</f>
        <v>-31.914999999999999</v>
      </c>
      <c r="H265" s="22">
        <f>VLOOKUP(F265,Vertices!$A$11:$J$203,8,FALSE )-$D$7</f>
        <v>25.34</v>
      </c>
      <c r="I265" s="23">
        <f>VLOOKUP(F265,Vertices!$A$11:$J$203,9,FALSE )-$E$7</f>
        <v>6.31</v>
      </c>
      <c r="J265" s="21">
        <f>Faces!D265</f>
        <v>170</v>
      </c>
      <c r="K265" s="22">
        <f>VLOOKUP(J265,Vertices!$A$11:$J$203,7,FALSE )-$C$7</f>
        <v>-32.155000000000001</v>
      </c>
      <c r="L265" s="22">
        <f>VLOOKUP(J265,Vertices!$A$11:$J$203,8,FALSE )-$D$7</f>
        <v>28.12</v>
      </c>
      <c r="M265" s="23">
        <f>VLOOKUP(J265,Vertices!$A$11:$J$203,9,FALSE )-$E$7</f>
        <v>-0.32</v>
      </c>
      <c r="N265" s="16">
        <f t="shared" si="6"/>
        <v>723.43404491666706</v>
      </c>
      <c r="O265" s="16">
        <f t="shared" si="7"/>
        <v>723.43404491666706</v>
      </c>
    </row>
    <row r="266" spans="1:15" x14ac:dyDescent="0.25">
      <c r="A266">
        <f>Faces!A266</f>
        <v>256</v>
      </c>
      <c r="B266" s="21">
        <f>Faces!B266</f>
        <v>155</v>
      </c>
      <c r="C266" s="22">
        <f>VLOOKUP(B266,Vertices!$A$11:$J$203,7,FALSE )-$C$7</f>
        <v>-23.594999999999999</v>
      </c>
      <c r="D266" s="22">
        <f>VLOOKUP(B266,Vertices!$A$11:$J$203,8,FALSE )-$D$7</f>
        <v>39.67</v>
      </c>
      <c r="E266" s="23">
        <f>VLOOKUP(B266,Vertices!$A$11:$J$203,9,FALSE )-$E$7</f>
        <v>3.2</v>
      </c>
      <c r="F266" s="21">
        <f>Faces!C266</f>
        <v>157</v>
      </c>
      <c r="G266" s="22">
        <f>VLOOKUP(F266,Vertices!$A$11:$J$203,7,FALSE )-$C$7</f>
        <v>-23.614999999999998</v>
      </c>
      <c r="H266" s="22">
        <f>VLOOKUP(F266,Vertices!$A$11:$J$203,8,FALSE )-$D$7</f>
        <v>38.18</v>
      </c>
      <c r="I266" s="23">
        <f>VLOOKUP(F266,Vertices!$A$11:$J$203,9,FALSE )-$E$7</f>
        <v>8.74</v>
      </c>
      <c r="J266" s="21">
        <f>Faces!D266</f>
        <v>177</v>
      </c>
      <c r="K266" s="22">
        <f>VLOOKUP(J266,Vertices!$A$11:$J$203,7,FALSE )-$C$7</f>
        <v>-31.914999999999999</v>
      </c>
      <c r="L266" s="22">
        <f>VLOOKUP(J266,Vertices!$A$11:$J$203,8,FALSE )-$D$7</f>
        <v>25.34</v>
      </c>
      <c r="M266" s="23">
        <f>VLOOKUP(J266,Vertices!$A$11:$J$203,9,FALSE )-$E$7</f>
        <v>6.31</v>
      </c>
      <c r="N266" s="16">
        <f t="shared" si="6"/>
        <v>604.76904174999993</v>
      </c>
      <c r="O266" s="16">
        <f t="shared" si="7"/>
        <v>604.76904174999993</v>
      </c>
    </row>
    <row r="267" spans="1:15" x14ac:dyDescent="0.25">
      <c r="A267">
        <f>Faces!A267</f>
        <v>257</v>
      </c>
      <c r="B267" s="21">
        <f>Faces!B267</f>
        <v>157</v>
      </c>
      <c r="C267" s="22">
        <f>VLOOKUP(B267,Vertices!$A$11:$J$203,7,FALSE )-$C$7</f>
        <v>-23.614999999999998</v>
      </c>
      <c r="D267" s="22">
        <f>VLOOKUP(B267,Vertices!$A$11:$J$203,8,FALSE )-$D$7</f>
        <v>38.18</v>
      </c>
      <c r="E267" s="23">
        <f>VLOOKUP(B267,Vertices!$A$11:$J$203,9,FALSE )-$E$7</f>
        <v>8.74</v>
      </c>
      <c r="F267" s="21">
        <f>Faces!C267</f>
        <v>179</v>
      </c>
      <c r="G267" s="22">
        <f>VLOOKUP(F267,Vertices!$A$11:$J$203,7,FALSE )-$C$7</f>
        <v>-31.625</v>
      </c>
      <c r="H267" s="22">
        <f>VLOOKUP(F267,Vertices!$A$11:$J$203,8,FALSE )-$D$7</f>
        <v>23.89</v>
      </c>
      <c r="I267" s="23">
        <f>VLOOKUP(F267,Vertices!$A$11:$J$203,9,FALSE )-$E$7</f>
        <v>11.63</v>
      </c>
      <c r="J267" s="21">
        <f>Faces!D267</f>
        <v>177</v>
      </c>
      <c r="K267" s="22">
        <f>VLOOKUP(J267,Vertices!$A$11:$J$203,7,FALSE )-$C$7</f>
        <v>-31.914999999999999</v>
      </c>
      <c r="L267" s="22">
        <f>VLOOKUP(J267,Vertices!$A$11:$J$203,8,FALSE )-$D$7</f>
        <v>25.34</v>
      </c>
      <c r="M267" s="23">
        <f>VLOOKUP(J267,Vertices!$A$11:$J$203,9,FALSE )-$E$7</f>
        <v>6.31</v>
      </c>
      <c r="N267" s="16">
        <f t="shared" si="6"/>
        <v>582.17009374999986</v>
      </c>
      <c r="O267" s="16">
        <f t="shared" si="7"/>
        <v>582.17009374999986</v>
      </c>
    </row>
    <row r="268" spans="1:15" x14ac:dyDescent="0.25">
      <c r="A268">
        <f>Faces!A268</f>
        <v>258</v>
      </c>
      <c r="B268" s="21">
        <f>Faces!B268</f>
        <v>157</v>
      </c>
      <c r="C268" s="22">
        <f>VLOOKUP(B268,Vertices!$A$11:$J$203,7,FALSE )-$C$7</f>
        <v>-23.614999999999998</v>
      </c>
      <c r="D268" s="22">
        <f>VLOOKUP(B268,Vertices!$A$11:$J$203,8,FALSE )-$D$7</f>
        <v>38.18</v>
      </c>
      <c r="E268" s="23">
        <f>VLOOKUP(B268,Vertices!$A$11:$J$203,9,FALSE )-$E$7</f>
        <v>8.74</v>
      </c>
      <c r="F268" s="21">
        <f>Faces!C268</f>
        <v>159</v>
      </c>
      <c r="G268" s="22">
        <f>VLOOKUP(F268,Vertices!$A$11:$J$203,7,FALSE )-$C$7</f>
        <v>-23.654999999999998</v>
      </c>
      <c r="H268" s="22">
        <f>VLOOKUP(F268,Vertices!$A$11:$J$203,8,FALSE )-$D$7</f>
        <v>36.18</v>
      </c>
      <c r="I268" s="23">
        <f>VLOOKUP(F268,Vertices!$A$11:$J$203,9,FALSE )-$E$7</f>
        <v>16.940000000000001</v>
      </c>
      <c r="J268" s="21">
        <f>Faces!D268</f>
        <v>179</v>
      </c>
      <c r="K268" s="22">
        <f>VLOOKUP(J268,Vertices!$A$11:$J$203,7,FALSE )-$C$7</f>
        <v>-31.625</v>
      </c>
      <c r="L268" s="22">
        <f>VLOOKUP(J268,Vertices!$A$11:$J$203,8,FALSE )-$D$7</f>
        <v>23.89</v>
      </c>
      <c r="M268" s="23">
        <f>VLOOKUP(J268,Vertices!$A$11:$J$203,9,FALSE )-$E$7</f>
        <v>11.63</v>
      </c>
      <c r="N268" s="16">
        <f t="shared" ref="N268:N331" si="8">-1*(C268*H268*M268+D268*I268*K268+E268*G268*L268-C268*I268*L268-D268*G268*M268-E268*H268*K268)/6</f>
        <v>878.16798966666613</v>
      </c>
      <c r="O268" s="16">
        <f t="shared" ref="O268:O331" si="9">ABS(N268)</f>
        <v>878.16798966666613</v>
      </c>
    </row>
    <row r="269" spans="1:15" x14ac:dyDescent="0.25">
      <c r="A269">
        <f>Faces!A269</f>
        <v>259</v>
      </c>
      <c r="B269" s="21">
        <f>Faces!B269</f>
        <v>159</v>
      </c>
      <c r="C269" s="22">
        <f>VLOOKUP(B269,Vertices!$A$11:$J$203,7,FALSE )-$C$7</f>
        <v>-23.654999999999998</v>
      </c>
      <c r="D269" s="22">
        <f>VLOOKUP(B269,Vertices!$A$11:$J$203,8,FALSE )-$D$7</f>
        <v>36.18</v>
      </c>
      <c r="E269" s="23">
        <f>VLOOKUP(B269,Vertices!$A$11:$J$203,9,FALSE )-$E$7</f>
        <v>16.940000000000001</v>
      </c>
      <c r="F269" s="21">
        <f>Faces!C269</f>
        <v>184</v>
      </c>
      <c r="G269" s="22">
        <f>VLOOKUP(F269,Vertices!$A$11:$J$203,7,FALSE )-$C$7</f>
        <v>-31.914999999999999</v>
      </c>
      <c r="H269" s="22">
        <f>VLOOKUP(F269,Vertices!$A$11:$J$203,8,FALSE )-$D$7</f>
        <v>21.84</v>
      </c>
      <c r="I269" s="23">
        <f>VLOOKUP(F269,Vertices!$A$11:$J$203,9,FALSE )-$E$7</f>
        <v>15.87</v>
      </c>
      <c r="J269" s="21">
        <f>Faces!D269</f>
        <v>179</v>
      </c>
      <c r="K269" s="22">
        <f>VLOOKUP(J269,Vertices!$A$11:$J$203,7,FALSE )-$C$7</f>
        <v>-31.625</v>
      </c>
      <c r="L269" s="22">
        <f>VLOOKUP(J269,Vertices!$A$11:$J$203,8,FALSE )-$D$7</f>
        <v>23.89</v>
      </c>
      <c r="M269" s="23">
        <f>VLOOKUP(J269,Vertices!$A$11:$J$203,9,FALSE )-$E$7</f>
        <v>11.63</v>
      </c>
      <c r="N269" s="16">
        <f t="shared" si="8"/>
        <v>497.48075208333313</v>
      </c>
      <c r="O269" s="16">
        <f t="shared" si="9"/>
        <v>497.48075208333313</v>
      </c>
    </row>
    <row r="270" spans="1:15" x14ac:dyDescent="0.25">
      <c r="A270">
        <f>Faces!A270</f>
        <v>260</v>
      </c>
      <c r="B270" s="21">
        <f>Faces!B270</f>
        <v>159</v>
      </c>
      <c r="C270" s="22">
        <f>VLOOKUP(B270,Vertices!$A$11:$J$203,7,FALSE )-$C$7</f>
        <v>-23.654999999999998</v>
      </c>
      <c r="D270" s="22">
        <f>VLOOKUP(B270,Vertices!$A$11:$J$203,8,FALSE )-$D$7</f>
        <v>36.18</v>
      </c>
      <c r="E270" s="23">
        <f>VLOOKUP(B270,Vertices!$A$11:$J$203,9,FALSE )-$E$7</f>
        <v>16.940000000000001</v>
      </c>
      <c r="F270" s="21">
        <f>Faces!C270</f>
        <v>165</v>
      </c>
      <c r="G270" s="22">
        <f>VLOOKUP(F270,Vertices!$A$11:$J$203,7,FALSE )-$C$7</f>
        <v>-23.965</v>
      </c>
      <c r="H270" s="22">
        <f>VLOOKUP(F270,Vertices!$A$11:$J$203,8,FALSE )-$D$7</f>
        <v>34.659999999999997</v>
      </c>
      <c r="I270" s="23">
        <f>VLOOKUP(F270,Vertices!$A$11:$J$203,9,FALSE )-$E$7</f>
        <v>24.24</v>
      </c>
      <c r="J270" s="21">
        <f>Faces!D270</f>
        <v>184</v>
      </c>
      <c r="K270" s="22">
        <f>VLOOKUP(J270,Vertices!$A$11:$J$203,7,FALSE )-$C$7</f>
        <v>-31.914999999999999</v>
      </c>
      <c r="L270" s="22">
        <f>VLOOKUP(J270,Vertices!$A$11:$J$203,8,FALSE )-$D$7</f>
        <v>21.84</v>
      </c>
      <c r="M270" s="23">
        <f>VLOOKUP(J270,Vertices!$A$11:$J$203,9,FALSE )-$E$7</f>
        <v>15.87</v>
      </c>
      <c r="N270" s="16">
        <f t="shared" si="8"/>
        <v>807.61462666666739</v>
      </c>
      <c r="O270" s="16">
        <f t="shared" si="9"/>
        <v>807.61462666666739</v>
      </c>
    </row>
    <row r="271" spans="1:15" x14ac:dyDescent="0.25">
      <c r="A271">
        <f>Faces!A271</f>
        <v>261</v>
      </c>
      <c r="B271" s="21">
        <f>Faces!B271</f>
        <v>170</v>
      </c>
      <c r="C271" s="22">
        <f>VLOOKUP(B271,Vertices!$A$11:$J$203,7,FALSE )-$C$7</f>
        <v>-32.155000000000001</v>
      </c>
      <c r="D271" s="22">
        <f>VLOOKUP(B271,Vertices!$A$11:$J$203,8,FALSE )-$D$7</f>
        <v>28.12</v>
      </c>
      <c r="E271" s="23">
        <f>VLOOKUP(B271,Vertices!$A$11:$J$203,9,FALSE )-$E$7</f>
        <v>-0.32</v>
      </c>
      <c r="F271" s="21">
        <f>Faces!C271</f>
        <v>177</v>
      </c>
      <c r="G271" s="22">
        <f>VLOOKUP(F271,Vertices!$A$11:$J$203,7,FALSE )-$C$7</f>
        <v>-31.914999999999999</v>
      </c>
      <c r="H271" s="22">
        <f>VLOOKUP(F271,Vertices!$A$11:$J$203,8,FALSE )-$D$7</f>
        <v>25.34</v>
      </c>
      <c r="I271" s="23">
        <f>VLOOKUP(F271,Vertices!$A$11:$J$203,9,FALSE )-$E$7</f>
        <v>6.31</v>
      </c>
      <c r="J271" s="21">
        <f>Faces!D271</f>
        <v>188</v>
      </c>
      <c r="K271" s="22">
        <f>VLOOKUP(J271,Vertices!$A$11:$J$203,7,FALSE )-$C$7</f>
        <v>-41.104999999999997</v>
      </c>
      <c r="L271" s="22">
        <f>VLOOKUP(J271,Vertices!$A$11:$J$203,8,FALSE )-$D$7</f>
        <v>14.1</v>
      </c>
      <c r="M271" s="23">
        <f>VLOOKUP(J271,Vertices!$A$11:$J$203,9,FALSE )-$E$7</f>
        <v>2.2000000000000002</v>
      </c>
      <c r="N271" s="16">
        <f t="shared" si="8"/>
        <v>740.03212083333335</v>
      </c>
      <c r="O271" s="16">
        <f t="shared" si="9"/>
        <v>740.03212083333335</v>
      </c>
    </row>
    <row r="272" spans="1:15" x14ac:dyDescent="0.25">
      <c r="A272">
        <f>Faces!A272</f>
        <v>262</v>
      </c>
      <c r="B272" s="21">
        <f>Faces!B272</f>
        <v>177</v>
      </c>
      <c r="C272" s="22">
        <f>VLOOKUP(B272,Vertices!$A$11:$J$203,7,FALSE )-$C$7</f>
        <v>-31.914999999999999</v>
      </c>
      <c r="D272" s="22">
        <f>VLOOKUP(B272,Vertices!$A$11:$J$203,8,FALSE )-$D$7</f>
        <v>25.34</v>
      </c>
      <c r="E272" s="23">
        <f>VLOOKUP(B272,Vertices!$A$11:$J$203,9,FALSE )-$E$7</f>
        <v>6.31</v>
      </c>
      <c r="F272" s="21">
        <f>Faces!C272</f>
        <v>192</v>
      </c>
      <c r="G272" s="22">
        <f>VLOOKUP(F272,Vertices!$A$11:$J$203,7,FALSE )-$C$7</f>
        <v>-40.354999999999997</v>
      </c>
      <c r="H272" s="22">
        <f>VLOOKUP(F272,Vertices!$A$11:$J$203,8,FALSE )-$D$7</f>
        <v>8.1999999999999993</v>
      </c>
      <c r="I272" s="23">
        <f>VLOOKUP(F272,Vertices!$A$11:$J$203,9,FALSE )-$E$7</f>
        <v>7.28</v>
      </c>
      <c r="J272" s="21">
        <f>Faces!D272</f>
        <v>188</v>
      </c>
      <c r="K272" s="22">
        <f>VLOOKUP(J272,Vertices!$A$11:$J$203,7,FALSE )-$C$7</f>
        <v>-41.104999999999997</v>
      </c>
      <c r="L272" s="22">
        <f>VLOOKUP(J272,Vertices!$A$11:$J$203,8,FALSE )-$D$7</f>
        <v>14.1</v>
      </c>
      <c r="M272" s="23">
        <f>VLOOKUP(J272,Vertices!$A$11:$J$203,9,FALSE )-$E$7</f>
        <v>2.2000000000000002</v>
      </c>
      <c r="N272" s="16">
        <f t="shared" si="8"/>
        <v>682.74133849999964</v>
      </c>
      <c r="O272" s="16">
        <f t="shared" si="9"/>
        <v>682.74133849999964</v>
      </c>
    </row>
    <row r="273" spans="1:15" x14ac:dyDescent="0.25">
      <c r="A273">
        <f>Faces!A273</f>
        <v>263</v>
      </c>
      <c r="B273" s="21">
        <f>Faces!B273</f>
        <v>177</v>
      </c>
      <c r="C273" s="22">
        <f>VLOOKUP(B273,Vertices!$A$11:$J$203,7,FALSE )-$C$7</f>
        <v>-31.914999999999999</v>
      </c>
      <c r="D273" s="22">
        <f>VLOOKUP(B273,Vertices!$A$11:$J$203,8,FALSE )-$D$7</f>
        <v>25.34</v>
      </c>
      <c r="E273" s="23">
        <f>VLOOKUP(B273,Vertices!$A$11:$J$203,9,FALSE )-$E$7</f>
        <v>6.31</v>
      </c>
      <c r="F273" s="21">
        <f>Faces!C273</f>
        <v>179</v>
      </c>
      <c r="G273" s="22">
        <f>VLOOKUP(F273,Vertices!$A$11:$J$203,7,FALSE )-$C$7</f>
        <v>-31.625</v>
      </c>
      <c r="H273" s="22">
        <f>VLOOKUP(F273,Vertices!$A$11:$J$203,8,FALSE )-$D$7</f>
        <v>23.89</v>
      </c>
      <c r="I273" s="23">
        <f>VLOOKUP(F273,Vertices!$A$11:$J$203,9,FALSE )-$E$7</f>
        <v>11.63</v>
      </c>
      <c r="J273" s="21">
        <f>Faces!D273</f>
        <v>192</v>
      </c>
      <c r="K273" s="22">
        <f>VLOOKUP(J273,Vertices!$A$11:$J$203,7,FALSE )-$C$7</f>
        <v>-40.354999999999997</v>
      </c>
      <c r="L273" s="22">
        <f>VLOOKUP(J273,Vertices!$A$11:$J$203,8,FALSE )-$D$7</f>
        <v>8.1999999999999993</v>
      </c>
      <c r="M273" s="23">
        <f>VLOOKUP(J273,Vertices!$A$11:$J$203,9,FALSE )-$E$7</f>
        <v>7.28</v>
      </c>
      <c r="N273" s="16">
        <f t="shared" si="8"/>
        <v>686.46252074999973</v>
      </c>
      <c r="O273" s="16">
        <f t="shared" si="9"/>
        <v>686.46252074999973</v>
      </c>
    </row>
    <row r="274" spans="1:15" x14ac:dyDescent="0.25">
      <c r="A274">
        <f>Faces!A274</f>
        <v>264</v>
      </c>
      <c r="B274" s="21">
        <f>Faces!B274</f>
        <v>179</v>
      </c>
      <c r="C274" s="22">
        <f>VLOOKUP(B274,Vertices!$A$11:$J$203,7,FALSE )-$C$7</f>
        <v>-31.625</v>
      </c>
      <c r="D274" s="22">
        <f>VLOOKUP(B274,Vertices!$A$11:$J$203,8,FALSE )-$D$7</f>
        <v>23.89</v>
      </c>
      <c r="E274" s="23">
        <f>VLOOKUP(B274,Vertices!$A$11:$J$203,9,FALSE )-$E$7</f>
        <v>11.63</v>
      </c>
      <c r="F274" s="21">
        <f>Faces!C274</f>
        <v>184</v>
      </c>
      <c r="G274" s="22">
        <f>VLOOKUP(F274,Vertices!$A$11:$J$203,7,FALSE )-$C$7</f>
        <v>-31.914999999999999</v>
      </c>
      <c r="H274" s="22">
        <f>VLOOKUP(F274,Vertices!$A$11:$J$203,8,FALSE )-$D$7</f>
        <v>21.84</v>
      </c>
      <c r="I274" s="23">
        <f>VLOOKUP(F274,Vertices!$A$11:$J$203,9,FALSE )-$E$7</f>
        <v>15.87</v>
      </c>
      <c r="J274" s="21">
        <f>Faces!D274</f>
        <v>192</v>
      </c>
      <c r="K274" s="22">
        <f>VLOOKUP(J274,Vertices!$A$11:$J$203,7,FALSE )-$C$7</f>
        <v>-40.354999999999997</v>
      </c>
      <c r="L274" s="22">
        <f>VLOOKUP(J274,Vertices!$A$11:$J$203,8,FALSE )-$D$7</f>
        <v>8.1999999999999993</v>
      </c>
      <c r="M274" s="23">
        <f>VLOOKUP(J274,Vertices!$A$11:$J$203,9,FALSE )-$E$7</f>
        <v>7.28</v>
      </c>
      <c r="N274" s="16">
        <f t="shared" si="8"/>
        <v>575.92283874999919</v>
      </c>
      <c r="O274" s="16">
        <f t="shared" si="9"/>
        <v>575.92283874999919</v>
      </c>
    </row>
    <row r="275" spans="1:15" x14ac:dyDescent="0.25">
      <c r="A275">
        <f>Faces!A275</f>
        <v>265</v>
      </c>
      <c r="B275" s="21">
        <f>Faces!B275</f>
        <v>81</v>
      </c>
      <c r="C275" s="22">
        <f>VLOOKUP(B275,Vertices!$A$11:$J$203,7,FALSE )-$C$7</f>
        <v>37.545000000000002</v>
      </c>
      <c r="D275" s="22">
        <f>VLOOKUP(B275,Vertices!$A$11:$J$203,8,FALSE )-$D$7</f>
        <v>-4</v>
      </c>
      <c r="E275" s="23">
        <f>VLOOKUP(B275,Vertices!$A$11:$J$203,9,FALSE )-$E$7</f>
        <v>93</v>
      </c>
      <c r="F275" s="21">
        <f>Faces!C275</f>
        <v>111</v>
      </c>
      <c r="G275" s="22">
        <f>VLOOKUP(F275,Vertices!$A$11:$J$203,7,FALSE )-$C$7</f>
        <v>24.355000000000004</v>
      </c>
      <c r="H275" s="22">
        <f>VLOOKUP(F275,Vertices!$A$11:$J$203,8,FALSE )-$D$7</f>
        <v>-4.38</v>
      </c>
      <c r="I275" s="23">
        <f>VLOOKUP(F275,Vertices!$A$11:$J$203,9,FALSE )-$E$7</f>
        <v>78.06</v>
      </c>
      <c r="J275" s="21">
        <f>Faces!D275</f>
        <v>112</v>
      </c>
      <c r="K275" s="22">
        <f>VLOOKUP(J275,Vertices!$A$11:$J$203,7,FALSE )-$C$7</f>
        <v>20.605000000000004</v>
      </c>
      <c r="L275" s="22">
        <f>VLOOKUP(J275,Vertices!$A$11:$J$203,8,FALSE )-$D$7</f>
        <v>1.38</v>
      </c>
      <c r="M275" s="23">
        <f>VLOOKUP(J275,Vertices!$A$11:$J$203,9,FALSE )-$E$7</f>
        <v>73.540000000000006</v>
      </c>
      <c r="N275" s="16">
        <f t="shared" si="8"/>
        <v>648.06154333333359</v>
      </c>
      <c r="O275" s="16">
        <f t="shared" si="9"/>
        <v>648.06154333333359</v>
      </c>
    </row>
    <row r="276" spans="1:15" x14ac:dyDescent="0.25">
      <c r="A276">
        <f>Faces!A276</f>
        <v>266</v>
      </c>
      <c r="B276" s="21">
        <f>Faces!B276</f>
        <v>81</v>
      </c>
      <c r="C276" s="22">
        <f>VLOOKUP(B276,Vertices!$A$11:$J$203,7,FALSE )-$C$7</f>
        <v>37.545000000000002</v>
      </c>
      <c r="D276" s="22">
        <f>VLOOKUP(B276,Vertices!$A$11:$J$203,8,FALSE )-$D$7</f>
        <v>-4</v>
      </c>
      <c r="E276" s="23">
        <f>VLOOKUP(B276,Vertices!$A$11:$J$203,9,FALSE )-$E$7</f>
        <v>93</v>
      </c>
      <c r="F276" s="21">
        <f>Faces!C276</f>
        <v>112</v>
      </c>
      <c r="G276" s="22">
        <f>VLOOKUP(F276,Vertices!$A$11:$J$203,7,FALSE )-$C$7</f>
        <v>20.605000000000004</v>
      </c>
      <c r="H276" s="22">
        <f>VLOOKUP(F276,Vertices!$A$11:$J$203,8,FALSE )-$D$7</f>
        <v>1.38</v>
      </c>
      <c r="I276" s="23">
        <f>VLOOKUP(F276,Vertices!$A$11:$J$203,9,FALSE )-$E$7</f>
        <v>73.540000000000006</v>
      </c>
      <c r="J276" s="21">
        <f>Faces!D276</f>
        <v>82</v>
      </c>
      <c r="K276" s="22">
        <f>VLOOKUP(J276,Vertices!$A$11:$J$203,7,FALSE )-$C$7</f>
        <v>32.984999999999999</v>
      </c>
      <c r="L276" s="22">
        <f>VLOOKUP(J276,Vertices!$A$11:$J$203,8,FALSE )-$D$7</f>
        <v>2.78</v>
      </c>
      <c r="M276" s="23">
        <f>VLOOKUP(J276,Vertices!$A$11:$J$203,9,FALSE )-$E$7</f>
        <v>87.22</v>
      </c>
      <c r="N276" s="16">
        <f t="shared" si="8"/>
        <v>762.82781533333321</v>
      </c>
      <c r="O276" s="16">
        <f t="shared" si="9"/>
        <v>762.82781533333321</v>
      </c>
    </row>
    <row r="277" spans="1:15" x14ac:dyDescent="0.25">
      <c r="A277">
        <f>Faces!A277</f>
        <v>267</v>
      </c>
      <c r="B277" s="21">
        <f>Faces!B277</f>
        <v>82</v>
      </c>
      <c r="C277" s="22">
        <f>VLOOKUP(B277,Vertices!$A$11:$J$203,7,FALSE )-$C$7</f>
        <v>32.984999999999999</v>
      </c>
      <c r="D277" s="22">
        <f>VLOOKUP(B277,Vertices!$A$11:$J$203,8,FALSE )-$D$7</f>
        <v>2.78</v>
      </c>
      <c r="E277" s="23">
        <f>VLOOKUP(B277,Vertices!$A$11:$J$203,9,FALSE )-$E$7</f>
        <v>87.22</v>
      </c>
      <c r="F277" s="21">
        <f>Faces!C277</f>
        <v>112</v>
      </c>
      <c r="G277" s="22">
        <f>VLOOKUP(F277,Vertices!$A$11:$J$203,7,FALSE )-$C$7</f>
        <v>20.605000000000004</v>
      </c>
      <c r="H277" s="22">
        <f>VLOOKUP(F277,Vertices!$A$11:$J$203,8,FALSE )-$D$7</f>
        <v>1.38</v>
      </c>
      <c r="I277" s="23">
        <f>VLOOKUP(F277,Vertices!$A$11:$J$203,9,FALSE )-$E$7</f>
        <v>73.540000000000006</v>
      </c>
      <c r="J277" s="21">
        <f>Faces!D277</f>
        <v>113</v>
      </c>
      <c r="K277" s="22">
        <f>VLOOKUP(J277,Vertices!$A$11:$J$203,7,FALSE )-$C$7</f>
        <v>16.875</v>
      </c>
      <c r="L277" s="22">
        <f>VLOOKUP(J277,Vertices!$A$11:$J$203,8,FALSE )-$D$7</f>
        <v>7.16</v>
      </c>
      <c r="M277" s="23">
        <f>VLOOKUP(J277,Vertices!$A$11:$J$203,9,FALSE )-$E$7</f>
        <v>69.09</v>
      </c>
      <c r="N277" s="16">
        <f t="shared" si="8"/>
        <v>649.04632366666681</v>
      </c>
      <c r="O277" s="16">
        <f t="shared" si="9"/>
        <v>649.04632366666681</v>
      </c>
    </row>
    <row r="278" spans="1:15" x14ac:dyDescent="0.25">
      <c r="A278">
        <f>Faces!A278</f>
        <v>268</v>
      </c>
      <c r="B278" s="21">
        <f>Faces!B278</f>
        <v>82</v>
      </c>
      <c r="C278" s="22">
        <f>VLOOKUP(B278,Vertices!$A$11:$J$203,7,FALSE )-$C$7</f>
        <v>32.984999999999999</v>
      </c>
      <c r="D278" s="22">
        <f>VLOOKUP(B278,Vertices!$A$11:$J$203,8,FALSE )-$D$7</f>
        <v>2.78</v>
      </c>
      <c r="E278" s="23">
        <f>VLOOKUP(B278,Vertices!$A$11:$J$203,9,FALSE )-$E$7</f>
        <v>87.22</v>
      </c>
      <c r="F278" s="21">
        <f>Faces!C278</f>
        <v>113</v>
      </c>
      <c r="G278" s="22">
        <f>VLOOKUP(F278,Vertices!$A$11:$J$203,7,FALSE )-$C$7</f>
        <v>16.875</v>
      </c>
      <c r="H278" s="22">
        <f>VLOOKUP(F278,Vertices!$A$11:$J$203,8,FALSE )-$D$7</f>
        <v>7.16</v>
      </c>
      <c r="I278" s="23">
        <f>VLOOKUP(F278,Vertices!$A$11:$J$203,9,FALSE )-$E$7</f>
        <v>69.09</v>
      </c>
      <c r="J278" s="21">
        <f>Faces!D278</f>
        <v>83</v>
      </c>
      <c r="K278" s="22">
        <f>VLOOKUP(J278,Vertices!$A$11:$J$203,7,FALSE )-$C$7</f>
        <v>28.725000000000009</v>
      </c>
      <c r="L278" s="22">
        <f>VLOOKUP(J278,Vertices!$A$11:$J$203,8,FALSE )-$D$7</f>
        <v>9.35</v>
      </c>
      <c r="M278" s="23">
        <f>VLOOKUP(J278,Vertices!$A$11:$J$203,9,FALSE )-$E$7</f>
        <v>82.04</v>
      </c>
      <c r="N278" s="16">
        <f t="shared" si="8"/>
        <v>740.14308724999921</v>
      </c>
      <c r="O278" s="16">
        <f t="shared" si="9"/>
        <v>740.14308724999921</v>
      </c>
    </row>
    <row r="279" spans="1:15" x14ac:dyDescent="0.25">
      <c r="A279">
        <f>Faces!A279</f>
        <v>269</v>
      </c>
      <c r="B279" s="21">
        <f>Faces!B279</f>
        <v>83</v>
      </c>
      <c r="C279" s="22">
        <f>VLOOKUP(B279,Vertices!$A$11:$J$203,7,FALSE )-$C$7</f>
        <v>28.725000000000009</v>
      </c>
      <c r="D279" s="22">
        <f>VLOOKUP(B279,Vertices!$A$11:$J$203,8,FALSE )-$D$7</f>
        <v>9.35</v>
      </c>
      <c r="E279" s="23">
        <f>VLOOKUP(B279,Vertices!$A$11:$J$203,9,FALSE )-$E$7</f>
        <v>82.04</v>
      </c>
      <c r="F279" s="21">
        <f>Faces!C279</f>
        <v>113</v>
      </c>
      <c r="G279" s="22">
        <f>VLOOKUP(F279,Vertices!$A$11:$J$203,7,FALSE )-$C$7</f>
        <v>16.875</v>
      </c>
      <c r="H279" s="22">
        <f>VLOOKUP(F279,Vertices!$A$11:$J$203,8,FALSE )-$D$7</f>
        <v>7.16</v>
      </c>
      <c r="I279" s="23">
        <f>VLOOKUP(F279,Vertices!$A$11:$J$203,9,FALSE )-$E$7</f>
        <v>69.09</v>
      </c>
      <c r="J279" s="21">
        <f>Faces!D279</f>
        <v>114</v>
      </c>
      <c r="K279" s="22">
        <f>VLOOKUP(J279,Vertices!$A$11:$J$203,7,FALSE )-$C$7</f>
        <v>9.3350000000000009</v>
      </c>
      <c r="L279" s="22">
        <f>VLOOKUP(J279,Vertices!$A$11:$J$203,8,FALSE )-$D$7</f>
        <v>19.39</v>
      </c>
      <c r="M279" s="23">
        <f>VLOOKUP(J279,Vertices!$A$11:$J$203,9,FALSE )-$E$7</f>
        <v>60.44</v>
      </c>
      <c r="N279" s="16">
        <f t="shared" si="8"/>
        <v>1366.0405998333335</v>
      </c>
      <c r="O279" s="16">
        <f t="shared" si="9"/>
        <v>1366.0405998333335</v>
      </c>
    </row>
    <row r="280" spans="1:15" x14ac:dyDescent="0.25">
      <c r="A280">
        <f>Faces!A280</f>
        <v>270</v>
      </c>
      <c r="B280" s="21">
        <f>Faces!B280</f>
        <v>83</v>
      </c>
      <c r="C280" s="22">
        <f>VLOOKUP(B280,Vertices!$A$11:$J$203,7,FALSE )-$C$7</f>
        <v>28.725000000000009</v>
      </c>
      <c r="D280" s="22">
        <f>VLOOKUP(B280,Vertices!$A$11:$J$203,8,FALSE )-$D$7</f>
        <v>9.35</v>
      </c>
      <c r="E280" s="23">
        <f>VLOOKUP(B280,Vertices!$A$11:$J$203,9,FALSE )-$E$7</f>
        <v>82.04</v>
      </c>
      <c r="F280" s="21">
        <f>Faces!C280</f>
        <v>114</v>
      </c>
      <c r="G280" s="22">
        <f>VLOOKUP(F280,Vertices!$A$11:$J$203,7,FALSE )-$C$7</f>
        <v>9.3350000000000009</v>
      </c>
      <c r="H280" s="22">
        <f>VLOOKUP(F280,Vertices!$A$11:$J$203,8,FALSE )-$D$7</f>
        <v>19.39</v>
      </c>
      <c r="I280" s="23">
        <f>VLOOKUP(F280,Vertices!$A$11:$J$203,9,FALSE )-$E$7</f>
        <v>60.44</v>
      </c>
      <c r="J280" s="21">
        <f>Faces!D280</f>
        <v>84</v>
      </c>
      <c r="K280" s="22">
        <f>VLOOKUP(J280,Vertices!$A$11:$J$203,7,FALSE )-$C$7</f>
        <v>19.905000000000001</v>
      </c>
      <c r="L280" s="22">
        <f>VLOOKUP(J280,Vertices!$A$11:$J$203,8,FALSE )-$D$7</f>
        <v>23.52</v>
      </c>
      <c r="M280" s="23">
        <f>VLOOKUP(J280,Vertices!$A$11:$J$203,9,FALSE )-$E$7</f>
        <v>71.84</v>
      </c>
      <c r="N280" s="16">
        <f t="shared" si="8"/>
        <v>1582.3039733333342</v>
      </c>
      <c r="O280" s="16">
        <f t="shared" si="9"/>
        <v>1582.3039733333342</v>
      </c>
    </row>
    <row r="281" spans="1:15" x14ac:dyDescent="0.25">
      <c r="A281">
        <f>Faces!A281</f>
        <v>271</v>
      </c>
      <c r="B281" s="21">
        <f>Faces!B281</f>
        <v>84</v>
      </c>
      <c r="C281" s="22">
        <f>VLOOKUP(B281,Vertices!$A$11:$J$203,7,FALSE )-$C$7</f>
        <v>19.905000000000001</v>
      </c>
      <c r="D281" s="22">
        <f>VLOOKUP(B281,Vertices!$A$11:$J$203,8,FALSE )-$D$7</f>
        <v>23.52</v>
      </c>
      <c r="E281" s="23">
        <f>VLOOKUP(B281,Vertices!$A$11:$J$203,9,FALSE )-$E$7</f>
        <v>71.84</v>
      </c>
      <c r="F281" s="21">
        <f>Faces!C281</f>
        <v>114</v>
      </c>
      <c r="G281" s="22">
        <f>VLOOKUP(F281,Vertices!$A$11:$J$203,7,FALSE )-$C$7</f>
        <v>9.3350000000000009</v>
      </c>
      <c r="H281" s="22">
        <f>VLOOKUP(F281,Vertices!$A$11:$J$203,8,FALSE )-$D$7</f>
        <v>19.39</v>
      </c>
      <c r="I281" s="23">
        <f>VLOOKUP(F281,Vertices!$A$11:$J$203,9,FALSE )-$E$7</f>
        <v>60.44</v>
      </c>
      <c r="J281" s="21">
        <f>Faces!D281</f>
        <v>115</v>
      </c>
      <c r="K281" s="22">
        <f>VLOOKUP(J281,Vertices!$A$11:$J$203,7,FALSE )-$C$7</f>
        <v>-1.894999999999996</v>
      </c>
      <c r="L281" s="22">
        <f>VLOOKUP(J281,Vertices!$A$11:$J$203,8,FALSE )-$D$7</f>
        <v>39.049999999999997</v>
      </c>
      <c r="M281" s="23">
        <f>VLOOKUP(J281,Vertices!$A$11:$J$203,9,FALSE )-$E$7</f>
        <v>48.25</v>
      </c>
      <c r="N281" s="16">
        <f t="shared" si="8"/>
        <v>2136.1440877499981</v>
      </c>
      <c r="O281" s="16">
        <f t="shared" si="9"/>
        <v>2136.1440877499981</v>
      </c>
    </row>
    <row r="282" spans="1:15" x14ac:dyDescent="0.25">
      <c r="A282">
        <f>Faces!A282</f>
        <v>272</v>
      </c>
      <c r="B282" s="21">
        <f>Faces!B282</f>
        <v>84</v>
      </c>
      <c r="C282" s="22">
        <f>VLOOKUP(B282,Vertices!$A$11:$J$203,7,FALSE )-$C$7</f>
        <v>19.905000000000001</v>
      </c>
      <c r="D282" s="22">
        <f>VLOOKUP(B282,Vertices!$A$11:$J$203,8,FALSE )-$D$7</f>
        <v>23.52</v>
      </c>
      <c r="E282" s="23">
        <f>VLOOKUP(B282,Vertices!$A$11:$J$203,9,FALSE )-$E$7</f>
        <v>71.84</v>
      </c>
      <c r="F282" s="21">
        <f>Faces!C282</f>
        <v>115</v>
      </c>
      <c r="G282" s="22">
        <f>VLOOKUP(F282,Vertices!$A$11:$J$203,7,FALSE )-$C$7</f>
        <v>-1.894999999999996</v>
      </c>
      <c r="H282" s="22">
        <f>VLOOKUP(F282,Vertices!$A$11:$J$203,8,FALSE )-$D$7</f>
        <v>39.049999999999997</v>
      </c>
      <c r="I282" s="23">
        <f>VLOOKUP(F282,Vertices!$A$11:$J$203,9,FALSE )-$E$7</f>
        <v>48.25</v>
      </c>
      <c r="J282" s="21">
        <f>Faces!D282</f>
        <v>85</v>
      </c>
      <c r="K282" s="22">
        <f>VLOOKUP(J282,Vertices!$A$11:$J$203,7,FALSE )-$C$7</f>
        <v>6.5249999999999986</v>
      </c>
      <c r="L282" s="22">
        <f>VLOOKUP(J282,Vertices!$A$11:$J$203,8,FALSE )-$D$7</f>
        <v>46.89</v>
      </c>
      <c r="M282" s="23">
        <f>VLOOKUP(J282,Vertices!$A$11:$J$203,9,FALSE )-$E$7</f>
        <v>57.54</v>
      </c>
      <c r="N282" s="16">
        <f t="shared" si="8"/>
        <v>2504.6002522499998</v>
      </c>
      <c r="O282" s="16">
        <f t="shared" si="9"/>
        <v>2504.6002522499998</v>
      </c>
    </row>
    <row r="283" spans="1:15" x14ac:dyDescent="0.25">
      <c r="A283">
        <f>Faces!A283</f>
        <v>273</v>
      </c>
      <c r="B283" s="21">
        <f>Faces!B283</f>
        <v>85</v>
      </c>
      <c r="C283" s="22">
        <f>VLOOKUP(B283,Vertices!$A$11:$J$203,7,FALSE )-$C$7</f>
        <v>6.5249999999999986</v>
      </c>
      <c r="D283" s="22">
        <f>VLOOKUP(B283,Vertices!$A$11:$J$203,8,FALSE )-$D$7</f>
        <v>46.89</v>
      </c>
      <c r="E283" s="23">
        <f>VLOOKUP(B283,Vertices!$A$11:$J$203,9,FALSE )-$E$7</f>
        <v>57.54</v>
      </c>
      <c r="F283" s="21">
        <f>Faces!C283</f>
        <v>115</v>
      </c>
      <c r="G283" s="22">
        <f>VLOOKUP(F283,Vertices!$A$11:$J$203,7,FALSE )-$C$7</f>
        <v>-1.894999999999996</v>
      </c>
      <c r="H283" s="22">
        <f>VLOOKUP(F283,Vertices!$A$11:$J$203,8,FALSE )-$D$7</f>
        <v>39.049999999999997</v>
      </c>
      <c r="I283" s="23">
        <f>VLOOKUP(F283,Vertices!$A$11:$J$203,9,FALSE )-$E$7</f>
        <v>48.25</v>
      </c>
      <c r="J283" s="21">
        <f>Faces!D283</f>
        <v>116</v>
      </c>
      <c r="K283" s="22">
        <f>VLOOKUP(J283,Vertices!$A$11:$J$203,7,FALSE )-$C$7</f>
        <v>-10.844999999999999</v>
      </c>
      <c r="L283" s="22">
        <f>VLOOKUP(J283,Vertices!$A$11:$J$203,8,FALSE )-$D$7</f>
        <v>56.54</v>
      </c>
      <c r="M283" s="23">
        <f>VLOOKUP(J283,Vertices!$A$11:$J$203,9,FALSE )-$E$7</f>
        <v>39.47</v>
      </c>
      <c r="N283" s="16">
        <f t="shared" si="8"/>
        <v>1761.5946897500005</v>
      </c>
      <c r="O283" s="16">
        <f t="shared" si="9"/>
        <v>1761.5946897500005</v>
      </c>
    </row>
    <row r="284" spans="1:15" x14ac:dyDescent="0.25">
      <c r="A284">
        <f>Faces!A284</f>
        <v>274</v>
      </c>
      <c r="B284" s="21">
        <f>Faces!B284</f>
        <v>85</v>
      </c>
      <c r="C284" s="22">
        <f>VLOOKUP(B284,Vertices!$A$11:$J$203,7,FALSE )-$C$7</f>
        <v>6.5249999999999986</v>
      </c>
      <c r="D284" s="22">
        <f>VLOOKUP(B284,Vertices!$A$11:$J$203,8,FALSE )-$D$7</f>
        <v>46.89</v>
      </c>
      <c r="E284" s="23">
        <f>VLOOKUP(B284,Vertices!$A$11:$J$203,9,FALSE )-$E$7</f>
        <v>57.54</v>
      </c>
      <c r="F284" s="21">
        <f>Faces!C284</f>
        <v>116</v>
      </c>
      <c r="G284" s="22">
        <f>VLOOKUP(F284,Vertices!$A$11:$J$203,7,FALSE )-$C$7</f>
        <v>-10.844999999999999</v>
      </c>
      <c r="H284" s="22">
        <f>VLOOKUP(F284,Vertices!$A$11:$J$203,8,FALSE )-$D$7</f>
        <v>56.54</v>
      </c>
      <c r="I284" s="23">
        <f>VLOOKUP(F284,Vertices!$A$11:$J$203,9,FALSE )-$E$7</f>
        <v>39.47</v>
      </c>
      <c r="J284" s="21">
        <f>Faces!D284</f>
        <v>86</v>
      </c>
      <c r="K284" s="22">
        <f>VLOOKUP(J284,Vertices!$A$11:$J$203,7,FALSE )-$C$7</f>
        <v>-4.4549999999999983</v>
      </c>
      <c r="L284" s="22">
        <f>VLOOKUP(J284,Vertices!$A$11:$J$203,8,FALSE )-$D$7</f>
        <v>68</v>
      </c>
      <c r="M284" s="23">
        <f>VLOOKUP(J284,Vertices!$A$11:$J$203,9,FALSE )-$E$7</f>
        <v>48</v>
      </c>
      <c r="N284" s="16">
        <f t="shared" si="8"/>
        <v>1930.0802497499999</v>
      </c>
      <c r="O284" s="16">
        <f t="shared" si="9"/>
        <v>1930.0802497499999</v>
      </c>
    </row>
    <row r="285" spans="1:15" x14ac:dyDescent="0.25">
      <c r="A285">
        <f>Faces!A285</f>
        <v>275</v>
      </c>
      <c r="B285" s="21">
        <f>Faces!B285</f>
        <v>111</v>
      </c>
      <c r="C285" s="22">
        <f>VLOOKUP(B285,Vertices!$A$11:$J$203,7,FALSE )-$C$7</f>
        <v>24.355000000000004</v>
      </c>
      <c r="D285" s="22">
        <f>VLOOKUP(B285,Vertices!$A$11:$J$203,8,FALSE )-$D$7</f>
        <v>-4.38</v>
      </c>
      <c r="E285" s="23">
        <f>VLOOKUP(B285,Vertices!$A$11:$J$203,9,FALSE )-$E$7</f>
        <v>78.06</v>
      </c>
      <c r="F285" s="21">
        <f>Faces!C285</f>
        <v>137</v>
      </c>
      <c r="G285" s="22">
        <f>VLOOKUP(F285,Vertices!$A$11:$J$203,7,FALSE )-$C$7</f>
        <v>11.414999999999999</v>
      </c>
      <c r="H285" s="22">
        <f>VLOOKUP(F285,Vertices!$A$11:$J$203,8,FALSE )-$D$7</f>
        <v>-4.63</v>
      </c>
      <c r="I285" s="23">
        <f>VLOOKUP(F285,Vertices!$A$11:$J$203,9,FALSE )-$E$7</f>
        <v>63.27</v>
      </c>
      <c r="J285" s="21">
        <f>Faces!D285</f>
        <v>112</v>
      </c>
      <c r="K285" s="22">
        <f>VLOOKUP(J285,Vertices!$A$11:$J$203,7,FALSE )-$C$7</f>
        <v>20.605000000000004</v>
      </c>
      <c r="L285" s="22">
        <f>VLOOKUP(J285,Vertices!$A$11:$J$203,8,FALSE )-$D$7</f>
        <v>1.38</v>
      </c>
      <c r="M285" s="23">
        <f>VLOOKUP(J285,Vertices!$A$11:$J$203,9,FALSE )-$E$7</f>
        <v>73.540000000000006</v>
      </c>
      <c r="N285" s="16">
        <f t="shared" si="8"/>
        <v>629.29132966666748</v>
      </c>
      <c r="O285" s="16">
        <f t="shared" si="9"/>
        <v>629.29132966666748</v>
      </c>
    </row>
    <row r="286" spans="1:15" x14ac:dyDescent="0.25">
      <c r="A286">
        <f>Faces!A286</f>
        <v>276</v>
      </c>
      <c r="B286" s="21">
        <f>Faces!B286</f>
        <v>137</v>
      </c>
      <c r="C286" s="22">
        <f>VLOOKUP(B286,Vertices!$A$11:$J$203,7,FALSE )-$C$7</f>
        <v>11.414999999999999</v>
      </c>
      <c r="D286" s="22">
        <f>VLOOKUP(B286,Vertices!$A$11:$J$203,8,FALSE )-$D$7</f>
        <v>-4.63</v>
      </c>
      <c r="E286" s="23">
        <f>VLOOKUP(B286,Vertices!$A$11:$J$203,9,FALSE )-$E$7</f>
        <v>63.27</v>
      </c>
      <c r="F286" s="21">
        <f>Faces!C286</f>
        <v>138</v>
      </c>
      <c r="G286" s="22">
        <f>VLOOKUP(F286,Vertices!$A$11:$J$203,7,FALSE )-$C$7</f>
        <v>5.3250000000000028</v>
      </c>
      <c r="H286" s="22">
        <f>VLOOKUP(F286,Vertices!$A$11:$J$203,8,FALSE )-$D$7</f>
        <v>4.88</v>
      </c>
      <c r="I286" s="23">
        <f>VLOOKUP(F286,Vertices!$A$11:$J$203,9,FALSE )-$E$7</f>
        <v>56.16</v>
      </c>
      <c r="J286" s="21">
        <f>Faces!D286</f>
        <v>112</v>
      </c>
      <c r="K286" s="22">
        <f>VLOOKUP(J286,Vertices!$A$11:$J$203,7,FALSE )-$C$7</f>
        <v>20.605000000000004</v>
      </c>
      <c r="L286" s="22">
        <f>VLOOKUP(J286,Vertices!$A$11:$J$203,8,FALSE )-$D$7</f>
        <v>1.38</v>
      </c>
      <c r="M286" s="23">
        <f>VLOOKUP(J286,Vertices!$A$11:$J$203,9,FALSE )-$E$7</f>
        <v>73.540000000000006</v>
      </c>
      <c r="N286" s="16">
        <f t="shared" si="8"/>
        <v>1038.290041</v>
      </c>
      <c r="O286" s="16">
        <f t="shared" si="9"/>
        <v>1038.290041</v>
      </c>
    </row>
    <row r="287" spans="1:15" x14ac:dyDescent="0.25">
      <c r="A287">
        <f>Faces!A287</f>
        <v>277</v>
      </c>
      <c r="B287" s="21">
        <f>Faces!B287</f>
        <v>112</v>
      </c>
      <c r="C287" s="22">
        <f>VLOOKUP(B287,Vertices!$A$11:$J$203,7,FALSE )-$C$7</f>
        <v>20.605000000000004</v>
      </c>
      <c r="D287" s="22">
        <f>VLOOKUP(B287,Vertices!$A$11:$J$203,8,FALSE )-$D$7</f>
        <v>1.38</v>
      </c>
      <c r="E287" s="23">
        <f>VLOOKUP(B287,Vertices!$A$11:$J$203,9,FALSE )-$E$7</f>
        <v>73.540000000000006</v>
      </c>
      <c r="F287" s="21">
        <f>Faces!C287</f>
        <v>138</v>
      </c>
      <c r="G287" s="22">
        <f>VLOOKUP(F287,Vertices!$A$11:$J$203,7,FALSE )-$C$7</f>
        <v>5.3250000000000028</v>
      </c>
      <c r="H287" s="22">
        <f>VLOOKUP(F287,Vertices!$A$11:$J$203,8,FALSE )-$D$7</f>
        <v>4.88</v>
      </c>
      <c r="I287" s="23">
        <f>VLOOKUP(F287,Vertices!$A$11:$J$203,9,FALSE )-$E$7</f>
        <v>56.16</v>
      </c>
      <c r="J287" s="21">
        <f>Faces!D287</f>
        <v>113</v>
      </c>
      <c r="K287" s="22">
        <f>VLOOKUP(J287,Vertices!$A$11:$J$203,7,FALSE )-$C$7</f>
        <v>16.875</v>
      </c>
      <c r="L287" s="22">
        <f>VLOOKUP(J287,Vertices!$A$11:$J$203,8,FALSE )-$D$7</f>
        <v>7.16</v>
      </c>
      <c r="M287" s="23">
        <f>VLOOKUP(J287,Vertices!$A$11:$J$203,9,FALSE )-$E$7</f>
        <v>69.09</v>
      </c>
      <c r="N287" s="16">
        <f t="shared" si="8"/>
        <v>631.71030949999965</v>
      </c>
      <c r="O287" s="16">
        <f t="shared" si="9"/>
        <v>631.71030949999965</v>
      </c>
    </row>
    <row r="288" spans="1:15" x14ac:dyDescent="0.25">
      <c r="A288">
        <f>Faces!A288</f>
        <v>278</v>
      </c>
      <c r="B288" s="21">
        <f>Faces!B288</f>
        <v>113</v>
      </c>
      <c r="C288" s="22">
        <f>VLOOKUP(B288,Vertices!$A$11:$J$203,7,FALSE )-$C$7</f>
        <v>16.875</v>
      </c>
      <c r="D288" s="22">
        <f>VLOOKUP(B288,Vertices!$A$11:$J$203,8,FALSE )-$D$7</f>
        <v>7.16</v>
      </c>
      <c r="E288" s="23">
        <f>VLOOKUP(B288,Vertices!$A$11:$J$203,9,FALSE )-$E$7</f>
        <v>69.09</v>
      </c>
      <c r="F288" s="21">
        <f>Faces!C288</f>
        <v>138</v>
      </c>
      <c r="G288" s="22">
        <f>VLOOKUP(F288,Vertices!$A$11:$J$203,7,FALSE )-$C$7</f>
        <v>5.3250000000000028</v>
      </c>
      <c r="H288" s="22">
        <f>VLOOKUP(F288,Vertices!$A$11:$J$203,8,FALSE )-$D$7</f>
        <v>4.88</v>
      </c>
      <c r="I288" s="23">
        <f>VLOOKUP(F288,Vertices!$A$11:$J$203,9,FALSE )-$E$7</f>
        <v>56.16</v>
      </c>
      <c r="J288" s="21">
        <f>Faces!D288</f>
        <v>139</v>
      </c>
      <c r="K288" s="22">
        <f>VLOOKUP(J288,Vertices!$A$11:$J$203,7,FALSE )-$C$7</f>
        <v>-0.81499999999999773</v>
      </c>
      <c r="L288" s="22">
        <f>VLOOKUP(J288,Vertices!$A$11:$J$203,8,FALSE )-$D$7</f>
        <v>15.02</v>
      </c>
      <c r="M288" s="23">
        <f>VLOOKUP(J288,Vertices!$A$11:$J$203,9,FALSE )-$E$7</f>
        <v>49.41</v>
      </c>
      <c r="N288" s="16">
        <f t="shared" si="8"/>
        <v>1096.0675084999996</v>
      </c>
      <c r="O288" s="16">
        <f t="shared" si="9"/>
        <v>1096.0675084999996</v>
      </c>
    </row>
    <row r="289" spans="1:15" x14ac:dyDescent="0.25">
      <c r="A289">
        <f>Faces!A289</f>
        <v>279</v>
      </c>
      <c r="B289" s="21">
        <f>Faces!B289</f>
        <v>113</v>
      </c>
      <c r="C289" s="22">
        <f>VLOOKUP(B289,Vertices!$A$11:$J$203,7,FALSE )-$C$7</f>
        <v>16.875</v>
      </c>
      <c r="D289" s="22">
        <f>VLOOKUP(B289,Vertices!$A$11:$J$203,8,FALSE )-$D$7</f>
        <v>7.16</v>
      </c>
      <c r="E289" s="23">
        <f>VLOOKUP(B289,Vertices!$A$11:$J$203,9,FALSE )-$E$7</f>
        <v>69.09</v>
      </c>
      <c r="F289" s="21">
        <f>Faces!C289</f>
        <v>139</v>
      </c>
      <c r="G289" s="22">
        <f>VLOOKUP(F289,Vertices!$A$11:$J$203,7,FALSE )-$C$7</f>
        <v>-0.81499999999999773</v>
      </c>
      <c r="H289" s="22">
        <f>VLOOKUP(F289,Vertices!$A$11:$J$203,8,FALSE )-$D$7</f>
        <v>15.02</v>
      </c>
      <c r="I289" s="23">
        <f>VLOOKUP(F289,Vertices!$A$11:$J$203,9,FALSE )-$E$7</f>
        <v>49.41</v>
      </c>
      <c r="J289" s="21">
        <f>Faces!D289</f>
        <v>114</v>
      </c>
      <c r="K289" s="22">
        <f>VLOOKUP(J289,Vertices!$A$11:$J$203,7,FALSE )-$C$7</f>
        <v>9.3350000000000009</v>
      </c>
      <c r="L289" s="22">
        <f>VLOOKUP(J289,Vertices!$A$11:$J$203,8,FALSE )-$D$7</f>
        <v>19.39</v>
      </c>
      <c r="M289" s="23">
        <f>VLOOKUP(J289,Vertices!$A$11:$J$203,9,FALSE )-$E$7</f>
        <v>60.44</v>
      </c>
      <c r="N289" s="16">
        <f t="shared" si="8"/>
        <v>1328.6409616666667</v>
      </c>
      <c r="O289" s="16">
        <f t="shared" si="9"/>
        <v>1328.6409616666667</v>
      </c>
    </row>
    <row r="290" spans="1:15" x14ac:dyDescent="0.25">
      <c r="A290">
        <f>Faces!A290</f>
        <v>280</v>
      </c>
      <c r="B290" s="21">
        <f>Faces!B290</f>
        <v>114</v>
      </c>
      <c r="C290" s="22">
        <f>VLOOKUP(B290,Vertices!$A$11:$J$203,7,FALSE )-$C$7</f>
        <v>9.3350000000000009</v>
      </c>
      <c r="D290" s="22">
        <f>VLOOKUP(B290,Vertices!$A$11:$J$203,8,FALSE )-$D$7</f>
        <v>19.39</v>
      </c>
      <c r="E290" s="23">
        <f>VLOOKUP(B290,Vertices!$A$11:$J$203,9,FALSE )-$E$7</f>
        <v>60.44</v>
      </c>
      <c r="F290" s="21">
        <f>Faces!C290</f>
        <v>139</v>
      </c>
      <c r="G290" s="22">
        <f>VLOOKUP(F290,Vertices!$A$11:$J$203,7,FALSE )-$C$7</f>
        <v>-0.81499999999999773</v>
      </c>
      <c r="H290" s="22">
        <f>VLOOKUP(F290,Vertices!$A$11:$J$203,8,FALSE )-$D$7</f>
        <v>15.02</v>
      </c>
      <c r="I290" s="23">
        <f>VLOOKUP(F290,Vertices!$A$11:$J$203,9,FALSE )-$E$7</f>
        <v>49.41</v>
      </c>
      <c r="J290" s="21">
        <f>Faces!D290</f>
        <v>140</v>
      </c>
      <c r="K290" s="22">
        <f>VLOOKUP(J290,Vertices!$A$11:$J$203,7,FALSE )-$C$7</f>
        <v>-10.024999999999999</v>
      </c>
      <c r="L290" s="22">
        <f>VLOOKUP(J290,Vertices!$A$11:$J$203,8,FALSE )-$D$7</f>
        <v>31.24</v>
      </c>
      <c r="M290" s="23">
        <f>VLOOKUP(J290,Vertices!$A$11:$J$203,9,FALSE )-$E$7</f>
        <v>39.229999999999997</v>
      </c>
      <c r="N290" s="16">
        <f t="shared" si="8"/>
        <v>1721.8943598333328</v>
      </c>
      <c r="O290" s="16">
        <f t="shared" si="9"/>
        <v>1721.8943598333328</v>
      </c>
    </row>
    <row r="291" spans="1:15" x14ac:dyDescent="0.25">
      <c r="A291">
        <f>Faces!A291</f>
        <v>281</v>
      </c>
      <c r="B291" s="21">
        <f>Faces!B291</f>
        <v>114</v>
      </c>
      <c r="C291" s="22">
        <f>VLOOKUP(B291,Vertices!$A$11:$J$203,7,FALSE )-$C$7</f>
        <v>9.3350000000000009</v>
      </c>
      <c r="D291" s="22">
        <f>VLOOKUP(B291,Vertices!$A$11:$J$203,8,FALSE )-$D$7</f>
        <v>19.39</v>
      </c>
      <c r="E291" s="23">
        <f>VLOOKUP(B291,Vertices!$A$11:$J$203,9,FALSE )-$E$7</f>
        <v>60.44</v>
      </c>
      <c r="F291" s="21">
        <f>Faces!C291</f>
        <v>140</v>
      </c>
      <c r="G291" s="22">
        <f>VLOOKUP(F291,Vertices!$A$11:$J$203,7,FALSE )-$C$7</f>
        <v>-10.024999999999999</v>
      </c>
      <c r="H291" s="22">
        <f>VLOOKUP(F291,Vertices!$A$11:$J$203,8,FALSE )-$D$7</f>
        <v>31.24</v>
      </c>
      <c r="I291" s="23">
        <f>VLOOKUP(F291,Vertices!$A$11:$J$203,9,FALSE )-$E$7</f>
        <v>39.229999999999997</v>
      </c>
      <c r="J291" s="21">
        <f>Faces!D291</f>
        <v>115</v>
      </c>
      <c r="K291" s="22">
        <f>VLOOKUP(J291,Vertices!$A$11:$J$203,7,FALSE )-$C$7</f>
        <v>-1.894999999999996</v>
      </c>
      <c r="L291" s="22">
        <f>VLOOKUP(J291,Vertices!$A$11:$J$203,8,FALSE )-$D$7</f>
        <v>39.049999999999997</v>
      </c>
      <c r="M291" s="23">
        <f>VLOOKUP(J291,Vertices!$A$11:$J$203,9,FALSE )-$E$7</f>
        <v>48.25</v>
      </c>
      <c r="N291" s="16">
        <f t="shared" si="8"/>
        <v>2062.4747557500004</v>
      </c>
      <c r="O291" s="16">
        <f t="shared" si="9"/>
        <v>2062.4747557500004</v>
      </c>
    </row>
    <row r="292" spans="1:15" x14ac:dyDescent="0.25">
      <c r="A292">
        <f>Faces!A292</f>
        <v>282</v>
      </c>
      <c r="B292" s="21">
        <f>Faces!B292</f>
        <v>115</v>
      </c>
      <c r="C292" s="22">
        <f>VLOOKUP(B292,Vertices!$A$11:$J$203,7,FALSE )-$C$7</f>
        <v>-1.894999999999996</v>
      </c>
      <c r="D292" s="22">
        <f>VLOOKUP(B292,Vertices!$A$11:$J$203,8,FALSE )-$D$7</f>
        <v>39.049999999999997</v>
      </c>
      <c r="E292" s="23">
        <f>VLOOKUP(B292,Vertices!$A$11:$J$203,9,FALSE )-$E$7</f>
        <v>48.25</v>
      </c>
      <c r="F292" s="21">
        <f>Faces!C292</f>
        <v>140</v>
      </c>
      <c r="G292" s="22">
        <f>VLOOKUP(F292,Vertices!$A$11:$J$203,7,FALSE )-$C$7</f>
        <v>-10.024999999999999</v>
      </c>
      <c r="H292" s="22">
        <f>VLOOKUP(F292,Vertices!$A$11:$J$203,8,FALSE )-$D$7</f>
        <v>31.24</v>
      </c>
      <c r="I292" s="23">
        <f>VLOOKUP(F292,Vertices!$A$11:$J$203,9,FALSE )-$E$7</f>
        <v>39.229999999999997</v>
      </c>
      <c r="J292" s="21">
        <f>Faces!D292</f>
        <v>141</v>
      </c>
      <c r="K292" s="22">
        <f>VLOOKUP(J292,Vertices!$A$11:$J$203,7,FALSE )-$C$7</f>
        <v>-17.335000000000001</v>
      </c>
      <c r="L292" s="22">
        <f>VLOOKUP(J292,Vertices!$A$11:$J$203,8,FALSE )-$D$7</f>
        <v>45.71</v>
      </c>
      <c r="M292" s="23">
        <f>VLOOKUP(J292,Vertices!$A$11:$J$203,9,FALSE )-$E$7</f>
        <v>31.75</v>
      </c>
      <c r="N292" s="16">
        <f t="shared" si="8"/>
        <v>1431.463691500001</v>
      </c>
      <c r="O292" s="16">
        <f t="shared" si="9"/>
        <v>1431.463691500001</v>
      </c>
    </row>
    <row r="293" spans="1:15" x14ac:dyDescent="0.25">
      <c r="A293">
        <f>Faces!A293</f>
        <v>283</v>
      </c>
      <c r="B293" s="21">
        <f>Faces!B293</f>
        <v>115</v>
      </c>
      <c r="C293" s="22">
        <f>VLOOKUP(B293,Vertices!$A$11:$J$203,7,FALSE )-$C$7</f>
        <v>-1.894999999999996</v>
      </c>
      <c r="D293" s="22">
        <f>VLOOKUP(B293,Vertices!$A$11:$J$203,8,FALSE )-$D$7</f>
        <v>39.049999999999997</v>
      </c>
      <c r="E293" s="23">
        <f>VLOOKUP(B293,Vertices!$A$11:$J$203,9,FALSE )-$E$7</f>
        <v>48.25</v>
      </c>
      <c r="F293" s="21">
        <f>Faces!C293</f>
        <v>141</v>
      </c>
      <c r="G293" s="22">
        <f>VLOOKUP(F293,Vertices!$A$11:$J$203,7,FALSE )-$C$7</f>
        <v>-17.335000000000001</v>
      </c>
      <c r="H293" s="22">
        <f>VLOOKUP(F293,Vertices!$A$11:$J$203,8,FALSE )-$D$7</f>
        <v>45.71</v>
      </c>
      <c r="I293" s="23">
        <f>VLOOKUP(F293,Vertices!$A$11:$J$203,9,FALSE )-$E$7</f>
        <v>31.75</v>
      </c>
      <c r="J293" s="21">
        <f>Faces!D293</f>
        <v>116</v>
      </c>
      <c r="K293" s="22">
        <f>VLOOKUP(J293,Vertices!$A$11:$J$203,7,FALSE )-$C$7</f>
        <v>-10.844999999999999</v>
      </c>
      <c r="L293" s="22">
        <f>VLOOKUP(J293,Vertices!$A$11:$J$203,8,FALSE )-$D$7</f>
        <v>56.54</v>
      </c>
      <c r="M293" s="23">
        <f>VLOOKUP(J293,Vertices!$A$11:$J$203,9,FALSE )-$E$7</f>
        <v>39.47</v>
      </c>
      <c r="N293" s="16">
        <f t="shared" si="8"/>
        <v>1686.1259148333327</v>
      </c>
      <c r="O293" s="16">
        <f t="shared" si="9"/>
        <v>1686.1259148333327</v>
      </c>
    </row>
    <row r="294" spans="1:15" x14ac:dyDescent="0.25">
      <c r="A294">
        <f>Faces!A294</f>
        <v>284</v>
      </c>
      <c r="B294" s="21">
        <f>Faces!B294</f>
        <v>137</v>
      </c>
      <c r="C294" s="22">
        <f>VLOOKUP(B294,Vertices!$A$11:$J$203,7,FALSE )-$C$7</f>
        <v>11.414999999999999</v>
      </c>
      <c r="D294" s="22">
        <f>VLOOKUP(B294,Vertices!$A$11:$J$203,8,FALSE )-$D$7</f>
        <v>-4.63</v>
      </c>
      <c r="E294" s="23">
        <f>VLOOKUP(B294,Vertices!$A$11:$J$203,9,FALSE )-$E$7</f>
        <v>63.27</v>
      </c>
      <c r="F294" s="21">
        <f>Faces!C294</f>
        <v>161</v>
      </c>
      <c r="G294" s="22">
        <f>VLOOKUP(F294,Vertices!$A$11:$J$203,7,FALSE )-$C$7</f>
        <v>-2.0150000000000006</v>
      </c>
      <c r="H294" s="22">
        <f>VLOOKUP(F294,Vertices!$A$11:$J$203,8,FALSE )-$D$7</f>
        <v>-4.7</v>
      </c>
      <c r="I294" s="23">
        <f>VLOOKUP(F294,Vertices!$A$11:$J$203,9,FALSE )-$E$7</f>
        <v>48.48</v>
      </c>
      <c r="J294" s="21">
        <f>Faces!D294</f>
        <v>162</v>
      </c>
      <c r="K294" s="22">
        <f>VLOOKUP(J294,Vertices!$A$11:$J$203,7,FALSE )-$C$7</f>
        <v>-6.7049999999999983</v>
      </c>
      <c r="L294" s="22">
        <f>VLOOKUP(J294,Vertices!$A$11:$J$203,8,FALSE )-$D$7</f>
        <v>2.76</v>
      </c>
      <c r="M294" s="23">
        <f>VLOOKUP(J294,Vertices!$A$11:$J$203,9,FALSE )-$E$7</f>
        <v>43.09</v>
      </c>
      <c r="N294" s="16">
        <f t="shared" si="8"/>
        <v>846.98272808333343</v>
      </c>
      <c r="O294" s="16">
        <f t="shared" si="9"/>
        <v>846.98272808333343</v>
      </c>
    </row>
    <row r="295" spans="1:15" x14ac:dyDescent="0.25">
      <c r="A295">
        <f>Faces!A295</f>
        <v>285</v>
      </c>
      <c r="B295" s="21">
        <f>Faces!B295</f>
        <v>137</v>
      </c>
      <c r="C295" s="22">
        <f>VLOOKUP(B295,Vertices!$A$11:$J$203,7,FALSE )-$C$7</f>
        <v>11.414999999999999</v>
      </c>
      <c r="D295" s="22">
        <f>VLOOKUP(B295,Vertices!$A$11:$J$203,8,FALSE )-$D$7</f>
        <v>-4.63</v>
      </c>
      <c r="E295" s="23">
        <f>VLOOKUP(B295,Vertices!$A$11:$J$203,9,FALSE )-$E$7</f>
        <v>63.27</v>
      </c>
      <c r="F295" s="21">
        <f>Faces!C295</f>
        <v>162</v>
      </c>
      <c r="G295" s="22">
        <f>VLOOKUP(F295,Vertices!$A$11:$J$203,7,FALSE )-$C$7</f>
        <v>-6.7049999999999983</v>
      </c>
      <c r="H295" s="22">
        <f>VLOOKUP(F295,Vertices!$A$11:$J$203,8,FALSE )-$D$7</f>
        <v>2.76</v>
      </c>
      <c r="I295" s="23">
        <f>VLOOKUP(F295,Vertices!$A$11:$J$203,9,FALSE )-$E$7</f>
        <v>43.09</v>
      </c>
      <c r="J295" s="21">
        <f>Faces!D295</f>
        <v>138</v>
      </c>
      <c r="K295" s="22">
        <f>VLOOKUP(J295,Vertices!$A$11:$J$203,7,FALSE )-$C$7</f>
        <v>5.3250000000000028</v>
      </c>
      <c r="L295" s="22">
        <f>VLOOKUP(J295,Vertices!$A$11:$J$203,8,FALSE )-$D$7</f>
        <v>4.88</v>
      </c>
      <c r="M295" s="23">
        <f>VLOOKUP(J295,Vertices!$A$11:$J$203,9,FALSE )-$E$7</f>
        <v>56.16</v>
      </c>
      <c r="N295" s="16">
        <f t="shared" si="8"/>
        <v>1072.8175572500002</v>
      </c>
      <c r="O295" s="16">
        <f t="shared" si="9"/>
        <v>1072.8175572500002</v>
      </c>
    </row>
    <row r="296" spans="1:15" x14ac:dyDescent="0.25">
      <c r="A296">
        <f>Faces!A296</f>
        <v>286</v>
      </c>
      <c r="B296" s="21">
        <f>Faces!B296</f>
        <v>138</v>
      </c>
      <c r="C296" s="22">
        <f>VLOOKUP(B296,Vertices!$A$11:$J$203,7,FALSE )-$C$7</f>
        <v>5.3250000000000028</v>
      </c>
      <c r="D296" s="22">
        <f>VLOOKUP(B296,Vertices!$A$11:$J$203,8,FALSE )-$D$7</f>
        <v>4.88</v>
      </c>
      <c r="E296" s="23">
        <f>VLOOKUP(B296,Vertices!$A$11:$J$203,9,FALSE )-$E$7</f>
        <v>56.16</v>
      </c>
      <c r="F296" s="21">
        <f>Faces!C296</f>
        <v>162</v>
      </c>
      <c r="G296" s="22">
        <f>VLOOKUP(F296,Vertices!$A$11:$J$203,7,FALSE )-$C$7</f>
        <v>-6.7049999999999983</v>
      </c>
      <c r="H296" s="22">
        <f>VLOOKUP(F296,Vertices!$A$11:$J$203,8,FALSE )-$D$7</f>
        <v>2.76</v>
      </c>
      <c r="I296" s="23">
        <f>VLOOKUP(F296,Vertices!$A$11:$J$203,9,FALSE )-$E$7</f>
        <v>43.09</v>
      </c>
      <c r="J296" s="21">
        <f>Faces!D296</f>
        <v>163</v>
      </c>
      <c r="K296" s="22">
        <f>VLOOKUP(J296,Vertices!$A$11:$J$203,7,FALSE )-$C$7</f>
        <v>-11.324999999999996</v>
      </c>
      <c r="L296" s="22">
        <f>VLOOKUP(J296,Vertices!$A$11:$J$203,8,FALSE )-$D$7</f>
        <v>10.7</v>
      </c>
      <c r="M296" s="23">
        <f>VLOOKUP(J296,Vertices!$A$11:$J$203,9,FALSE )-$E$7</f>
        <v>37.979999999999997</v>
      </c>
      <c r="N296" s="16">
        <f t="shared" si="8"/>
        <v>884.89690050000024</v>
      </c>
      <c r="O296" s="16">
        <f t="shared" si="9"/>
        <v>884.89690050000024</v>
      </c>
    </row>
    <row r="297" spans="1:15" x14ac:dyDescent="0.25">
      <c r="A297">
        <f>Faces!A297</f>
        <v>287</v>
      </c>
      <c r="B297" s="21">
        <f>Faces!B297</f>
        <v>138</v>
      </c>
      <c r="C297" s="22">
        <f>VLOOKUP(B297,Vertices!$A$11:$J$203,7,FALSE )-$C$7</f>
        <v>5.3250000000000028</v>
      </c>
      <c r="D297" s="22">
        <f>VLOOKUP(B297,Vertices!$A$11:$J$203,8,FALSE )-$D$7</f>
        <v>4.88</v>
      </c>
      <c r="E297" s="23">
        <f>VLOOKUP(B297,Vertices!$A$11:$J$203,9,FALSE )-$E$7</f>
        <v>56.16</v>
      </c>
      <c r="F297" s="21">
        <f>Faces!C297</f>
        <v>163</v>
      </c>
      <c r="G297" s="22">
        <f>VLOOKUP(F297,Vertices!$A$11:$J$203,7,FALSE )-$C$7</f>
        <v>-11.324999999999996</v>
      </c>
      <c r="H297" s="22">
        <f>VLOOKUP(F297,Vertices!$A$11:$J$203,8,FALSE )-$D$7</f>
        <v>10.7</v>
      </c>
      <c r="I297" s="23">
        <f>VLOOKUP(F297,Vertices!$A$11:$J$203,9,FALSE )-$E$7</f>
        <v>37.979999999999997</v>
      </c>
      <c r="J297" s="21">
        <f>Faces!D297</f>
        <v>139</v>
      </c>
      <c r="K297" s="22">
        <f>VLOOKUP(J297,Vertices!$A$11:$J$203,7,FALSE )-$C$7</f>
        <v>-0.81499999999999773</v>
      </c>
      <c r="L297" s="22">
        <f>VLOOKUP(J297,Vertices!$A$11:$J$203,8,FALSE )-$D$7</f>
        <v>15.02</v>
      </c>
      <c r="M297" s="23">
        <f>VLOOKUP(J297,Vertices!$A$11:$J$203,9,FALSE )-$E$7</f>
        <v>49.41</v>
      </c>
      <c r="N297" s="16">
        <f t="shared" si="8"/>
        <v>1117.6595084999997</v>
      </c>
      <c r="O297" s="16">
        <f t="shared" si="9"/>
        <v>1117.6595084999997</v>
      </c>
    </row>
    <row r="298" spans="1:15" x14ac:dyDescent="0.25">
      <c r="A298">
        <f>Faces!A298</f>
        <v>288</v>
      </c>
      <c r="B298" s="21">
        <f>Faces!B298</f>
        <v>139</v>
      </c>
      <c r="C298" s="22">
        <f>VLOOKUP(B298,Vertices!$A$11:$J$203,7,FALSE )-$C$7</f>
        <v>-0.81499999999999773</v>
      </c>
      <c r="D298" s="22">
        <f>VLOOKUP(B298,Vertices!$A$11:$J$203,8,FALSE )-$D$7</f>
        <v>15.02</v>
      </c>
      <c r="E298" s="23">
        <f>VLOOKUP(B298,Vertices!$A$11:$J$203,9,FALSE )-$E$7</f>
        <v>49.41</v>
      </c>
      <c r="F298" s="21">
        <f>Faces!C298</f>
        <v>163</v>
      </c>
      <c r="G298" s="22">
        <f>VLOOKUP(F298,Vertices!$A$11:$J$203,7,FALSE )-$C$7</f>
        <v>-11.324999999999996</v>
      </c>
      <c r="H298" s="22">
        <f>VLOOKUP(F298,Vertices!$A$11:$J$203,8,FALSE )-$D$7</f>
        <v>10.7</v>
      </c>
      <c r="I298" s="23">
        <f>VLOOKUP(F298,Vertices!$A$11:$J$203,9,FALSE )-$E$7</f>
        <v>37.979999999999997</v>
      </c>
      <c r="J298" s="21">
        <f>Faces!D298</f>
        <v>164</v>
      </c>
      <c r="K298" s="22">
        <f>VLOOKUP(J298,Vertices!$A$11:$J$203,7,FALSE )-$C$7</f>
        <v>-18.394999999999996</v>
      </c>
      <c r="L298" s="22">
        <f>VLOOKUP(J298,Vertices!$A$11:$J$203,8,FALSE )-$D$7</f>
        <v>23.39</v>
      </c>
      <c r="M298" s="23">
        <f>VLOOKUP(J298,Vertices!$A$11:$J$203,9,FALSE )-$E$7</f>
        <v>29.99</v>
      </c>
      <c r="N298" s="16">
        <f t="shared" si="8"/>
        <v>1382.147518583334</v>
      </c>
      <c r="O298" s="16">
        <f t="shared" si="9"/>
        <v>1382.147518583334</v>
      </c>
    </row>
    <row r="299" spans="1:15" x14ac:dyDescent="0.25">
      <c r="A299">
        <f>Faces!A299</f>
        <v>289</v>
      </c>
      <c r="B299" s="21">
        <f>Faces!B299</f>
        <v>139</v>
      </c>
      <c r="C299" s="22">
        <f>VLOOKUP(B299,Vertices!$A$11:$J$203,7,FALSE )-$C$7</f>
        <v>-0.81499999999999773</v>
      </c>
      <c r="D299" s="22">
        <f>VLOOKUP(B299,Vertices!$A$11:$J$203,8,FALSE )-$D$7</f>
        <v>15.02</v>
      </c>
      <c r="E299" s="23">
        <f>VLOOKUP(B299,Vertices!$A$11:$J$203,9,FALSE )-$E$7</f>
        <v>49.41</v>
      </c>
      <c r="F299" s="21">
        <f>Faces!C299</f>
        <v>164</v>
      </c>
      <c r="G299" s="22">
        <f>VLOOKUP(F299,Vertices!$A$11:$J$203,7,FALSE )-$C$7</f>
        <v>-18.394999999999996</v>
      </c>
      <c r="H299" s="22">
        <f>VLOOKUP(F299,Vertices!$A$11:$J$203,8,FALSE )-$D$7</f>
        <v>23.39</v>
      </c>
      <c r="I299" s="23">
        <f>VLOOKUP(F299,Vertices!$A$11:$J$203,9,FALSE )-$E$7</f>
        <v>29.99</v>
      </c>
      <c r="J299" s="21">
        <f>Faces!D299</f>
        <v>140</v>
      </c>
      <c r="K299" s="22">
        <f>VLOOKUP(J299,Vertices!$A$11:$J$203,7,FALSE )-$C$7</f>
        <v>-10.024999999999999</v>
      </c>
      <c r="L299" s="22">
        <f>VLOOKUP(J299,Vertices!$A$11:$J$203,8,FALSE )-$D$7</f>
        <v>31.24</v>
      </c>
      <c r="M299" s="23">
        <f>VLOOKUP(J299,Vertices!$A$11:$J$203,9,FALSE )-$E$7</f>
        <v>39.229999999999997</v>
      </c>
      <c r="N299" s="16">
        <f t="shared" si="8"/>
        <v>1744.8517016666665</v>
      </c>
      <c r="O299" s="16">
        <f t="shared" si="9"/>
        <v>1744.8517016666665</v>
      </c>
    </row>
    <row r="300" spans="1:15" x14ac:dyDescent="0.25">
      <c r="A300">
        <f>Faces!A300</f>
        <v>290</v>
      </c>
      <c r="B300" s="21">
        <f>Faces!B300</f>
        <v>140</v>
      </c>
      <c r="C300" s="22">
        <f>VLOOKUP(B300,Vertices!$A$11:$J$203,7,FALSE )-$C$7</f>
        <v>-10.024999999999999</v>
      </c>
      <c r="D300" s="22">
        <f>VLOOKUP(B300,Vertices!$A$11:$J$203,8,FALSE )-$D$7</f>
        <v>31.24</v>
      </c>
      <c r="E300" s="23">
        <f>VLOOKUP(B300,Vertices!$A$11:$J$203,9,FALSE )-$E$7</f>
        <v>39.229999999999997</v>
      </c>
      <c r="F300" s="21">
        <f>Faces!C300</f>
        <v>164</v>
      </c>
      <c r="G300" s="22">
        <f>VLOOKUP(F300,Vertices!$A$11:$J$203,7,FALSE )-$C$7</f>
        <v>-18.394999999999996</v>
      </c>
      <c r="H300" s="22">
        <f>VLOOKUP(F300,Vertices!$A$11:$J$203,8,FALSE )-$D$7</f>
        <v>23.39</v>
      </c>
      <c r="I300" s="23">
        <f>VLOOKUP(F300,Vertices!$A$11:$J$203,9,FALSE )-$E$7</f>
        <v>29.99</v>
      </c>
      <c r="J300" s="21">
        <f>Faces!D300</f>
        <v>165</v>
      </c>
      <c r="K300" s="22">
        <f>VLOOKUP(J300,Vertices!$A$11:$J$203,7,FALSE )-$C$7</f>
        <v>-23.965</v>
      </c>
      <c r="L300" s="22">
        <f>VLOOKUP(J300,Vertices!$A$11:$J$203,8,FALSE )-$D$7</f>
        <v>34.659999999999997</v>
      </c>
      <c r="M300" s="23">
        <f>VLOOKUP(J300,Vertices!$A$11:$J$203,9,FALSE )-$E$7</f>
        <v>24.24</v>
      </c>
      <c r="N300" s="16">
        <f t="shared" si="8"/>
        <v>1134.6681979166672</v>
      </c>
      <c r="O300" s="16">
        <f t="shared" si="9"/>
        <v>1134.6681979166672</v>
      </c>
    </row>
    <row r="301" spans="1:15" x14ac:dyDescent="0.25">
      <c r="A301">
        <f>Faces!A301</f>
        <v>291</v>
      </c>
      <c r="B301" s="21">
        <f>Faces!B301</f>
        <v>140</v>
      </c>
      <c r="C301" s="22">
        <f>VLOOKUP(B301,Vertices!$A$11:$J$203,7,FALSE )-$C$7</f>
        <v>-10.024999999999999</v>
      </c>
      <c r="D301" s="22">
        <f>VLOOKUP(B301,Vertices!$A$11:$J$203,8,FALSE )-$D$7</f>
        <v>31.24</v>
      </c>
      <c r="E301" s="23">
        <f>VLOOKUP(B301,Vertices!$A$11:$J$203,9,FALSE )-$E$7</f>
        <v>39.229999999999997</v>
      </c>
      <c r="F301" s="21">
        <f>Faces!C301</f>
        <v>165</v>
      </c>
      <c r="G301" s="22">
        <f>VLOOKUP(F301,Vertices!$A$11:$J$203,7,FALSE )-$C$7</f>
        <v>-23.965</v>
      </c>
      <c r="H301" s="22">
        <f>VLOOKUP(F301,Vertices!$A$11:$J$203,8,FALSE )-$D$7</f>
        <v>34.659999999999997</v>
      </c>
      <c r="I301" s="23">
        <f>VLOOKUP(F301,Vertices!$A$11:$J$203,9,FALSE )-$E$7</f>
        <v>24.24</v>
      </c>
      <c r="J301" s="21">
        <f>Faces!D301</f>
        <v>141</v>
      </c>
      <c r="K301" s="22">
        <f>VLOOKUP(J301,Vertices!$A$11:$J$203,7,FALSE )-$C$7</f>
        <v>-17.335000000000001</v>
      </c>
      <c r="L301" s="22">
        <f>VLOOKUP(J301,Vertices!$A$11:$J$203,8,FALSE )-$D$7</f>
        <v>45.71</v>
      </c>
      <c r="M301" s="23">
        <f>VLOOKUP(J301,Vertices!$A$11:$J$203,9,FALSE )-$E$7</f>
        <v>31.75</v>
      </c>
      <c r="N301" s="16">
        <f t="shared" si="8"/>
        <v>1447.4443487500005</v>
      </c>
      <c r="O301" s="16">
        <f t="shared" si="9"/>
        <v>1447.4443487500005</v>
      </c>
    </row>
    <row r="302" spans="1:15" x14ac:dyDescent="0.25">
      <c r="A302">
        <f>Faces!A302</f>
        <v>292</v>
      </c>
      <c r="B302" s="21">
        <f>Faces!B302</f>
        <v>161</v>
      </c>
      <c r="C302" s="22">
        <f>VLOOKUP(B302,Vertices!$A$11:$J$203,7,FALSE )-$C$7</f>
        <v>-2.0150000000000006</v>
      </c>
      <c r="D302" s="22">
        <f>VLOOKUP(B302,Vertices!$A$11:$J$203,8,FALSE )-$D$7</f>
        <v>-4.7</v>
      </c>
      <c r="E302" s="23">
        <f>VLOOKUP(B302,Vertices!$A$11:$J$203,9,FALSE )-$E$7</f>
        <v>48.48</v>
      </c>
      <c r="F302" s="21">
        <f>Faces!C302</f>
        <v>181</v>
      </c>
      <c r="G302" s="22">
        <f>VLOOKUP(F302,Vertices!$A$11:$J$203,7,FALSE )-$C$7</f>
        <v>-18.045000000000002</v>
      </c>
      <c r="H302" s="22">
        <f>VLOOKUP(F302,Vertices!$A$11:$J$203,8,FALSE )-$D$7</f>
        <v>-4.5199999999999996</v>
      </c>
      <c r="I302" s="23">
        <f>VLOOKUP(F302,Vertices!$A$11:$J$203,9,FALSE )-$E$7</f>
        <v>30.96</v>
      </c>
      <c r="J302" s="21">
        <f>Faces!D302</f>
        <v>162</v>
      </c>
      <c r="K302" s="22">
        <f>VLOOKUP(J302,Vertices!$A$11:$J$203,7,FALSE )-$C$7</f>
        <v>-6.7049999999999983</v>
      </c>
      <c r="L302" s="22">
        <f>VLOOKUP(J302,Vertices!$A$11:$J$203,8,FALSE )-$D$7</f>
        <v>2.76</v>
      </c>
      <c r="M302" s="23">
        <f>VLOOKUP(J302,Vertices!$A$11:$J$203,9,FALSE )-$E$7</f>
        <v>43.09</v>
      </c>
      <c r="N302" s="16">
        <f t="shared" si="8"/>
        <v>999.66751883333336</v>
      </c>
      <c r="O302" s="16">
        <f t="shared" si="9"/>
        <v>999.66751883333336</v>
      </c>
    </row>
    <row r="303" spans="1:15" x14ac:dyDescent="0.25">
      <c r="A303">
        <f>Faces!A303</f>
        <v>293</v>
      </c>
      <c r="B303" s="21">
        <f>Faces!B303</f>
        <v>162</v>
      </c>
      <c r="C303" s="22">
        <f>VLOOKUP(B303,Vertices!$A$11:$J$203,7,FALSE )-$C$7</f>
        <v>-6.7049999999999983</v>
      </c>
      <c r="D303" s="22">
        <f>VLOOKUP(B303,Vertices!$A$11:$J$203,8,FALSE )-$D$7</f>
        <v>2.76</v>
      </c>
      <c r="E303" s="23">
        <f>VLOOKUP(B303,Vertices!$A$11:$J$203,9,FALSE )-$E$7</f>
        <v>43.09</v>
      </c>
      <c r="F303" s="21">
        <f>Faces!C303</f>
        <v>181</v>
      </c>
      <c r="G303" s="22">
        <f>VLOOKUP(F303,Vertices!$A$11:$J$203,7,FALSE )-$C$7</f>
        <v>-18.045000000000002</v>
      </c>
      <c r="H303" s="22">
        <f>VLOOKUP(F303,Vertices!$A$11:$J$203,8,FALSE )-$D$7</f>
        <v>-4.5199999999999996</v>
      </c>
      <c r="I303" s="23">
        <f>VLOOKUP(F303,Vertices!$A$11:$J$203,9,FALSE )-$E$7</f>
        <v>30.96</v>
      </c>
      <c r="J303" s="21">
        <f>Faces!D303</f>
        <v>182</v>
      </c>
      <c r="K303" s="22">
        <f>VLOOKUP(J303,Vertices!$A$11:$J$203,7,FALSE )-$C$7</f>
        <v>-23.664999999999999</v>
      </c>
      <c r="L303" s="22">
        <f>VLOOKUP(J303,Vertices!$A$11:$J$203,8,FALSE )-$D$7</f>
        <v>5.3</v>
      </c>
      <c r="M303" s="23">
        <f>VLOOKUP(J303,Vertices!$A$11:$J$203,9,FALSE )-$E$7</f>
        <v>24.68</v>
      </c>
      <c r="N303" s="16">
        <f t="shared" si="8"/>
        <v>1279.1732478333333</v>
      </c>
      <c r="O303" s="16">
        <f t="shared" si="9"/>
        <v>1279.1732478333333</v>
      </c>
    </row>
    <row r="304" spans="1:15" x14ac:dyDescent="0.25">
      <c r="A304">
        <f>Faces!A304</f>
        <v>294</v>
      </c>
      <c r="B304" s="21">
        <f>Faces!B304</f>
        <v>162</v>
      </c>
      <c r="C304" s="22">
        <f>VLOOKUP(B304,Vertices!$A$11:$J$203,7,FALSE )-$C$7</f>
        <v>-6.7049999999999983</v>
      </c>
      <c r="D304" s="22">
        <f>VLOOKUP(B304,Vertices!$A$11:$J$203,8,FALSE )-$D$7</f>
        <v>2.76</v>
      </c>
      <c r="E304" s="23">
        <f>VLOOKUP(B304,Vertices!$A$11:$J$203,9,FALSE )-$E$7</f>
        <v>43.09</v>
      </c>
      <c r="F304" s="21">
        <f>Faces!C304</f>
        <v>182</v>
      </c>
      <c r="G304" s="22">
        <f>VLOOKUP(F304,Vertices!$A$11:$J$203,7,FALSE )-$C$7</f>
        <v>-23.664999999999999</v>
      </c>
      <c r="H304" s="22">
        <f>VLOOKUP(F304,Vertices!$A$11:$J$203,8,FALSE )-$D$7</f>
        <v>5.3</v>
      </c>
      <c r="I304" s="23">
        <f>VLOOKUP(F304,Vertices!$A$11:$J$203,9,FALSE )-$E$7</f>
        <v>24.68</v>
      </c>
      <c r="J304" s="21">
        <f>Faces!D304</f>
        <v>163</v>
      </c>
      <c r="K304" s="22">
        <f>VLOOKUP(J304,Vertices!$A$11:$J$203,7,FALSE )-$C$7</f>
        <v>-11.324999999999996</v>
      </c>
      <c r="L304" s="22">
        <f>VLOOKUP(J304,Vertices!$A$11:$J$203,8,FALSE )-$D$7</f>
        <v>10.7</v>
      </c>
      <c r="M304" s="23">
        <f>VLOOKUP(J304,Vertices!$A$11:$J$203,9,FALSE )-$E$7</f>
        <v>37.979999999999997</v>
      </c>
      <c r="N304" s="16">
        <f t="shared" si="8"/>
        <v>1032.4128213333336</v>
      </c>
      <c r="O304" s="16">
        <f t="shared" si="9"/>
        <v>1032.4128213333336</v>
      </c>
    </row>
    <row r="305" spans="1:15" x14ac:dyDescent="0.25">
      <c r="A305">
        <f>Faces!A305</f>
        <v>295</v>
      </c>
      <c r="B305" s="21">
        <f>Faces!B305</f>
        <v>163</v>
      </c>
      <c r="C305" s="22">
        <f>VLOOKUP(B305,Vertices!$A$11:$J$203,7,FALSE )-$C$7</f>
        <v>-11.324999999999996</v>
      </c>
      <c r="D305" s="22">
        <f>VLOOKUP(B305,Vertices!$A$11:$J$203,8,FALSE )-$D$7</f>
        <v>10.7</v>
      </c>
      <c r="E305" s="23">
        <f>VLOOKUP(B305,Vertices!$A$11:$J$203,9,FALSE )-$E$7</f>
        <v>37.979999999999997</v>
      </c>
      <c r="F305" s="21">
        <f>Faces!C305</f>
        <v>182</v>
      </c>
      <c r="G305" s="22">
        <f>VLOOKUP(F305,Vertices!$A$11:$J$203,7,FALSE )-$C$7</f>
        <v>-23.664999999999999</v>
      </c>
      <c r="H305" s="22">
        <f>VLOOKUP(F305,Vertices!$A$11:$J$203,8,FALSE )-$D$7</f>
        <v>5.3</v>
      </c>
      <c r="I305" s="23">
        <f>VLOOKUP(F305,Vertices!$A$11:$J$203,9,FALSE )-$E$7</f>
        <v>24.68</v>
      </c>
      <c r="J305" s="21">
        <f>Faces!D305</f>
        <v>183</v>
      </c>
      <c r="K305" s="22">
        <f>VLOOKUP(J305,Vertices!$A$11:$J$203,7,FALSE )-$C$7</f>
        <v>-28.014999999999997</v>
      </c>
      <c r="L305" s="22">
        <f>VLOOKUP(J305,Vertices!$A$11:$J$203,8,FALSE )-$D$7</f>
        <v>14.43</v>
      </c>
      <c r="M305" s="23">
        <f>VLOOKUP(J305,Vertices!$A$11:$J$203,9,FALSE )-$E$7</f>
        <v>19.89</v>
      </c>
      <c r="N305" s="16">
        <f t="shared" si="8"/>
        <v>1142.1109851666663</v>
      </c>
      <c r="O305" s="16">
        <f t="shared" si="9"/>
        <v>1142.1109851666663</v>
      </c>
    </row>
    <row r="306" spans="1:15" x14ac:dyDescent="0.25">
      <c r="A306">
        <f>Faces!A306</f>
        <v>296</v>
      </c>
      <c r="B306" s="21">
        <f>Faces!B306</f>
        <v>163</v>
      </c>
      <c r="C306" s="22">
        <f>VLOOKUP(B306,Vertices!$A$11:$J$203,7,FALSE )-$C$7</f>
        <v>-11.324999999999996</v>
      </c>
      <c r="D306" s="22">
        <f>VLOOKUP(B306,Vertices!$A$11:$J$203,8,FALSE )-$D$7</f>
        <v>10.7</v>
      </c>
      <c r="E306" s="23">
        <f>VLOOKUP(B306,Vertices!$A$11:$J$203,9,FALSE )-$E$7</f>
        <v>37.979999999999997</v>
      </c>
      <c r="F306" s="21">
        <f>Faces!C306</f>
        <v>183</v>
      </c>
      <c r="G306" s="22">
        <f>VLOOKUP(F306,Vertices!$A$11:$J$203,7,FALSE )-$C$7</f>
        <v>-28.014999999999997</v>
      </c>
      <c r="H306" s="22">
        <f>VLOOKUP(F306,Vertices!$A$11:$J$203,8,FALSE )-$D$7</f>
        <v>14.43</v>
      </c>
      <c r="I306" s="23">
        <f>VLOOKUP(F306,Vertices!$A$11:$J$203,9,FALSE )-$E$7</f>
        <v>19.89</v>
      </c>
      <c r="J306" s="21">
        <f>Faces!D306</f>
        <v>164</v>
      </c>
      <c r="K306" s="22">
        <f>VLOOKUP(J306,Vertices!$A$11:$J$203,7,FALSE )-$C$7</f>
        <v>-18.394999999999996</v>
      </c>
      <c r="L306" s="22">
        <f>VLOOKUP(J306,Vertices!$A$11:$J$203,8,FALSE )-$D$7</f>
        <v>23.39</v>
      </c>
      <c r="M306" s="23">
        <f>VLOOKUP(J306,Vertices!$A$11:$J$203,9,FALSE )-$E$7</f>
        <v>29.99</v>
      </c>
      <c r="N306" s="16">
        <f t="shared" si="8"/>
        <v>1560.5174108333349</v>
      </c>
      <c r="O306" s="16">
        <f t="shared" si="9"/>
        <v>1560.5174108333349</v>
      </c>
    </row>
    <row r="307" spans="1:15" x14ac:dyDescent="0.25">
      <c r="A307">
        <f>Faces!A307</f>
        <v>297</v>
      </c>
      <c r="B307" s="21">
        <f>Faces!B307</f>
        <v>164</v>
      </c>
      <c r="C307" s="22">
        <f>VLOOKUP(B307,Vertices!$A$11:$J$203,7,FALSE )-$C$7</f>
        <v>-18.394999999999996</v>
      </c>
      <c r="D307" s="22">
        <f>VLOOKUP(B307,Vertices!$A$11:$J$203,8,FALSE )-$D$7</f>
        <v>23.39</v>
      </c>
      <c r="E307" s="23">
        <f>VLOOKUP(B307,Vertices!$A$11:$J$203,9,FALSE )-$E$7</f>
        <v>29.99</v>
      </c>
      <c r="F307" s="21">
        <f>Faces!C307</f>
        <v>183</v>
      </c>
      <c r="G307" s="22">
        <f>VLOOKUP(F307,Vertices!$A$11:$J$203,7,FALSE )-$C$7</f>
        <v>-28.014999999999997</v>
      </c>
      <c r="H307" s="22">
        <f>VLOOKUP(F307,Vertices!$A$11:$J$203,8,FALSE )-$D$7</f>
        <v>14.43</v>
      </c>
      <c r="I307" s="23">
        <f>VLOOKUP(F307,Vertices!$A$11:$J$203,9,FALSE )-$E$7</f>
        <v>19.89</v>
      </c>
      <c r="J307" s="21">
        <f>Faces!D307</f>
        <v>184</v>
      </c>
      <c r="K307" s="22">
        <f>VLOOKUP(J307,Vertices!$A$11:$J$203,7,FALSE )-$C$7</f>
        <v>-31.914999999999999</v>
      </c>
      <c r="L307" s="22">
        <f>VLOOKUP(J307,Vertices!$A$11:$J$203,8,FALSE )-$D$7</f>
        <v>21.84</v>
      </c>
      <c r="M307" s="23">
        <f>VLOOKUP(J307,Vertices!$A$11:$J$203,9,FALSE )-$E$7</f>
        <v>15.87</v>
      </c>
      <c r="N307" s="16">
        <f t="shared" si="8"/>
        <v>868.04540550000036</v>
      </c>
      <c r="O307" s="16">
        <f t="shared" si="9"/>
        <v>868.04540550000036</v>
      </c>
    </row>
    <row r="308" spans="1:15" x14ac:dyDescent="0.25">
      <c r="A308">
        <f>Faces!A308</f>
        <v>298</v>
      </c>
      <c r="B308" s="21">
        <f>Faces!B308</f>
        <v>164</v>
      </c>
      <c r="C308" s="22">
        <f>VLOOKUP(B308,Vertices!$A$11:$J$203,7,FALSE )-$C$7</f>
        <v>-18.394999999999996</v>
      </c>
      <c r="D308" s="22">
        <f>VLOOKUP(B308,Vertices!$A$11:$J$203,8,FALSE )-$D$7</f>
        <v>23.39</v>
      </c>
      <c r="E308" s="23">
        <f>VLOOKUP(B308,Vertices!$A$11:$J$203,9,FALSE )-$E$7</f>
        <v>29.99</v>
      </c>
      <c r="F308" s="21">
        <f>Faces!C308</f>
        <v>184</v>
      </c>
      <c r="G308" s="22">
        <f>VLOOKUP(F308,Vertices!$A$11:$J$203,7,FALSE )-$C$7</f>
        <v>-31.914999999999999</v>
      </c>
      <c r="H308" s="22">
        <f>VLOOKUP(F308,Vertices!$A$11:$J$203,8,FALSE )-$D$7</f>
        <v>21.84</v>
      </c>
      <c r="I308" s="23">
        <f>VLOOKUP(F308,Vertices!$A$11:$J$203,9,FALSE )-$E$7</f>
        <v>15.87</v>
      </c>
      <c r="J308" s="21">
        <f>Faces!D308</f>
        <v>165</v>
      </c>
      <c r="K308" s="22">
        <f>VLOOKUP(J308,Vertices!$A$11:$J$203,7,FALSE )-$C$7</f>
        <v>-23.965</v>
      </c>
      <c r="L308" s="22">
        <f>VLOOKUP(J308,Vertices!$A$11:$J$203,8,FALSE )-$D$7</f>
        <v>34.659999999999997</v>
      </c>
      <c r="M308" s="23">
        <f>VLOOKUP(J308,Vertices!$A$11:$J$203,9,FALSE )-$E$7</f>
        <v>24.24</v>
      </c>
      <c r="N308" s="16">
        <f t="shared" si="8"/>
        <v>1316.4075700833321</v>
      </c>
      <c r="O308" s="16">
        <f t="shared" si="9"/>
        <v>1316.4075700833321</v>
      </c>
    </row>
    <row r="309" spans="1:15" x14ac:dyDescent="0.25">
      <c r="A309">
        <f>Faces!A309</f>
        <v>299</v>
      </c>
      <c r="B309" s="21">
        <f>Faces!B309</f>
        <v>181</v>
      </c>
      <c r="C309" s="22">
        <f>VLOOKUP(B309,Vertices!$A$11:$J$203,7,FALSE )-$C$7</f>
        <v>-18.045000000000002</v>
      </c>
      <c r="D309" s="22">
        <f>VLOOKUP(B309,Vertices!$A$11:$J$203,8,FALSE )-$D$7</f>
        <v>-4.5199999999999996</v>
      </c>
      <c r="E309" s="23">
        <f>VLOOKUP(B309,Vertices!$A$11:$J$203,9,FALSE )-$E$7</f>
        <v>30.96</v>
      </c>
      <c r="F309" s="21">
        <f>Faces!C309</f>
        <v>191</v>
      </c>
      <c r="G309" s="22">
        <f>VLOOKUP(F309,Vertices!$A$11:$J$203,7,FALSE )-$C$7</f>
        <v>-35.265000000000001</v>
      </c>
      <c r="H309" s="22">
        <f>VLOOKUP(F309,Vertices!$A$11:$J$203,8,FALSE )-$D$7</f>
        <v>-4.3099999999999996</v>
      </c>
      <c r="I309" s="23">
        <f>VLOOKUP(F309,Vertices!$A$11:$J$203,9,FALSE )-$E$7</f>
        <v>11.95</v>
      </c>
      <c r="J309" s="21">
        <f>Faces!D309</f>
        <v>182</v>
      </c>
      <c r="K309" s="22">
        <f>VLOOKUP(J309,Vertices!$A$11:$J$203,7,FALSE )-$C$7</f>
        <v>-23.664999999999999</v>
      </c>
      <c r="L309" s="22">
        <f>VLOOKUP(J309,Vertices!$A$11:$J$203,8,FALSE )-$D$7</f>
        <v>5.3</v>
      </c>
      <c r="M309" s="23">
        <f>VLOOKUP(J309,Vertices!$A$11:$J$203,9,FALSE )-$E$7</f>
        <v>24.68</v>
      </c>
      <c r="N309" s="16">
        <f t="shared" si="8"/>
        <v>1422.9532261666666</v>
      </c>
      <c r="O309" s="16">
        <f t="shared" si="9"/>
        <v>1422.9532261666666</v>
      </c>
    </row>
    <row r="310" spans="1:15" x14ac:dyDescent="0.25">
      <c r="A310">
        <f>Faces!A310</f>
        <v>300</v>
      </c>
      <c r="B310" s="21">
        <f>Faces!B310</f>
        <v>182</v>
      </c>
      <c r="C310" s="22">
        <f>VLOOKUP(B310,Vertices!$A$11:$J$203,7,FALSE )-$C$7</f>
        <v>-23.664999999999999</v>
      </c>
      <c r="D310" s="22">
        <f>VLOOKUP(B310,Vertices!$A$11:$J$203,8,FALSE )-$D$7</f>
        <v>5.3</v>
      </c>
      <c r="E310" s="23">
        <f>VLOOKUP(B310,Vertices!$A$11:$J$203,9,FALSE )-$E$7</f>
        <v>24.68</v>
      </c>
      <c r="F310" s="21">
        <f>Faces!C310</f>
        <v>191</v>
      </c>
      <c r="G310" s="22">
        <f>VLOOKUP(F310,Vertices!$A$11:$J$203,7,FALSE )-$C$7</f>
        <v>-35.265000000000001</v>
      </c>
      <c r="H310" s="22">
        <f>VLOOKUP(F310,Vertices!$A$11:$J$203,8,FALSE )-$D$7</f>
        <v>-4.3099999999999996</v>
      </c>
      <c r="I310" s="23">
        <f>VLOOKUP(F310,Vertices!$A$11:$J$203,9,FALSE )-$E$7</f>
        <v>11.95</v>
      </c>
      <c r="J310" s="21">
        <f>Faces!D310</f>
        <v>192</v>
      </c>
      <c r="K310" s="22">
        <f>VLOOKUP(J310,Vertices!$A$11:$J$203,7,FALSE )-$C$7</f>
        <v>-40.354999999999997</v>
      </c>
      <c r="L310" s="22">
        <f>VLOOKUP(J310,Vertices!$A$11:$J$203,8,FALSE )-$D$7</f>
        <v>8.1999999999999993</v>
      </c>
      <c r="M310" s="23">
        <f>VLOOKUP(J310,Vertices!$A$11:$J$203,9,FALSE )-$E$7</f>
        <v>7.28</v>
      </c>
      <c r="N310" s="16">
        <f t="shared" si="8"/>
        <v>1593.8561861666665</v>
      </c>
      <c r="O310" s="16">
        <f t="shared" si="9"/>
        <v>1593.8561861666665</v>
      </c>
    </row>
    <row r="311" spans="1:15" x14ac:dyDescent="0.25">
      <c r="A311">
        <f>Faces!A311</f>
        <v>301</v>
      </c>
      <c r="B311" s="21">
        <f>Faces!B311</f>
        <v>182</v>
      </c>
      <c r="C311" s="22">
        <f>VLOOKUP(B311,Vertices!$A$11:$J$203,7,FALSE )-$C$7</f>
        <v>-23.664999999999999</v>
      </c>
      <c r="D311" s="22">
        <f>VLOOKUP(B311,Vertices!$A$11:$J$203,8,FALSE )-$D$7</f>
        <v>5.3</v>
      </c>
      <c r="E311" s="23">
        <f>VLOOKUP(B311,Vertices!$A$11:$J$203,9,FALSE )-$E$7</f>
        <v>24.68</v>
      </c>
      <c r="F311" s="21">
        <f>Faces!C311</f>
        <v>192</v>
      </c>
      <c r="G311" s="22">
        <f>VLOOKUP(F311,Vertices!$A$11:$J$203,7,FALSE )-$C$7</f>
        <v>-40.354999999999997</v>
      </c>
      <c r="H311" s="22">
        <f>VLOOKUP(F311,Vertices!$A$11:$J$203,8,FALSE )-$D$7</f>
        <v>8.1999999999999993</v>
      </c>
      <c r="I311" s="23">
        <f>VLOOKUP(F311,Vertices!$A$11:$J$203,9,FALSE )-$E$7</f>
        <v>7.28</v>
      </c>
      <c r="J311" s="21">
        <f>Faces!D311</f>
        <v>183</v>
      </c>
      <c r="K311" s="22">
        <f>VLOOKUP(J311,Vertices!$A$11:$J$203,7,FALSE )-$C$7</f>
        <v>-28.014999999999997</v>
      </c>
      <c r="L311" s="22">
        <f>VLOOKUP(J311,Vertices!$A$11:$J$203,8,FALSE )-$D$7</f>
        <v>14.43</v>
      </c>
      <c r="M311" s="23">
        <f>VLOOKUP(J311,Vertices!$A$11:$J$203,9,FALSE )-$E$7</f>
        <v>19.89</v>
      </c>
      <c r="N311" s="16">
        <f t="shared" si="8"/>
        <v>1150.4472568333333</v>
      </c>
      <c r="O311" s="16">
        <f t="shared" si="9"/>
        <v>1150.4472568333333</v>
      </c>
    </row>
    <row r="312" spans="1:15" x14ac:dyDescent="0.25">
      <c r="A312">
        <f>Faces!A312</f>
        <v>302</v>
      </c>
      <c r="B312" s="21">
        <f>Faces!B312</f>
        <v>183</v>
      </c>
      <c r="C312" s="22">
        <f>VLOOKUP(B312,Vertices!$A$11:$J$203,7,FALSE )-$C$7</f>
        <v>-28.014999999999997</v>
      </c>
      <c r="D312" s="22">
        <f>VLOOKUP(B312,Vertices!$A$11:$J$203,8,FALSE )-$D$7</f>
        <v>14.43</v>
      </c>
      <c r="E312" s="23">
        <f>VLOOKUP(B312,Vertices!$A$11:$J$203,9,FALSE )-$E$7</f>
        <v>19.89</v>
      </c>
      <c r="F312" s="21">
        <f>Faces!C312</f>
        <v>192</v>
      </c>
      <c r="G312" s="22">
        <f>VLOOKUP(F312,Vertices!$A$11:$J$203,7,FALSE )-$C$7</f>
        <v>-40.354999999999997</v>
      </c>
      <c r="H312" s="22">
        <f>VLOOKUP(F312,Vertices!$A$11:$J$203,8,FALSE )-$D$7</f>
        <v>8.1999999999999993</v>
      </c>
      <c r="I312" s="23">
        <f>VLOOKUP(F312,Vertices!$A$11:$J$203,9,FALSE )-$E$7</f>
        <v>7.28</v>
      </c>
      <c r="J312" s="21">
        <f>Faces!D312</f>
        <v>184</v>
      </c>
      <c r="K312" s="22">
        <f>VLOOKUP(J312,Vertices!$A$11:$J$203,7,FALSE )-$C$7</f>
        <v>-31.914999999999999</v>
      </c>
      <c r="L312" s="22">
        <f>VLOOKUP(J312,Vertices!$A$11:$J$203,8,FALSE )-$D$7</f>
        <v>21.84</v>
      </c>
      <c r="M312" s="23">
        <f>VLOOKUP(J312,Vertices!$A$11:$J$203,9,FALSE )-$E$7</f>
        <v>15.87</v>
      </c>
      <c r="N312" s="16">
        <f t="shared" si="8"/>
        <v>937.91983674999949</v>
      </c>
      <c r="O312" s="16">
        <f t="shared" si="9"/>
        <v>937.91983674999949</v>
      </c>
    </row>
    <row r="313" spans="1:15" x14ac:dyDescent="0.25">
      <c r="A313">
        <f>Faces!A313</f>
        <v>303</v>
      </c>
      <c r="B313" s="21">
        <f>Faces!B313</f>
        <v>81</v>
      </c>
      <c r="C313" s="22">
        <f>VLOOKUP(B313,Vertices!$A$11:$J$203,7,FALSE )-$C$7</f>
        <v>37.545000000000002</v>
      </c>
      <c r="D313" s="22">
        <f>VLOOKUP(B313,Vertices!$A$11:$J$203,8,FALSE )-$D$7</f>
        <v>-4</v>
      </c>
      <c r="E313" s="23">
        <f>VLOOKUP(B313,Vertices!$A$11:$J$203,9,FALSE )-$E$7</f>
        <v>93</v>
      </c>
      <c r="F313" s="21">
        <f>Faces!C313</f>
        <v>117</v>
      </c>
      <c r="G313" s="22">
        <f>VLOOKUP(F313,Vertices!$A$11:$J$203,7,FALSE )-$C$7</f>
        <v>21.295000000000002</v>
      </c>
      <c r="H313" s="22">
        <f>VLOOKUP(F313,Vertices!$A$11:$J$203,8,FALSE )-$D$7</f>
        <v>-8.64</v>
      </c>
      <c r="I313" s="23">
        <f>VLOOKUP(F313,Vertices!$A$11:$J$203,9,FALSE )-$E$7</f>
        <v>72.459999999999994</v>
      </c>
      <c r="J313" s="21">
        <f>Faces!D313</f>
        <v>111</v>
      </c>
      <c r="K313" s="22">
        <f>VLOOKUP(J313,Vertices!$A$11:$J$203,7,FALSE )-$C$7</f>
        <v>24.355000000000004</v>
      </c>
      <c r="L313" s="22">
        <f>VLOOKUP(J313,Vertices!$A$11:$J$203,8,FALSE )-$D$7</f>
        <v>-4.38</v>
      </c>
      <c r="M313" s="23">
        <f>VLOOKUP(J313,Vertices!$A$11:$J$203,9,FALSE )-$E$7</f>
        <v>78.06</v>
      </c>
      <c r="N313" s="16">
        <f t="shared" si="8"/>
        <v>486.73849366666701</v>
      </c>
      <c r="O313" s="16">
        <f t="shared" si="9"/>
        <v>486.73849366666701</v>
      </c>
    </row>
    <row r="314" spans="1:15" x14ac:dyDescent="0.25">
      <c r="A314">
        <f>Faces!A314</f>
        <v>304</v>
      </c>
      <c r="B314" s="21">
        <f>Faces!B314</f>
        <v>81</v>
      </c>
      <c r="C314" s="22">
        <f>VLOOKUP(B314,Vertices!$A$11:$J$203,7,FALSE )-$C$7</f>
        <v>37.545000000000002</v>
      </c>
      <c r="D314" s="22">
        <f>VLOOKUP(B314,Vertices!$A$11:$J$203,8,FALSE )-$D$7</f>
        <v>-4</v>
      </c>
      <c r="E314" s="23">
        <f>VLOOKUP(B314,Vertices!$A$11:$J$203,9,FALSE )-$E$7</f>
        <v>93</v>
      </c>
      <c r="F314" s="21">
        <f>Faces!C314</f>
        <v>87</v>
      </c>
      <c r="G314" s="22">
        <f>VLOOKUP(F314,Vertices!$A$11:$J$203,7,FALSE )-$C$7</f>
        <v>33.754999999999995</v>
      </c>
      <c r="H314" s="22">
        <f>VLOOKUP(F314,Vertices!$A$11:$J$203,8,FALSE )-$D$7</f>
        <v>-8.91</v>
      </c>
      <c r="I314" s="23">
        <f>VLOOKUP(F314,Vertices!$A$11:$J$203,9,FALSE )-$E$7</f>
        <v>86.14</v>
      </c>
      <c r="J314" s="21">
        <f>Faces!D314</f>
        <v>117</v>
      </c>
      <c r="K314" s="22">
        <f>VLOOKUP(J314,Vertices!$A$11:$J$203,7,FALSE )-$C$7</f>
        <v>21.295000000000002</v>
      </c>
      <c r="L314" s="22">
        <f>VLOOKUP(J314,Vertices!$A$11:$J$203,8,FALSE )-$D$7</f>
        <v>-8.64</v>
      </c>
      <c r="M314" s="23">
        <f>VLOOKUP(J314,Vertices!$A$11:$J$203,9,FALSE )-$E$7</f>
        <v>72.459999999999994</v>
      </c>
      <c r="N314" s="16">
        <f t="shared" si="8"/>
        <v>554.64947583333321</v>
      </c>
      <c r="O314" s="16">
        <f t="shared" si="9"/>
        <v>554.64947583333321</v>
      </c>
    </row>
    <row r="315" spans="1:15" x14ac:dyDescent="0.25">
      <c r="A315">
        <f>Faces!A315</f>
        <v>305</v>
      </c>
      <c r="B315" s="21">
        <f>Faces!B315</f>
        <v>87</v>
      </c>
      <c r="C315" s="22">
        <f>VLOOKUP(B315,Vertices!$A$11:$J$203,7,FALSE )-$C$7</f>
        <v>33.754999999999995</v>
      </c>
      <c r="D315" s="22">
        <f>VLOOKUP(B315,Vertices!$A$11:$J$203,8,FALSE )-$D$7</f>
        <v>-8.91</v>
      </c>
      <c r="E315" s="23">
        <f>VLOOKUP(B315,Vertices!$A$11:$J$203,9,FALSE )-$E$7</f>
        <v>86.14</v>
      </c>
      <c r="F315" s="21">
        <f>Faces!C315</f>
        <v>118</v>
      </c>
      <c r="G315" s="22">
        <f>VLOOKUP(F315,Vertices!$A$11:$J$203,7,FALSE )-$C$7</f>
        <v>18.105000000000004</v>
      </c>
      <c r="H315" s="22">
        <f>VLOOKUP(F315,Vertices!$A$11:$J$203,8,FALSE )-$D$7</f>
        <v>-13.02</v>
      </c>
      <c r="I315" s="23">
        <f>VLOOKUP(F315,Vertices!$A$11:$J$203,9,FALSE )-$E$7</f>
        <v>66.66</v>
      </c>
      <c r="J315" s="21">
        <f>Faces!D315</f>
        <v>117</v>
      </c>
      <c r="K315" s="22">
        <f>VLOOKUP(J315,Vertices!$A$11:$J$203,7,FALSE )-$C$7</f>
        <v>21.295000000000002</v>
      </c>
      <c r="L315" s="22">
        <f>VLOOKUP(J315,Vertices!$A$11:$J$203,8,FALSE )-$D$7</f>
        <v>-8.64</v>
      </c>
      <c r="M315" s="23">
        <f>VLOOKUP(J315,Vertices!$A$11:$J$203,9,FALSE )-$E$7</f>
        <v>72.459999999999994</v>
      </c>
      <c r="N315" s="16">
        <f t="shared" si="8"/>
        <v>492.49038999999965</v>
      </c>
      <c r="O315" s="16">
        <f t="shared" si="9"/>
        <v>492.49038999999965</v>
      </c>
    </row>
    <row r="316" spans="1:15" x14ac:dyDescent="0.25">
      <c r="A316">
        <f>Faces!A316</f>
        <v>306</v>
      </c>
      <c r="B316" s="21">
        <f>Faces!B316</f>
        <v>87</v>
      </c>
      <c r="C316" s="22">
        <f>VLOOKUP(B316,Vertices!$A$11:$J$203,7,FALSE )-$C$7</f>
        <v>33.754999999999995</v>
      </c>
      <c r="D316" s="22">
        <f>VLOOKUP(B316,Vertices!$A$11:$J$203,8,FALSE )-$D$7</f>
        <v>-8.91</v>
      </c>
      <c r="E316" s="23">
        <f>VLOOKUP(B316,Vertices!$A$11:$J$203,9,FALSE )-$E$7</f>
        <v>86.14</v>
      </c>
      <c r="F316" s="21">
        <f>Faces!C316</f>
        <v>88</v>
      </c>
      <c r="G316" s="22">
        <f>VLOOKUP(F316,Vertices!$A$11:$J$203,7,FALSE )-$C$7</f>
        <v>30.075000000000003</v>
      </c>
      <c r="H316" s="22">
        <f>VLOOKUP(F316,Vertices!$A$11:$J$203,8,FALSE )-$D$7</f>
        <v>-13.75</v>
      </c>
      <c r="I316" s="23">
        <f>VLOOKUP(F316,Vertices!$A$11:$J$203,9,FALSE )-$E$7</f>
        <v>79.52</v>
      </c>
      <c r="J316" s="21">
        <f>Faces!D316</f>
        <v>118</v>
      </c>
      <c r="K316" s="22">
        <f>VLOOKUP(J316,Vertices!$A$11:$J$203,7,FALSE )-$C$7</f>
        <v>18.105000000000004</v>
      </c>
      <c r="L316" s="22">
        <f>VLOOKUP(J316,Vertices!$A$11:$J$203,8,FALSE )-$D$7</f>
        <v>-13.02</v>
      </c>
      <c r="M316" s="23">
        <f>VLOOKUP(J316,Vertices!$A$11:$J$203,9,FALSE )-$E$7</f>
        <v>66.66</v>
      </c>
      <c r="N316" s="16">
        <f t="shared" si="8"/>
        <v>540.36174150000079</v>
      </c>
      <c r="O316" s="16">
        <f t="shared" si="9"/>
        <v>540.36174150000079</v>
      </c>
    </row>
    <row r="317" spans="1:15" x14ac:dyDescent="0.25">
      <c r="A317">
        <f>Faces!A317</f>
        <v>307</v>
      </c>
      <c r="B317" s="21">
        <f>Faces!B317</f>
        <v>88</v>
      </c>
      <c r="C317" s="22">
        <f>VLOOKUP(B317,Vertices!$A$11:$J$203,7,FALSE )-$C$7</f>
        <v>30.075000000000003</v>
      </c>
      <c r="D317" s="22">
        <f>VLOOKUP(B317,Vertices!$A$11:$J$203,8,FALSE )-$D$7</f>
        <v>-13.75</v>
      </c>
      <c r="E317" s="23">
        <f>VLOOKUP(B317,Vertices!$A$11:$J$203,9,FALSE )-$E$7</f>
        <v>79.52</v>
      </c>
      <c r="F317" s="21">
        <f>Faces!C317</f>
        <v>119</v>
      </c>
      <c r="G317" s="22">
        <f>VLOOKUP(F317,Vertices!$A$11:$J$203,7,FALSE )-$C$7</f>
        <v>11.664999999999999</v>
      </c>
      <c r="H317" s="22">
        <f>VLOOKUP(F317,Vertices!$A$11:$J$203,8,FALSE )-$D$7</f>
        <v>-22.54</v>
      </c>
      <c r="I317" s="23">
        <f>VLOOKUP(F317,Vertices!$A$11:$J$203,9,FALSE )-$E$7</f>
        <v>55.19</v>
      </c>
      <c r="J317" s="21">
        <f>Faces!D317</f>
        <v>118</v>
      </c>
      <c r="K317" s="22">
        <f>VLOOKUP(J317,Vertices!$A$11:$J$203,7,FALSE )-$C$7</f>
        <v>18.105000000000004</v>
      </c>
      <c r="L317" s="22">
        <f>VLOOKUP(J317,Vertices!$A$11:$J$203,8,FALSE )-$D$7</f>
        <v>-13.02</v>
      </c>
      <c r="M317" s="23">
        <f>VLOOKUP(J317,Vertices!$A$11:$J$203,9,FALSE )-$E$7</f>
        <v>66.66</v>
      </c>
      <c r="N317" s="16">
        <f t="shared" si="8"/>
        <v>1041.7899857499997</v>
      </c>
      <c r="O317" s="16">
        <f t="shared" si="9"/>
        <v>1041.7899857499997</v>
      </c>
    </row>
    <row r="318" spans="1:15" x14ac:dyDescent="0.25">
      <c r="A318">
        <f>Faces!A318</f>
        <v>308</v>
      </c>
      <c r="B318" s="21">
        <f>Faces!B318</f>
        <v>88</v>
      </c>
      <c r="C318" s="22">
        <f>VLOOKUP(B318,Vertices!$A$11:$J$203,7,FALSE )-$C$7</f>
        <v>30.075000000000003</v>
      </c>
      <c r="D318" s="22">
        <f>VLOOKUP(B318,Vertices!$A$11:$J$203,8,FALSE )-$D$7</f>
        <v>-13.75</v>
      </c>
      <c r="E318" s="23">
        <f>VLOOKUP(B318,Vertices!$A$11:$J$203,9,FALSE )-$E$7</f>
        <v>79.52</v>
      </c>
      <c r="F318" s="21">
        <f>Faces!C318</f>
        <v>89</v>
      </c>
      <c r="G318" s="22">
        <f>VLOOKUP(F318,Vertices!$A$11:$J$203,7,FALSE )-$C$7</f>
        <v>22.475000000000009</v>
      </c>
      <c r="H318" s="22">
        <f>VLOOKUP(F318,Vertices!$A$11:$J$203,8,FALSE )-$D$7</f>
        <v>-24.83</v>
      </c>
      <c r="I318" s="23">
        <f>VLOOKUP(F318,Vertices!$A$11:$J$203,9,FALSE )-$E$7</f>
        <v>66.08</v>
      </c>
      <c r="J318" s="21">
        <f>Faces!D318</f>
        <v>119</v>
      </c>
      <c r="K318" s="22">
        <f>VLOOKUP(J318,Vertices!$A$11:$J$203,7,FALSE )-$C$7</f>
        <v>11.664999999999999</v>
      </c>
      <c r="L318" s="22">
        <f>VLOOKUP(J318,Vertices!$A$11:$J$203,8,FALSE )-$D$7</f>
        <v>-22.54</v>
      </c>
      <c r="M318" s="23">
        <f>VLOOKUP(J318,Vertices!$A$11:$J$203,9,FALSE )-$E$7</f>
        <v>55.19</v>
      </c>
      <c r="N318" s="16">
        <f t="shared" si="8"/>
        <v>1202.2698776666664</v>
      </c>
      <c r="O318" s="16">
        <f t="shared" si="9"/>
        <v>1202.2698776666664</v>
      </c>
    </row>
    <row r="319" spans="1:15" x14ac:dyDescent="0.25">
      <c r="A319">
        <f>Faces!A319</f>
        <v>309</v>
      </c>
      <c r="B319" s="21">
        <f>Faces!B319</f>
        <v>89</v>
      </c>
      <c r="C319" s="22">
        <f>VLOOKUP(B319,Vertices!$A$11:$J$203,7,FALSE )-$C$7</f>
        <v>22.475000000000009</v>
      </c>
      <c r="D319" s="22">
        <f>VLOOKUP(B319,Vertices!$A$11:$J$203,8,FALSE )-$D$7</f>
        <v>-24.83</v>
      </c>
      <c r="E319" s="23">
        <f>VLOOKUP(B319,Vertices!$A$11:$J$203,9,FALSE )-$E$7</f>
        <v>66.08</v>
      </c>
      <c r="F319" s="21">
        <f>Faces!C319</f>
        <v>120</v>
      </c>
      <c r="G319" s="22">
        <f>VLOOKUP(F319,Vertices!$A$11:$J$203,7,FALSE )-$C$7</f>
        <v>1.7550000000000026</v>
      </c>
      <c r="H319" s="22">
        <f>VLOOKUP(F319,Vertices!$A$11:$J$203,8,FALSE )-$D$7</f>
        <v>-39.17</v>
      </c>
      <c r="I319" s="23">
        <f>VLOOKUP(F319,Vertices!$A$11:$J$203,9,FALSE )-$E$7</f>
        <v>37.72</v>
      </c>
      <c r="J319" s="21">
        <f>Faces!D319</f>
        <v>119</v>
      </c>
      <c r="K319" s="22">
        <f>VLOOKUP(J319,Vertices!$A$11:$J$203,7,FALSE )-$C$7</f>
        <v>11.664999999999999</v>
      </c>
      <c r="L319" s="22">
        <f>VLOOKUP(J319,Vertices!$A$11:$J$203,8,FALSE )-$D$7</f>
        <v>-22.54</v>
      </c>
      <c r="M319" s="23">
        <f>VLOOKUP(J319,Vertices!$A$11:$J$203,9,FALSE )-$E$7</f>
        <v>55.19</v>
      </c>
      <c r="N319" s="16">
        <f t="shared" si="8"/>
        <v>1736.494379166669</v>
      </c>
      <c r="O319" s="16">
        <f t="shared" si="9"/>
        <v>1736.494379166669</v>
      </c>
    </row>
    <row r="320" spans="1:15" x14ac:dyDescent="0.25">
      <c r="A320">
        <f>Faces!A320</f>
        <v>310</v>
      </c>
      <c r="B320" s="21">
        <f>Faces!B320</f>
        <v>89</v>
      </c>
      <c r="C320" s="22">
        <f>VLOOKUP(B320,Vertices!$A$11:$J$203,7,FALSE )-$C$7</f>
        <v>22.475000000000009</v>
      </c>
      <c r="D320" s="22">
        <f>VLOOKUP(B320,Vertices!$A$11:$J$203,8,FALSE )-$D$7</f>
        <v>-24.83</v>
      </c>
      <c r="E320" s="23">
        <f>VLOOKUP(B320,Vertices!$A$11:$J$203,9,FALSE )-$E$7</f>
        <v>66.08</v>
      </c>
      <c r="F320" s="21">
        <f>Faces!C320</f>
        <v>90</v>
      </c>
      <c r="G320" s="22">
        <f>VLOOKUP(F320,Vertices!$A$11:$J$203,7,FALSE )-$C$7</f>
        <v>10.204999999999998</v>
      </c>
      <c r="H320" s="22">
        <f>VLOOKUP(F320,Vertices!$A$11:$J$203,8,FALSE )-$D$7</f>
        <v>-45.12</v>
      </c>
      <c r="I320" s="23">
        <f>VLOOKUP(F320,Vertices!$A$11:$J$203,9,FALSE )-$E$7</f>
        <v>44.87</v>
      </c>
      <c r="J320" s="21">
        <f>Faces!D320</f>
        <v>120</v>
      </c>
      <c r="K320" s="22">
        <f>VLOOKUP(J320,Vertices!$A$11:$J$203,7,FALSE )-$C$7</f>
        <v>1.7550000000000026</v>
      </c>
      <c r="L320" s="22">
        <f>VLOOKUP(J320,Vertices!$A$11:$J$203,8,FALSE )-$D$7</f>
        <v>-39.17</v>
      </c>
      <c r="M320" s="23">
        <f>VLOOKUP(J320,Vertices!$A$11:$J$203,9,FALSE )-$E$7</f>
        <v>37.72</v>
      </c>
      <c r="N320" s="16">
        <f t="shared" si="8"/>
        <v>2054.7756508333318</v>
      </c>
      <c r="O320" s="16">
        <f t="shared" si="9"/>
        <v>2054.7756508333318</v>
      </c>
    </row>
    <row r="321" spans="1:15" x14ac:dyDescent="0.25">
      <c r="A321">
        <f>Faces!A321</f>
        <v>311</v>
      </c>
      <c r="B321" s="21">
        <f>Faces!B321</f>
        <v>90</v>
      </c>
      <c r="C321" s="22">
        <f>VLOOKUP(B321,Vertices!$A$11:$J$203,7,FALSE )-$C$7</f>
        <v>10.204999999999998</v>
      </c>
      <c r="D321" s="22">
        <f>VLOOKUP(B321,Vertices!$A$11:$J$203,8,FALSE )-$D$7</f>
        <v>-45.12</v>
      </c>
      <c r="E321" s="23">
        <f>VLOOKUP(B321,Vertices!$A$11:$J$203,9,FALSE )-$E$7</f>
        <v>44.87</v>
      </c>
      <c r="F321" s="21">
        <f>Faces!C321</f>
        <v>121</v>
      </c>
      <c r="G321" s="22">
        <f>VLOOKUP(F321,Vertices!$A$11:$J$203,7,FALSE )-$C$7</f>
        <v>-7.1049999999999969</v>
      </c>
      <c r="H321" s="22">
        <f>VLOOKUP(F321,Vertices!$A$11:$J$203,8,FALSE )-$D$7</f>
        <v>-56.2</v>
      </c>
      <c r="I321" s="23">
        <f>VLOOKUP(F321,Vertices!$A$11:$J$203,9,FALSE )-$E$7</f>
        <v>22.36</v>
      </c>
      <c r="J321" s="21">
        <f>Faces!D321</f>
        <v>120</v>
      </c>
      <c r="K321" s="22">
        <f>VLOOKUP(J321,Vertices!$A$11:$J$203,7,FALSE )-$C$7</f>
        <v>1.7550000000000026</v>
      </c>
      <c r="L321" s="22">
        <f>VLOOKUP(J321,Vertices!$A$11:$J$203,8,FALSE )-$D$7</f>
        <v>-39.17</v>
      </c>
      <c r="M321" s="23">
        <f>VLOOKUP(J321,Vertices!$A$11:$J$203,9,FALSE )-$E$7</f>
        <v>37.72</v>
      </c>
      <c r="N321" s="16">
        <f t="shared" si="8"/>
        <v>1607.5013187499987</v>
      </c>
      <c r="O321" s="16">
        <f t="shared" si="9"/>
        <v>1607.5013187499987</v>
      </c>
    </row>
    <row r="322" spans="1:15" x14ac:dyDescent="0.25">
      <c r="A322">
        <f>Faces!A322</f>
        <v>312</v>
      </c>
      <c r="B322" s="21">
        <f>Faces!B322</f>
        <v>90</v>
      </c>
      <c r="C322" s="22">
        <f>VLOOKUP(B322,Vertices!$A$11:$J$203,7,FALSE )-$C$7</f>
        <v>10.204999999999998</v>
      </c>
      <c r="D322" s="22">
        <f>VLOOKUP(B322,Vertices!$A$11:$J$203,8,FALSE )-$D$7</f>
        <v>-45.12</v>
      </c>
      <c r="E322" s="23">
        <f>VLOOKUP(B322,Vertices!$A$11:$J$203,9,FALSE )-$E$7</f>
        <v>44.87</v>
      </c>
      <c r="F322" s="21">
        <f>Faces!C322</f>
        <v>91</v>
      </c>
      <c r="G322" s="22">
        <f>VLOOKUP(F322,Vertices!$A$11:$J$203,7,FALSE )-$C$7</f>
        <v>-1.4549999999999983</v>
      </c>
      <c r="H322" s="22">
        <f>VLOOKUP(F322,Vertices!$A$11:$J$203,8,FALSE )-$D$7</f>
        <v>-66</v>
      </c>
      <c r="I322" s="23">
        <f>VLOOKUP(F322,Vertices!$A$11:$J$203,9,FALSE )-$E$7</f>
        <v>26</v>
      </c>
      <c r="J322" s="21">
        <f>Faces!D322</f>
        <v>121</v>
      </c>
      <c r="K322" s="22">
        <f>VLOOKUP(J322,Vertices!$A$11:$J$203,7,FALSE )-$C$7</f>
        <v>-7.1049999999999969</v>
      </c>
      <c r="L322" s="22">
        <f>VLOOKUP(J322,Vertices!$A$11:$J$203,8,FALSE )-$D$7</f>
        <v>-56.2</v>
      </c>
      <c r="M322" s="23">
        <f>VLOOKUP(J322,Vertices!$A$11:$J$203,9,FALSE )-$E$7</f>
        <v>22.36</v>
      </c>
      <c r="N322" s="16">
        <f t="shared" si="8"/>
        <v>1775.5527643333328</v>
      </c>
      <c r="O322" s="16">
        <f t="shared" si="9"/>
        <v>1775.5527643333328</v>
      </c>
    </row>
    <row r="323" spans="1:15" x14ac:dyDescent="0.25">
      <c r="A323">
        <f>Faces!A323</f>
        <v>313</v>
      </c>
      <c r="B323" s="21">
        <f>Faces!B323</f>
        <v>111</v>
      </c>
      <c r="C323" s="22">
        <f>VLOOKUP(B323,Vertices!$A$11:$J$203,7,FALSE )-$C$7</f>
        <v>24.355000000000004</v>
      </c>
      <c r="D323" s="22">
        <f>VLOOKUP(B323,Vertices!$A$11:$J$203,8,FALSE )-$D$7</f>
        <v>-4.38</v>
      </c>
      <c r="E323" s="23">
        <f>VLOOKUP(B323,Vertices!$A$11:$J$203,9,FALSE )-$E$7</f>
        <v>78.06</v>
      </c>
      <c r="F323" s="21">
        <f>Faces!C323</f>
        <v>117</v>
      </c>
      <c r="G323" s="22">
        <f>VLOOKUP(F323,Vertices!$A$11:$J$203,7,FALSE )-$C$7</f>
        <v>21.295000000000002</v>
      </c>
      <c r="H323" s="22">
        <f>VLOOKUP(F323,Vertices!$A$11:$J$203,8,FALSE )-$D$7</f>
        <v>-8.64</v>
      </c>
      <c r="I323" s="23">
        <f>VLOOKUP(F323,Vertices!$A$11:$J$203,9,FALSE )-$E$7</f>
        <v>72.459999999999994</v>
      </c>
      <c r="J323" s="21">
        <f>Faces!D323</f>
        <v>137</v>
      </c>
      <c r="K323" s="22">
        <f>VLOOKUP(J323,Vertices!$A$11:$J$203,7,FALSE )-$C$7</f>
        <v>11.414999999999999</v>
      </c>
      <c r="L323" s="22">
        <f>VLOOKUP(J323,Vertices!$A$11:$J$203,8,FALSE )-$D$7</f>
        <v>-4.63</v>
      </c>
      <c r="M323" s="23">
        <f>VLOOKUP(J323,Vertices!$A$11:$J$203,9,FALSE )-$E$7</f>
        <v>63.27</v>
      </c>
      <c r="N323" s="16">
        <f t="shared" si="8"/>
        <v>477.0100258333332</v>
      </c>
      <c r="O323" s="16">
        <f t="shared" si="9"/>
        <v>477.0100258333332</v>
      </c>
    </row>
    <row r="324" spans="1:15" x14ac:dyDescent="0.25">
      <c r="A324">
        <f>Faces!A324</f>
        <v>314</v>
      </c>
      <c r="B324" s="21">
        <f>Faces!B324</f>
        <v>137</v>
      </c>
      <c r="C324" s="22">
        <f>VLOOKUP(B324,Vertices!$A$11:$J$203,7,FALSE )-$C$7</f>
        <v>11.414999999999999</v>
      </c>
      <c r="D324" s="22">
        <f>VLOOKUP(B324,Vertices!$A$11:$J$203,8,FALSE )-$D$7</f>
        <v>-4.63</v>
      </c>
      <c r="E324" s="23">
        <f>VLOOKUP(B324,Vertices!$A$11:$J$203,9,FALSE )-$E$7</f>
        <v>63.27</v>
      </c>
      <c r="F324" s="21">
        <f>Faces!C324</f>
        <v>117</v>
      </c>
      <c r="G324" s="22">
        <f>VLOOKUP(F324,Vertices!$A$11:$J$203,7,FALSE )-$C$7</f>
        <v>21.295000000000002</v>
      </c>
      <c r="H324" s="22">
        <f>VLOOKUP(F324,Vertices!$A$11:$J$203,8,FALSE )-$D$7</f>
        <v>-8.64</v>
      </c>
      <c r="I324" s="23">
        <f>VLOOKUP(F324,Vertices!$A$11:$J$203,9,FALSE )-$E$7</f>
        <v>72.459999999999994</v>
      </c>
      <c r="J324" s="21">
        <f>Faces!D324</f>
        <v>142</v>
      </c>
      <c r="K324" s="22">
        <f>VLOOKUP(J324,Vertices!$A$11:$J$203,7,FALSE )-$C$7</f>
        <v>6.3449999999999989</v>
      </c>
      <c r="L324" s="22">
        <f>VLOOKUP(J324,Vertices!$A$11:$J$203,8,FALSE )-$D$7</f>
        <v>-11.85</v>
      </c>
      <c r="M324" s="23">
        <f>VLOOKUP(J324,Vertices!$A$11:$J$203,9,FALSE )-$E$7</f>
        <v>53.93</v>
      </c>
      <c r="N324" s="16">
        <f t="shared" si="8"/>
        <v>804.36493666666695</v>
      </c>
      <c r="O324" s="16">
        <f t="shared" si="9"/>
        <v>804.36493666666695</v>
      </c>
    </row>
    <row r="325" spans="1:15" x14ac:dyDescent="0.25">
      <c r="A325">
        <f>Faces!A325</f>
        <v>315</v>
      </c>
      <c r="B325" s="21">
        <f>Faces!B325</f>
        <v>117</v>
      </c>
      <c r="C325" s="22">
        <f>VLOOKUP(B325,Vertices!$A$11:$J$203,7,FALSE )-$C$7</f>
        <v>21.295000000000002</v>
      </c>
      <c r="D325" s="22">
        <f>VLOOKUP(B325,Vertices!$A$11:$J$203,8,FALSE )-$D$7</f>
        <v>-8.64</v>
      </c>
      <c r="E325" s="23">
        <f>VLOOKUP(B325,Vertices!$A$11:$J$203,9,FALSE )-$E$7</f>
        <v>72.459999999999994</v>
      </c>
      <c r="F325" s="21">
        <f>Faces!C325</f>
        <v>118</v>
      </c>
      <c r="G325" s="22">
        <f>VLOOKUP(F325,Vertices!$A$11:$J$203,7,FALSE )-$C$7</f>
        <v>18.105000000000004</v>
      </c>
      <c r="H325" s="22">
        <f>VLOOKUP(F325,Vertices!$A$11:$J$203,8,FALSE )-$D$7</f>
        <v>-13.02</v>
      </c>
      <c r="I325" s="23">
        <f>VLOOKUP(F325,Vertices!$A$11:$J$203,9,FALSE )-$E$7</f>
        <v>66.66</v>
      </c>
      <c r="J325" s="21">
        <f>Faces!D325</f>
        <v>142</v>
      </c>
      <c r="K325" s="22">
        <f>VLOOKUP(J325,Vertices!$A$11:$J$203,7,FALSE )-$C$7</f>
        <v>6.3449999999999989</v>
      </c>
      <c r="L325" s="22">
        <f>VLOOKUP(J325,Vertices!$A$11:$J$203,8,FALSE )-$D$7</f>
        <v>-11.85</v>
      </c>
      <c r="M325" s="23">
        <f>VLOOKUP(J325,Vertices!$A$11:$J$203,9,FALSE )-$E$7</f>
        <v>53.93</v>
      </c>
      <c r="N325" s="16">
        <f t="shared" si="8"/>
        <v>484.89439249999924</v>
      </c>
      <c r="O325" s="16">
        <f t="shared" si="9"/>
        <v>484.89439249999924</v>
      </c>
    </row>
    <row r="326" spans="1:15" x14ac:dyDescent="0.25">
      <c r="A326">
        <f>Faces!A326</f>
        <v>316</v>
      </c>
      <c r="B326" s="21">
        <f>Faces!B326</f>
        <v>118</v>
      </c>
      <c r="C326" s="22">
        <f>VLOOKUP(B326,Vertices!$A$11:$J$203,7,FALSE )-$C$7</f>
        <v>18.105000000000004</v>
      </c>
      <c r="D326" s="22">
        <f>VLOOKUP(B326,Vertices!$A$11:$J$203,8,FALSE )-$D$7</f>
        <v>-13.02</v>
      </c>
      <c r="E326" s="23">
        <f>VLOOKUP(B326,Vertices!$A$11:$J$203,9,FALSE )-$E$7</f>
        <v>66.66</v>
      </c>
      <c r="F326" s="21">
        <f>Faces!C326</f>
        <v>143</v>
      </c>
      <c r="G326" s="22">
        <f>VLOOKUP(F326,Vertices!$A$11:$J$203,7,FALSE )-$C$7</f>
        <v>1.1850000000000023</v>
      </c>
      <c r="H326" s="22">
        <f>VLOOKUP(F326,Vertices!$A$11:$J$203,8,FALSE )-$D$7</f>
        <v>-19.78</v>
      </c>
      <c r="I326" s="23">
        <f>VLOOKUP(F326,Vertices!$A$11:$J$203,9,FALSE )-$E$7</f>
        <v>44.88</v>
      </c>
      <c r="J326" s="21">
        <f>Faces!D326</f>
        <v>142</v>
      </c>
      <c r="K326" s="22">
        <f>VLOOKUP(J326,Vertices!$A$11:$J$203,7,FALSE )-$C$7</f>
        <v>6.3449999999999989</v>
      </c>
      <c r="L326" s="22">
        <f>VLOOKUP(J326,Vertices!$A$11:$J$203,8,FALSE )-$D$7</f>
        <v>-11.85</v>
      </c>
      <c r="M326" s="23">
        <f>VLOOKUP(J326,Vertices!$A$11:$J$203,9,FALSE )-$E$7</f>
        <v>53.93</v>
      </c>
      <c r="N326" s="16">
        <f t="shared" si="8"/>
        <v>855.00063950000094</v>
      </c>
      <c r="O326" s="16">
        <f t="shared" si="9"/>
        <v>855.00063950000094</v>
      </c>
    </row>
    <row r="327" spans="1:15" x14ac:dyDescent="0.25">
      <c r="A327">
        <f>Faces!A327</f>
        <v>317</v>
      </c>
      <c r="B327" s="21">
        <f>Faces!B327</f>
        <v>118</v>
      </c>
      <c r="C327" s="22">
        <f>VLOOKUP(B327,Vertices!$A$11:$J$203,7,FALSE )-$C$7</f>
        <v>18.105000000000004</v>
      </c>
      <c r="D327" s="22">
        <f>VLOOKUP(B327,Vertices!$A$11:$J$203,8,FALSE )-$D$7</f>
        <v>-13.02</v>
      </c>
      <c r="E327" s="23">
        <f>VLOOKUP(B327,Vertices!$A$11:$J$203,9,FALSE )-$E$7</f>
        <v>66.66</v>
      </c>
      <c r="F327" s="21">
        <f>Faces!C327</f>
        <v>119</v>
      </c>
      <c r="G327" s="22">
        <f>VLOOKUP(F327,Vertices!$A$11:$J$203,7,FALSE )-$C$7</f>
        <v>11.664999999999999</v>
      </c>
      <c r="H327" s="22">
        <f>VLOOKUP(F327,Vertices!$A$11:$J$203,8,FALSE )-$D$7</f>
        <v>-22.54</v>
      </c>
      <c r="I327" s="23">
        <f>VLOOKUP(F327,Vertices!$A$11:$J$203,9,FALSE )-$E$7</f>
        <v>55.19</v>
      </c>
      <c r="J327" s="21">
        <f>Faces!D327</f>
        <v>143</v>
      </c>
      <c r="K327" s="22">
        <f>VLOOKUP(J327,Vertices!$A$11:$J$203,7,FALSE )-$C$7</f>
        <v>1.1850000000000023</v>
      </c>
      <c r="L327" s="22">
        <f>VLOOKUP(J327,Vertices!$A$11:$J$203,8,FALSE )-$D$7</f>
        <v>-19.78</v>
      </c>
      <c r="M327" s="23">
        <f>VLOOKUP(J327,Vertices!$A$11:$J$203,9,FALSE )-$E$7</f>
        <v>44.88</v>
      </c>
      <c r="N327" s="16">
        <f t="shared" si="8"/>
        <v>1030.982956999999</v>
      </c>
      <c r="O327" s="16">
        <f t="shared" si="9"/>
        <v>1030.982956999999</v>
      </c>
    </row>
    <row r="328" spans="1:15" x14ac:dyDescent="0.25">
      <c r="A328">
        <f>Faces!A328</f>
        <v>318</v>
      </c>
      <c r="B328" s="21">
        <f>Faces!B328</f>
        <v>119</v>
      </c>
      <c r="C328" s="22">
        <f>VLOOKUP(B328,Vertices!$A$11:$J$203,7,FALSE )-$C$7</f>
        <v>11.664999999999999</v>
      </c>
      <c r="D328" s="22">
        <f>VLOOKUP(B328,Vertices!$A$11:$J$203,8,FALSE )-$D$7</f>
        <v>-22.54</v>
      </c>
      <c r="E328" s="23">
        <f>VLOOKUP(B328,Vertices!$A$11:$J$203,9,FALSE )-$E$7</f>
        <v>55.19</v>
      </c>
      <c r="F328" s="21">
        <f>Faces!C328</f>
        <v>144</v>
      </c>
      <c r="G328" s="22">
        <f>VLOOKUP(F328,Vertices!$A$11:$J$203,7,FALSE )-$C$7</f>
        <v>-6.7049999999999983</v>
      </c>
      <c r="H328" s="22">
        <f>VLOOKUP(F328,Vertices!$A$11:$J$203,8,FALSE )-$D$7</f>
        <v>-33.19</v>
      </c>
      <c r="I328" s="23">
        <f>VLOOKUP(F328,Vertices!$A$11:$J$203,9,FALSE )-$E$7</f>
        <v>30.74</v>
      </c>
      <c r="J328" s="21">
        <f>Faces!D328</f>
        <v>143</v>
      </c>
      <c r="K328" s="22">
        <f>VLOOKUP(J328,Vertices!$A$11:$J$203,7,FALSE )-$C$7</f>
        <v>1.1850000000000023</v>
      </c>
      <c r="L328" s="22">
        <f>VLOOKUP(J328,Vertices!$A$11:$J$203,8,FALSE )-$D$7</f>
        <v>-19.78</v>
      </c>
      <c r="M328" s="23">
        <f>VLOOKUP(J328,Vertices!$A$11:$J$203,9,FALSE )-$E$7</f>
        <v>44.88</v>
      </c>
      <c r="N328" s="16">
        <f t="shared" si="8"/>
        <v>1399.4427304166668</v>
      </c>
      <c r="O328" s="16">
        <f t="shared" si="9"/>
        <v>1399.4427304166668</v>
      </c>
    </row>
    <row r="329" spans="1:15" x14ac:dyDescent="0.25">
      <c r="A329">
        <f>Faces!A329</f>
        <v>319</v>
      </c>
      <c r="B329" s="21">
        <f>Faces!B329</f>
        <v>119</v>
      </c>
      <c r="C329" s="22">
        <f>VLOOKUP(B329,Vertices!$A$11:$J$203,7,FALSE )-$C$7</f>
        <v>11.664999999999999</v>
      </c>
      <c r="D329" s="22">
        <f>VLOOKUP(B329,Vertices!$A$11:$J$203,8,FALSE )-$D$7</f>
        <v>-22.54</v>
      </c>
      <c r="E329" s="23">
        <f>VLOOKUP(B329,Vertices!$A$11:$J$203,9,FALSE )-$E$7</f>
        <v>55.19</v>
      </c>
      <c r="F329" s="21">
        <f>Faces!C329</f>
        <v>120</v>
      </c>
      <c r="G329" s="22">
        <f>VLOOKUP(F329,Vertices!$A$11:$J$203,7,FALSE )-$C$7</f>
        <v>1.7550000000000026</v>
      </c>
      <c r="H329" s="22">
        <f>VLOOKUP(F329,Vertices!$A$11:$J$203,8,FALSE )-$D$7</f>
        <v>-39.17</v>
      </c>
      <c r="I329" s="23">
        <f>VLOOKUP(F329,Vertices!$A$11:$J$203,9,FALSE )-$E$7</f>
        <v>37.72</v>
      </c>
      <c r="J329" s="21">
        <f>Faces!D329</f>
        <v>144</v>
      </c>
      <c r="K329" s="22">
        <f>VLOOKUP(J329,Vertices!$A$11:$J$203,7,FALSE )-$C$7</f>
        <v>-6.7049999999999983</v>
      </c>
      <c r="L329" s="22">
        <f>VLOOKUP(J329,Vertices!$A$11:$J$203,8,FALSE )-$D$7</f>
        <v>-33.19</v>
      </c>
      <c r="M329" s="23">
        <f>VLOOKUP(J329,Vertices!$A$11:$J$203,9,FALSE )-$E$7</f>
        <v>30.74</v>
      </c>
      <c r="N329" s="16">
        <f t="shared" si="8"/>
        <v>1705.8050599999999</v>
      </c>
      <c r="O329" s="16">
        <f t="shared" si="9"/>
        <v>1705.8050599999999</v>
      </c>
    </row>
    <row r="330" spans="1:15" x14ac:dyDescent="0.25">
      <c r="A330">
        <f>Faces!A330</f>
        <v>320</v>
      </c>
      <c r="B330" s="21">
        <f>Faces!B330</f>
        <v>120</v>
      </c>
      <c r="C330" s="22">
        <f>VLOOKUP(B330,Vertices!$A$11:$J$203,7,FALSE )-$C$7</f>
        <v>1.7550000000000026</v>
      </c>
      <c r="D330" s="22">
        <f>VLOOKUP(B330,Vertices!$A$11:$J$203,8,FALSE )-$D$7</f>
        <v>-39.17</v>
      </c>
      <c r="E330" s="23">
        <f>VLOOKUP(B330,Vertices!$A$11:$J$203,9,FALSE )-$E$7</f>
        <v>37.72</v>
      </c>
      <c r="F330" s="21">
        <f>Faces!C330</f>
        <v>145</v>
      </c>
      <c r="G330" s="22">
        <f>VLOOKUP(F330,Vertices!$A$11:$J$203,7,FALSE )-$C$7</f>
        <v>-13.555</v>
      </c>
      <c r="H330" s="22">
        <f>VLOOKUP(F330,Vertices!$A$11:$J$203,8,FALSE )-$D$7</f>
        <v>-46.57</v>
      </c>
      <c r="I330" s="23">
        <f>VLOOKUP(F330,Vertices!$A$11:$J$203,9,FALSE )-$E$7</f>
        <v>18.61</v>
      </c>
      <c r="J330" s="21">
        <f>Faces!D330</f>
        <v>144</v>
      </c>
      <c r="K330" s="22">
        <f>VLOOKUP(J330,Vertices!$A$11:$J$203,7,FALSE )-$C$7</f>
        <v>-6.7049999999999983</v>
      </c>
      <c r="L330" s="22">
        <f>VLOOKUP(J330,Vertices!$A$11:$J$203,8,FALSE )-$D$7</f>
        <v>-33.19</v>
      </c>
      <c r="M330" s="23">
        <f>VLOOKUP(J330,Vertices!$A$11:$J$203,9,FALSE )-$E$7</f>
        <v>30.74</v>
      </c>
      <c r="N330" s="16">
        <f t="shared" si="8"/>
        <v>1278.4012955000005</v>
      </c>
      <c r="O330" s="16">
        <f t="shared" si="9"/>
        <v>1278.4012955000005</v>
      </c>
    </row>
    <row r="331" spans="1:15" x14ac:dyDescent="0.25">
      <c r="A331">
        <f>Faces!A331</f>
        <v>321</v>
      </c>
      <c r="B331" s="21">
        <f>Faces!B331</f>
        <v>120</v>
      </c>
      <c r="C331" s="22">
        <f>VLOOKUP(B331,Vertices!$A$11:$J$203,7,FALSE )-$C$7</f>
        <v>1.7550000000000026</v>
      </c>
      <c r="D331" s="22">
        <f>VLOOKUP(B331,Vertices!$A$11:$J$203,8,FALSE )-$D$7</f>
        <v>-39.17</v>
      </c>
      <c r="E331" s="23">
        <f>VLOOKUP(B331,Vertices!$A$11:$J$203,9,FALSE )-$E$7</f>
        <v>37.72</v>
      </c>
      <c r="F331" s="21">
        <f>Faces!C331</f>
        <v>121</v>
      </c>
      <c r="G331" s="22">
        <f>VLOOKUP(F331,Vertices!$A$11:$J$203,7,FALSE )-$C$7</f>
        <v>-7.1049999999999969</v>
      </c>
      <c r="H331" s="22">
        <f>VLOOKUP(F331,Vertices!$A$11:$J$203,8,FALSE )-$D$7</f>
        <v>-56.2</v>
      </c>
      <c r="I331" s="23">
        <f>VLOOKUP(F331,Vertices!$A$11:$J$203,9,FALSE )-$E$7</f>
        <v>22.36</v>
      </c>
      <c r="J331" s="21">
        <f>Faces!D331</f>
        <v>145</v>
      </c>
      <c r="K331" s="22">
        <f>VLOOKUP(J331,Vertices!$A$11:$J$203,7,FALSE )-$C$7</f>
        <v>-13.555</v>
      </c>
      <c r="L331" s="22">
        <f>VLOOKUP(J331,Vertices!$A$11:$J$203,8,FALSE )-$D$7</f>
        <v>-46.57</v>
      </c>
      <c r="M331" s="23">
        <f>VLOOKUP(J331,Vertices!$A$11:$J$203,9,FALSE )-$E$7</f>
        <v>18.61</v>
      </c>
      <c r="N331" s="16">
        <f t="shared" si="8"/>
        <v>1594.8649057499999</v>
      </c>
      <c r="O331" s="16">
        <f t="shared" si="9"/>
        <v>1594.8649057499999</v>
      </c>
    </row>
    <row r="332" spans="1:15" x14ac:dyDescent="0.25">
      <c r="A332">
        <f>Faces!A332</f>
        <v>322</v>
      </c>
      <c r="B332" s="21">
        <f>Faces!B332</f>
        <v>137</v>
      </c>
      <c r="C332" s="22">
        <f>VLOOKUP(B332,Vertices!$A$11:$J$203,7,FALSE )-$C$7</f>
        <v>11.414999999999999</v>
      </c>
      <c r="D332" s="22">
        <f>VLOOKUP(B332,Vertices!$A$11:$J$203,8,FALSE )-$D$7</f>
        <v>-4.63</v>
      </c>
      <c r="E332" s="23">
        <f>VLOOKUP(B332,Vertices!$A$11:$J$203,9,FALSE )-$E$7</f>
        <v>63.27</v>
      </c>
      <c r="F332" s="21">
        <f>Faces!C332</f>
        <v>166</v>
      </c>
      <c r="G332" s="22">
        <f>VLOOKUP(F332,Vertices!$A$11:$J$203,7,FALSE )-$C$7</f>
        <v>-5.9050000000000011</v>
      </c>
      <c r="H332" s="22">
        <f>VLOOKUP(F332,Vertices!$A$11:$J$203,8,FALSE )-$D$7</f>
        <v>-10.43</v>
      </c>
      <c r="I332" s="23">
        <f>VLOOKUP(F332,Vertices!$A$11:$J$203,9,FALSE )-$E$7</f>
        <v>41.25</v>
      </c>
      <c r="J332" s="21">
        <f>Faces!D332</f>
        <v>161</v>
      </c>
      <c r="K332" s="22">
        <f>VLOOKUP(J332,Vertices!$A$11:$J$203,7,FALSE )-$C$7</f>
        <v>-2.0150000000000006</v>
      </c>
      <c r="L332" s="22">
        <f>VLOOKUP(J332,Vertices!$A$11:$J$203,8,FALSE )-$D$7</f>
        <v>-4.7</v>
      </c>
      <c r="M332" s="23">
        <f>VLOOKUP(J332,Vertices!$A$11:$J$203,9,FALSE )-$E$7</f>
        <v>48.48</v>
      </c>
      <c r="N332" s="16">
        <f t="shared" ref="N332:N392" si="10">-1*(C332*H332*M332+D332*I332*K332+E332*G332*L332-C332*I332*L332-D332*G332*M332-E332*H332*K332)/6</f>
        <v>678.87133949999998</v>
      </c>
      <c r="O332" s="16">
        <f t="shared" ref="O332:O392" si="11">ABS(N332)</f>
        <v>678.87133949999998</v>
      </c>
    </row>
    <row r="333" spans="1:15" x14ac:dyDescent="0.25">
      <c r="A333">
        <f>Faces!A333</f>
        <v>323</v>
      </c>
      <c r="B333" s="21">
        <f>Faces!B333</f>
        <v>137</v>
      </c>
      <c r="C333" s="22">
        <f>VLOOKUP(B333,Vertices!$A$11:$J$203,7,FALSE )-$C$7</f>
        <v>11.414999999999999</v>
      </c>
      <c r="D333" s="22">
        <f>VLOOKUP(B333,Vertices!$A$11:$J$203,8,FALSE )-$D$7</f>
        <v>-4.63</v>
      </c>
      <c r="E333" s="23">
        <f>VLOOKUP(B333,Vertices!$A$11:$J$203,9,FALSE )-$E$7</f>
        <v>63.27</v>
      </c>
      <c r="F333" s="21">
        <f>Faces!C333</f>
        <v>142</v>
      </c>
      <c r="G333" s="22">
        <f>VLOOKUP(F333,Vertices!$A$11:$J$203,7,FALSE )-$C$7</f>
        <v>6.3449999999999989</v>
      </c>
      <c r="H333" s="22">
        <f>VLOOKUP(F333,Vertices!$A$11:$J$203,8,FALSE )-$D$7</f>
        <v>-11.85</v>
      </c>
      <c r="I333" s="23">
        <f>VLOOKUP(F333,Vertices!$A$11:$J$203,9,FALSE )-$E$7</f>
        <v>53.93</v>
      </c>
      <c r="J333" s="21">
        <f>Faces!D333</f>
        <v>166</v>
      </c>
      <c r="K333" s="22">
        <f>VLOOKUP(J333,Vertices!$A$11:$J$203,7,FALSE )-$C$7</f>
        <v>-5.9050000000000011</v>
      </c>
      <c r="L333" s="22">
        <f>VLOOKUP(J333,Vertices!$A$11:$J$203,8,FALSE )-$D$7</f>
        <v>-10.43</v>
      </c>
      <c r="M333" s="23">
        <f>VLOOKUP(J333,Vertices!$A$11:$J$203,9,FALSE )-$E$7</f>
        <v>41.25</v>
      </c>
      <c r="N333" s="16">
        <f t="shared" si="10"/>
        <v>847.84625066666661</v>
      </c>
      <c r="O333" s="16">
        <f t="shared" si="11"/>
        <v>847.84625066666661</v>
      </c>
    </row>
    <row r="334" spans="1:15" x14ac:dyDescent="0.25">
      <c r="A334">
        <f>Faces!A334</f>
        <v>324</v>
      </c>
      <c r="B334" s="21">
        <f>Faces!B334</f>
        <v>142</v>
      </c>
      <c r="C334" s="22">
        <f>VLOOKUP(B334,Vertices!$A$11:$J$203,7,FALSE )-$C$7</f>
        <v>6.3449999999999989</v>
      </c>
      <c r="D334" s="22">
        <f>VLOOKUP(B334,Vertices!$A$11:$J$203,8,FALSE )-$D$7</f>
        <v>-11.85</v>
      </c>
      <c r="E334" s="23">
        <f>VLOOKUP(B334,Vertices!$A$11:$J$203,9,FALSE )-$E$7</f>
        <v>53.93</v>
      </c>
      <c r="F334" s="21">
        <f>Faces!C334</f>
        <v>167</v>
      </c>
      <c r="G334" s="22">
        <f>VLOOKUP(F334,Vertices!$A$11:$J$203,7,FALSE )-$C$7</f>
        <v>-9.7049999999999983</v>
      </c>
      <c r="H334" s="22">
        <f>VLOOKUP(F334,Vertices!$A$11:$J$203,8,FALSE )-$D$7</f>
        <v>-16.62</v>
      </c>
      <c r="I334" s="23">
        <f>VLOOKUP(F334,Vertices!$A$11:$J$203,9,FALSE )-$E$7</f>
        <v>34.35</v>
      </c>
      <c r="J334" s="21">
        <f>Faces!D334</f>
        <v>166</v>
      </c>
      <c r="K334" s="22">
        <f>VLOOKUP(J334,Vertices!$A$11:$J$203,7,FALSE )-$C$7</f>
        <v>-5.9050000000000011</v>
      </c>
      <c r="L334" s="22">
        <f>VLOOKUP(J334,Vertices!$A$11:$J$203,8,FALSE )-$D$7</f>
        <v>-10.43</v>
      </c>
      <c r="M334" s="23">
        <f>VLOOKUP(J334,Vertices!$A$11:$J$203,9,FALSE )-$E$7</f>
        <v>41.25</v>
      </c>
      <c r="N334" s="16">
        <f t="shared" si="10"/>
        <v>708.47365349999984</v>
      </c>
      <c r="O334" s="16">
        <f t="shared" si="11"/>
        <v>708.47365349999984</v>
      </c>
    </row>
    <row r="335" spans="1:15" x14ac:dyDescent="0.25">
      <c r="A335">
        <f>Faces!A335</f>
        <v>325</v>
      </c>
      <c r="B335" s="21">
        <f>Faces!B335</f>
        <v>142</v>
      </c>
      <c r="C335" s="22">
        <f>VLOOKUP(B335,Vertices!$A$11:$J$203,7,FALSE )-$C$7</f>
        <v>6.3449999999999989</v>
      </c>
      <c r="D335" s="22">
        <f>VLOOKUP(B335,Vertices!$A$11:$J$203,8,FALSE )-$D$7</f>
        <v>-11.85</v>
      </c>
      <c r="E335" s="23">
        <f>VLOOKUP(B335,Vertices!$A$11:$J$203,9,FALSE )-$E$7</f>
        <v>53.93</v>
      </c>
      <c r="F335" s="21">
        <f>Faces!C335</f>
        <v>143</v>
      </c>
      <c r="G335" s="22">
        <f>VLOOKUP(F335,Vertices!$A$11:$J$203,7,FALSE )-$C$7</f>
        <v>1.1850000000000023</v>
      </c>
      <c r="H335" s="22">
        <f>VLOOKUP(F335,Vertices!$A$11:$J$203,8,FALSE )-$D$7</f>
        <v>-19.78</v>
      </c>
      <c r="I335" s="23">
        <f>VLOOKUP(F335,Vertices!$A$11:$J$203,9,FALSE )-$E$7</f>
        <v>44.88</v>
      </c>
      <c r="J335" s="21">
        <f>Faces!D335</f>
        <v>167</v>
      </c>
      <c r="K335" s="22">
        <f>VLOOKUP(J335,Vertices!$A$11:$J$203,7,FALSE )-$C$7</f>
        <v>-9.7049999999999983</v>
      </c>
      <c r="L335" s="22">
        <f>VLOOKUP(J335,Vertices!$A$11:$J$203,8,FALSE )-$D$7</f>
        <v>-16.62</v>
      </c>
      <c r="M335" s="23">
        <f>VLOOKUP(J335,Vertices!$A$11:$J$203,9,FALSE )-$E$7</f>
        <v>34.35</v>
      </c>
      <c r="N335" s="16">
        <f t="shared" si="10"/>
        <v>891.55916725000009</v>
      </c>
      <c r="O335" s="16">
        <f t="shared" si="11"/>
        <v>891.55916725000009</v>
      </c>
    </row>
    <row r="336" spans="1:15" x14ac:dyDescent="0.25">
      <c r="A336">
        <f>Faces!A336</f>
        <v>326</v>
      </c>
      <c r="B336" s="21">
        <f>Faces!B336</f>
        <v>143</v>
      </c>
      <c r="C336" s="22">
        <f>VLOOKUP(B336,Vertices!$A$11:$J$203,7,FALSE )-$C$7</f>
        <v>1.1850000000000023</v>
      </c>
      <c r="D336" s="22">
        <f>VLOOKUP(B336,Vertices!$A$11:$J$203,8,FALSE )-$D$7</f>
        <v>-19.78</v>
      </c>
      <c r="E336" s="23">
        <f>VLOOKUP(B336,Vertices!$A$11:$J$203,9,FALSE )-$E$7</f>
        <v>44.88</v>
      </c>
      <c r="F336" s="21">
        <f>Faces!C336</f>
        <v>168</v>
      </c>
      <c r="G336" s="22">
        <f>VLOOKUP(F336,Vertices!$A$11:$J$203,7,FALSE )-$C$7</f>
        <v>-15.555</v>
      </c>
      <c r="H336" s="22">
        <f>VLOOKUP(F336,Vertices!$A$11:$J$203,8,FALSE )-$D$7</f>
        <v>-26.85</v>
      </c>
      <c r="I336" s="23">
        <f>VLOOKUP(F336,Vertices!$A$11:$J$203,9,FALSE )-$E$7</f>
        <v>23.63</v>
      </c>
      <c r="J336" s="21">
        <f>Faces!D336</f>
        <v>167</v>
      </c>
      <c r="K336" s="22">
        <f>VLOOKUP(J336,Vertices!$A$11:$J$203,7,FALSE )-$C$7</f>
        <v>-9.7049999999999983</v>
      </c>
      <c r="L336" s="22">
        <f>VLOOKUP(J336,Vertices!$A$11:$J$203,8,FALSE )-$D$7</f>
        <v>-16.62</v>
      </c>
      <c r="M336" s="23">
        <f>VLOOKUP(J336,Vertices!$A$11:$J$203,9,FALSE )-$E$7</f>
        <v>34.35</v>
      </c>
      <c r="N336" s="16">
        <f t="shared" si="10"/>
        <v>1125.3961977499996</v>
      </c>
      <c r="O336" s="16">
        <f t="shared" si="11"/>
        <v>1125.3961977499996</v>
      </c>
    </row>
    <row r="337" spans="1:15" x14ac:dyDescent="0.25">
      <c r="A337">
        <f>Faces!A337</f>
        <v>327</v>
      </c>
      <c r="B337" s="21">
        <f>Faces!B337</f>
        <v>143</v>
      </c>
      <c r="C337" s="22">
        <f>VLOOKUP(B337,Vertices!$A$11:$J$203,7,FALSE )-$C$7</f>
        <v>1.1850000000000023</v>
      </c>
      <c r="D337" s="22">
        <f>VLOOKUP(B337,Vertices!$A$11:$J$203,8,FALSE )-$D$7</f>
        <v>-19.78</v>
      </c>
      <c r="E337" s="23">
        <f>VLOOKUP(B337,Vertices!$A$11:$J$203,9,FALSE )-$E$7</f>
        <v>44.88</v>
      </c>
      <c r="F337" s="21">
        <f>Faces!C337</f>
        <v>144</v>
      </c>
      <c r="G337" s="22">
        <f>VLOOKUP(F337,Vertices!$A$11:$J$203,7,FALSE )-$C$7</f>
        <v>-6.7049999999999983</v>
      </c>
      <c r="H337" s="22">
        <f>VLOOKUP(F337,Vertices!$A$11:$J$203,8,FALSE )-$D$7</f>
        <v>-33.19</v>
      </c>
      <c r="I337" s="23">
        <f>VLOOKUP(F337,Vertices!$A$11:$J$203,9,FALSE )-$E$7</f>
        <v>30.74</v>
      </c>
      <c r="J337" s="21">
        <f>Faces!D337</f>
        <v>168</v>
      </c>
      <c r="K337" s="22">
        <f>VLOOKUP(J337,Vertices!$A$11:$J$203,7,FALSE )-$C$7</f>
        <v>-15.555</v>
      </c>
      <c r="L337" s="22">
        <f>VLOOKUP(J337,Vertices!$A$11:$J$203,8,FALSE )-$D$7</f>
        <v>-26.85</v>
      </c>
      <c r="M337" s="23">
        <f>VLOOKUP(J337,Vertices!$A$11:$J$203,9,FALSE )-$E$7</f>
        <v>23.63</v>
      </c>
      <c r="N337" s="16">
        <f t="shared" si="10"/>
        <v>1452.9536627500001</v>
      </c>
      <c r="O337" s="16">
        <f t="shared" si="11"/>
        <v>1452.9536627500001</v>
      </c>
    </row>
    <row r="338" spans="1:15" x14ac:dyDescent="0.25">
      <c r="A338">
        <f>Faces!A338</f>
        <v>328</v>
      </c>
      <c r="B338" s="21">
        <f>Faces!B338</f>
        <v>144</v>
      </c>
      <c r="C338" s="22">
        <f>VLOOKUP(B338,Vertices!$A$11:$J$203,7,FALSE )-$C$7</f>
        <v>-6.7049999999999983</v>
      </c>
      <c r="D338" s="22">
        <f>VLOOKUP(B338,Vertices!$A$11:$J$203,8,FALSE )-$D$7</f>
        <v>-33.19</v>
      </c>
      <c r="E338" s="23">
        <f>VLOOKUP(B338,Vertices!$A$11:$J$203,9,FALSE )-$E$7</f>
        <v>30.74</v>
      </c>
      <c r="F338" s="21">
        <f>Faces!C338</f>
        <v>169</v>
      </c>
      <c r="G338" s="22">
        <f>VLOOKUP(F338,Vertices!$A$11:$J$203,7,FALSE )-$C$7</f>
        <v>-20.524999999999999</v>
      </c>
      <c r="H338" s="22">
        <f>VLOOKUP(F338,Vertices!$A$11:$J$203,8,FALSE )-$D$7</f>
        <v>-36.82</v>
      </c>
      <c r="I338" s="23">
        <f>VLOOKUP(F338,Vertices!$A$11:$J$203,9,FALSE )-$E$7</f>
        <v>14.62</v>
      </c>
      <c r="J338" s="21">
        <f>Faces!D338</f>
        <v>168</v>
      </c>
      <c r="K338" s="22">
        <f>VLOOKUP(J338,Vertices!$A$11:$J$203,7,FALSE )-$C$7</f>
        <v>-15.555</v>
      </c>
      <c r="L338" s="22">
        <f>VLOOKUP(J338,Vertices!$A$11:$J$203,8,FALSE )-$D$7</f>
        <v>-26.85</v>
      </c>
      <c r="M338" s="23">
        <f>VLOOKUP(J338,Vertices!$A$11:$J$203,9,FALSE )-$E$7</f>
        <v>23.63</v>
      </c>
      <c r="N338" s="16">
        <f t="shared" si="10"/>
        <v>1002.1572074166655</v>
      </c>
      <c r="O338" s="16">
        <f t="shared" si="11"/>
        <v>1002.1572074166655</v>
      </c>
    </row>
    <row r="339" spans="1:15" x14ac:dyDescent="0.25">
      <c r="A339">
        <f>Faces!A339</f>
        <v>329</v>
      </c>
      <c r="B339" s="21">
        <f>Faces!B339</f>
        <v>144</v>
      </c>
      <c r="C339" s="22">
        <f>VLOOKUP(B339,Vertices!$A$11:$J$203,7,FALSE )-$C$7</f>
        <v>-6.7049999999999983</v>
      </c>
      <c r="D339" s="22">
        <f>VLOOKUP(B339,Vertices!$A$11:$J$203,8,FALSE )-$D$7</f>
        <v>-33.19</v>
      </c>
      <c r="E339" s="23">
        <f>VLOOKUP(B339,Vertices!$A$11:$J$203,9,FALSE )-$E$7</f>
        <v>30.74</v>
      </c>
      <c r="F339" s="21">
        <f>Faces!C339</f>
        <v>145</v>
      </c>
      <c r="G339" s="22">
        <f>VLOOKUP(F339,Vertices!$A$11:$J$203,7,FALSE )-$C$7</f>
        <v>-13.555</v>
      </c>
      <c r="H339" s="22">
        <f>VLOOKUP(F339,Vertices!$A$11:$J$203,8,FALSE )-$D$7</f>
        <v>-46.57</v>
      </c>
      <c r="I339" s="23">
        <f>VLOOKUP(F339,Vertices!$A$11:$J$203,9,FALSE )-$E$7</f>
        <v>18.61</v>
      </c>
      <c r="J339" s="21">
        <f>Faces!D339</f>
        <v>169</v>
      </c>
      <c r="K339" s="22">
        <f>VLOOKUP(J339,Vertices!$A$11:$J$203,7,FALSE )-$C$7</f>
        <v>-20.524999999999999</v>
      </c>
      <c r="L339" s="22">
        <f>VLOOKUP(J339,Vertices!$A$11:$J$203,8,FALSE )-$D$7</f>
        <v>-36.82</v>
      </c>
      <c r="M339" s="23">
        <f>VLOOKUP(J339,Vertices!$A$11:$J$203,9,FALSE )-$E$7</f>
        <v>14.62</v>
      </c>
      <c r="N339" s="16">
        <f t="shared" si="10"/>
        <v>1328.284624416666</v>
      </c>
      <c r="O339" s="16">
        <f t="shared" si="11"/>
        <v>1328.284624416666</v>
      </c>
    </row>
    <row r="340" spans="1:15" x14ac:dyDescent="0.25">
      <c r="A340">
        <f>Faces!A340</f>
        <v>330</v>
      </c>
      <c r="B340" s="21">
        <f>Faces!B340</f>
        <v>161</v>
      </c>
      <c r="C340" s="22">
        <f>VLOOKUP(B340,Vertices!$A$11:$J$203,7,FALSE )-$C$7</f>
        <v>-2.0150000000000006</v>
      </c>
      <c r="D340" s="22">
        <f>VLOOKUP(B340,Vertices!$A$11:$J$203,8,FALSE )-$D$7</f>
        <v>-4.7</v>
      </c>
      <c r="E340" s="23">
        <f>VLOOKUP(B340,Vertices!$A$11:$J$203,9,FALSE )-$E$7</f>
        <v>48.48</v>
      </c>
      <c r="F340" s="21">
        <f>Faces!C340</f>
        <v>166</v>
      </c>
      <c r="G340" s="22">
        <f>VLOOKUP(F340,Vertices!$A$11:$J$203,7,FALSE )-$C$7</f>
        <v>-5.9050000000000011</v>
      </c>
      <c r="H340" s="22">
        <f>VLOOKUP(F340,Vertices!$A$11:$J$203,8,FALSE )-$D$7</f>
        <v>-10.43</v>
      </c>
      <c r="I340" s="23">
        <f>VLOOKUP(F340,Vertices!$A$11:$J$203,9,FALSE )-$E$7</f>
        <v>41.25</v>
      </c>
      <c r="J340" s="21">
        <f>Faces!D340</f>
        <v>181</v>
      </c>
      <c r="K340" s="22">
        <f>VLOOKUP(J340,Vertices!$A$11:$J$203,7,FALSE )-$C$7</f>
        <v>-18.045000000000002</v>
      </c>
      <c r="L340" s="22">
        <f>VLOOKUP(J340,Vertices!$A$11:$J$203,8,FALSE )-$D$7</f>
        <v>-4.5199999999999996</v>
      </c>
      <c r="M340" s="23">
        <f>VLOOKUP(J340,Vertices!$A$11:$J$203,9,FALSE )-$E$7</f>
        <v>30.96</v>
      </c>
      <c r="N340" s="16">
        <f t="shared" si="10"/>
        <v>819.3717405000001</v>
      </c>
      <c r="O340" s="16">
        <f t="shared" si="11"/>
        <v>819.3717405000001</v>
      </c>
    </row>
    <row r="341" spans="1:15" x14ac:dyDescent="0.25">
      <c r="A341">
        <f>Faces!A341</f>
        <v>331</v>
      </c>
      <c r="B341" s="21">
        <f>Faces!B341</f>
        <v>166</v>
      </c>
      <c r="C341" s="22">
        <f>VLOOKUP(B341,Vertices!$A$11:$J$203,7,FALSE )-$C$7</f>
        <v>-5.9050000000000011</v>
      </c>
      <c r="D341" s="22">
        <f>VLOOKUP(B341,Vertices!$A$11:$J$203,8,FALSE )-$D$7</f>
        <v>-10.43</v>
      </c>
      <c r="E341" s="23">
        <f>VLOOKUP(B341,Vertices!$A$11:$J$203,9,FALSE )-$E$7</f>
        <v>41.25</v>
      </c>
      <c r="F341" s="21">
        <f>Faces!C341</f>
        <v>185</v>
      </c>
      <c r="G341" s="22">
        <f>VLOOKUP(F341,Vertices!$A$11:$J$203,7,FALSE )-$C$7</f>
        <v>-22.724999999999998</v>
      </c>
      <c r="H341" s="22">
        <f>VLOOKUP(F341,Vertices!$A$11:$J$203,8,FALSE )-$D$7</f>
        <v>-12</v>
      </c>
      <c r="I341" s="23">
        <f>VLOOKUP(F341,Vertices!$A$11:$J$203,9,FALSE )-$E$7</f>
        <v>22.34</v>
      </c>
      <c r="J341" s="21">
        <f>Faces!D341</f>
        <v>181</v>
      </c>
      <c r="K341" s="22">
        <f>VLOOKUP(J341,Vertices!$A$11:$J$203,7,FALSE )-$C$7</f>
        <v>-18.045000000000002</v>
      </c>
      <c r="L341" s="22">
        <f>VLOOKUP(J341,Vertices!$A$11:$J$203,8,FALSE )-$D$7</f>
        <v>-4.5199999999999996</v>
      </c>
      <c r="M341" s="23">
        <f>VLOOKUP(J341,Vertices!$A$11:$J$203,9,FALSE )-$E$7</f>
        <v>30.96</v>
      </c>
      <c r="N341" s="16">
        <f t="shared" si="10"/>
        <v>1038.5396091666669</v>
      </c>
      <c r="O341" s="16">
        <f t="shared" si="11"/>
        <v>1038.5396091666669</v>
      </c>
    </row>
    <row r="342" spans="1:15" x14ac:dyDescent="0.25">
      <c r="A342">
        <f>Faces!A342</f>
        <v>332</v>
      </c>
      <c r="B342" s="21">
        <f>Faces!B342</f>
        <v>166</v>
      </c>
      <c r="C342" s="22">
        <f>VLOOKUP(B342,Vertices!$A$11:$J$203,7,FALSE )-$C$7</f>
        <v>-5.9050000000000011</v>
      </c>
      <c r="D342" s="22">
        <f>VLOOKUP(B342,Vertices!$A$11:$J$203,8,FALSE )-$D$7</f>
        <v>-10.43</v>
      </c>
      <c r="E342" s="23">
        <f>VLOOKUP(B342,Vertices!$A$11:$J$203,9,FALSE )-$E$7</f>
        <v>41.25</v>
      </c>
      <c r="F342" s="21">
        <f>Faces!C342</f>
        <v>167</v>
      </c>
      <c r="G342" s="22">
        <f>VLOOKUP(F342,Vertices!$A$11:$J$203,7,FALSE )-$C$7</f>
        <v>-9.7049999999999983</v>
      </c>
      <c r="H342" s="22">
        <f>VLOOKUP(F342,Vertices!$A$11:$J$203,8,FALSE )-$D$7</f>
        <v>-16.62</v>
      </c>
      <c r="I342" s="23">
        <f>VLOOKUP(F342,Vertices!$A$11:$J$203,9,FALSE )-$E$7</f>
        <v>34.35</v>
      </c>
      <c r="J342" s="21">
        <f>Faces!D342</f>
        <v>185</v>
      </c>
      <c r="K342" s="22">
        <f>VLOOKUP(J342,Vertices!$A$11:$J$203,7,FALSE )-$C$7</f>
        <v>-22.724999999999998</v>
      </c>
      <c r="L342" s="22">
        <f>VLOOKUP(J342,Vertices!$A$11:$J$203,8,FALSE )-$D$7</f>
        <v>-12</v>
      </c>
      <c r="M342" s="23">
        <f>VLOOKUP(J342,Vertices!$A$11:$J$203,9,FALSE )-$E$7</f>
        <v>22.34</v>
      </c>
      <c r="N342" s="16">
        <f t="shared" si="10"/>
        <v>856.15229325000053</v>
      </c>
      <c r="O342" s="16">
        <f t="shared" si="11"/>
        <v>856.15229325000053</v>
      </c>
    </row>
    <row r="343" spans="1:15" x14ac:dyDescent="0.25">
      <c r="A343">
        <f>Faces!A343</f>
        <v>333</v>
      </c>
      <c r="B343" s="21">
        <f>Faces!B343</f>
        <v>167</v>
      </c>
      <c r="C343" s="22">
        <f>VLOOKUP(B343,Vertices!$A$11:$J$203,7,FALSE )-$C$7</f>
        <v>-9.7049999999999983</v>
      </c>
      <c r="D343" s="22">
        <f>VLOOKUP(B343,Vertices!$A$11:$J$203,8,FALSE )-$D$7</f>
        <v>-16.62</v>
      </c>
      <c r="E343" s="23">
        <f>VLOOKUP(B343,Vertices!$A$11:$J$203,9,FALSE )-$E$7</f>
        <v>34.35</v>
      </c>
      <c r="F343" s="21">
        <f>Faces!C343</f>
        <v>186</v>
      </c>
      <c r="G343" s="22">
        <f>VLOOKUP(F343,Vertices!$A$11:$J$203,7,FALSE )-$C$7</f>
        <v>-26.375</v>
      </c>
      <c r="H343" s="22">
        <f>VLOOKUP(F343,Vertices!$A$11:$J$203,8,FALSE )-$D$7</f>
        <v>-19.510000000000002</v>
      </c>
      <c r="I343" s="23">
        <f>VLOOKUP(F343,Vertices!$A$11:$J$203,9,FALSE )-$E$7</f>
        <v>15.39</v>
      </c>
      <c r="J343" s="21">
        <f>Faces!D343</f>
        <v>185</v>
      </c>
      <c r="K343" s="22">
        <f>VLOOKUP(J343,Vertices!$A$11:$J$203,7,FALSE )-$C$7</f>
        <v>-22.724999999999998</v>
      </c>
      <c r="L343" s="22">
        <f>VLOOKUP(J343,Vertices!$A$11:$J$203,8,FALSE )-$D$7</f>
        <v>-12</v>
      </c>
      <c r="M343" s="23">
        <f>VLOOKUP(J343,Vertices!$A$11:$J$203,9,FALSE )-$E$7</f>
        <v>22.34</v>
      </c>
      <c r="N343" s="16">
        <f t="shared" si="10"/>
        <v>983.38662674999978</v>
      </c>
      <c r="O343" s="16">
        <f t="shared" si="11"/>
        <v>983.38662674999978</v>
      </c>
    </row>
    <row r="344" spans="1:15" x14ac:dyDescent="0.25">
      <c r="A344">
        <f>Faces!A344</f>
        <v>334</v>
      </c>
      <c r="B344" s="21">
        <f>Faces!B344</f>
        <v>167</v>
      </c>
      <c r="C344" s="22">
        <f>VLOOKUP(B344,Vertices!$A$11:$J$203,7,FALSE )-$C$7</f>
        <v>-9.7049999999999983</v>
      </c>
      <c r="D344" s="22">
        <f>VLOOKUP(B344,Vertices!$A$11:$J$203,8,FALSE )-$D$7</f>
        <v>-16.62</v>
      </c>
      <c r="E344" s="23">
        <f>VLOOKUP(B344,Vertices!$A$11:$J$203,9,FALSE )-$E$7</f>
        <v>34.35</v>
      </c>
      <c r="F344" s="21">
        <f>Faces!C344</f>
        <v>168</v>
      </c>
      <c r="G344" s="22">
        <f>VLOOKUP(F344,Vertices!$A$11:$J$203,7,FALSE )-$C$7</f>
        <v>-15.555</v>
      </c>
      <c r="H344" s="22">
        <f>VLOOKUP(F344,Vertices!$A$11:$J$203,8,FALSE )-$D$7</f>
        <v>-26.85</v>
      </c>
      <c r="I344" s="23">
        <f>VLOOKUP(F344,Vertices!$A$11:$J$203,9,FALSE )-$E$7</f>
        <v>23.63</v>
      </c>
      <c r="J344" s="21">
        <f>Faces!D344</f>
        <v>186</v>
      </c>
      <c r="K344" s="22">
        <f>VLOOKUP(J344,Vertices!$A$11:$J$203,7,FALSE )-$C$7</f>
        <v>-26.375</v>
      </c>
      <c r="L344" s="22">
        <f>VLOOKUP(J344,Vertices!$A$11:$J$203,8,FALSE )-$D$7</f>
        <v>-19.510000000000002</v>
      </c>
      <c r="M344" s="23">
        <f>VLOOKUP(J344,Vertices!$A$11:$J$203,9,FALSE )-$E$7</f>
        <v>15.39</v>
      </c>
      <c r="N344" s="16">
        <f t="shared" si="10"/>
        <v>1330.9064879999999</v>
      </c>
      <c r="O344" s="16">
        <f t="shared" si="11"/>
        <v>1330.9064879999999</v>
      </c>
    </row>
    <row r="345" spans="1:15" x14ac:dyDescent="0.25">
      <c r="A345">
        <f>Faces!A345</f>
        <v>335</v>
      </c>
      <c r="B345" s="21">
        <f>Faces!B345</f>
        <v>168</v>
      </c>
      <c r="C345" s="22">
        <f>VLOOKUP(B345,Vertices!$A$11:$J$203,7,FALSE )-$C$7</f>
        <v>-15.555</v>
      </c>
      <c r="D345" s="22">
        <f>VLOOKUP(B345,Vertices!$A$11:$J$203,8,FALSE )-$D$7</f>
        <v>-26.85</v>
      </c>
      <c r="E345" s="23">
        <f>VLOOKUP(B345,Vertices!$A$11:$J$203,9,FALSE )-$E$7</f>
        <v>23.63</v>
      </c>
      <c r="F345" s="21">
        <f>Faces!C345</f>
        <v>187</v>
      </c>
      <c r="G345" s="22">
        <f>VLOOKUP(F345,Vertices!$A$11:$J$203,7,FALSE )-$C$7</f>
        <v>-29.904999999999998</v>
      </c>
      <c r="H345" s="22">
        <f>VLOOKUP(F345,Vertices!$A$11:$J$203,8,FALSE )-$D$7</f>
        <v>-25.5</v>
      </c>
      <c r="I345" s="23">
        <f>VLOOKUP(F345,Vertices!$A$11:$J$203,9,FALSE )-$E$7</f>
        <v>9.39</v>
      </c>
      <c r="J345" s="21">
        <f>Faces!D345</f>
        <v>186</v>
      </c>
      <c r="K345" s="22">
        <f>VLOOKUP(J345,Vertices!$A$11:$J$203,7,FALSE )-$C$7</f>
        <v>-26.375</v>
      </c>
      <c r="L345" s="22">
        <f>VLOOKUP(J345,Vertices!$A$11:$J$203,8,FALSE )-$D$7</f>
        <v>-19.510000000000002</v>
      </c>
      <c r="M345" s="23">
        <f>VLOOKUP(J345,Vertices!$A$11:$J$203,9,FALSE )-$E$7</f>
        <v>15.39</v>
      </c>
      <c r="N345" s="16">
        <f t="shared" si="10"/>
        <v>759.77853466666602</v>
      </c>
      <c r="O345" s="16">
        <f t="shared" si="11"/>
        <v>759.77853466666602</v>
      </c>
    </row>
    <row r="346" spans="1:15" x14ac:dyDescent="0.25">
      <c r="A346">
        <f>Faces!A346</f>
        <v>336</v>
      </c>
      <c r="B346" s="21">
        <f>Faces!B346</f>
        <v>168</v>
      </c>
      <c r="C346" s="22">
        <f>VLOOKUP(B346,Vertices!$A$11:$J$203,7,FALSE )-$C$7</f>
        <v>-15.555</v>
      </c>
      <c r="D346" s="22">
        <f>VLOOKUP(B346,Vertices!$A$11:$J$203,8,FALSE )-$D$7</f>
        <v>-26.85</v>
      </c>
      <c r="E346" s="23">
        <f>VLOOKUP(B346,Vertices!$A$11:$J$203,9,FALSE )-$E$7</f>
        <v>23.63</v>
      </c>
      <c r="F346" s="21">
        <f>Faces!C346</f>
        <v>169</v>
      </c>
      <c r="G346" s="22">
        <f>VLOOKUP(F346,Vertices!$A$11:$J$203,7,FALSE )-$C$7</f>
        <v>-20.524999999999999</v>
      </c>
      <c r="H346" s="22">
        <f>VLOOKUP(F346,Vertices!$A$11:$J$203,8,FALSE )-$D$7</f>
        <v>-36.82</v>
      </c>
      <c r="I346" s="23">
        <f>VLOOKUP(F346,Vertices!$A$11:$J$203,9,FALSE )-$E$7</f>
        <v>14.62</v>
      </c>
      <c r="J346" s="21">
        <f>Faces!D346</f>
        <v>187</v>
      </c>
      <c r="K346" s="22">
        <f>VLOOKUP(J346,Vertices!$A$11:$J$203,7,FALSE )-$C$7</f>
        <v>-29.904999999999998</v>
      </c>
      <c r="L346" s="22">
        <f>VLOOKUP(J346,Vertices!$A$11:$J$203,8,FALSE )-$D$7</f>
        <v>-25.5</v>
      </c>
      <c r="M346" s="23">
        <f>VLOOKUP(J346,Vertices!$A$11:$J$203,9,FALSE )-$E$7</f>
        <v>9.39</v>
      </c>
      <c r="N346" s="16">
        <f t="shared" si="10"/>
        <v>1251.3581185833336</v>
      </c>
      <c r="O346" s="16">
        <f t="shared" si="11"/>
        <v>1251.3581185833336</v>
      </c>
    </row>
    <row r="347" spans="1:15" x14ac:dyDescent="0.25">
      <c r="A347">
        <f>Faces!A347</f>
        <v>337</v>
      </c>
      <c r="B347" s="21">
        <f>Faces!B347</f>
        <v>181</v>
      </c>
      <c r="C347" s="22">
        <f>VLOOKUP(B347,Vertices!$A$11:$J$203,7,FALSE )-$C$7</f>
        <v>-18.045000000000002</v>
      </c>
      <c r="D347" s="22">
        <f>VLOOKUP(B347,Vertices!$A$11:$J$203,8,FALSE )-$D$7</f>
        <v>-4.5199999999999996</v>
      </c>
      <c r="E347" s="23">
        <f>VLOOKUP(B347,Vertices!$A$11:$J$203,9,FALSE )-$E$7</f>
        <v>30.96</v>
      </c>
      <c r="F347" s="21">
        <f>Faces!C347</f>
        <v>185</v>
      </c>
      <c r="G347" s="22">
        <f>VLOOKUP(F347,Vertices!$A$11:$J$203,7,FALSE )-$C$7</f>
        <v>-22.724999999999998</v>
      </c>
      <c r="H347" s="22">
        <f>VLOOKUP(F347,Vertices!$A$11:$J$203,8,FALSE )-$D$7</f>
        <v>-12</v>
      </c>
      <c r="I347" s="23">
        <f>VLOOKUP(F347,Vertices!$A$11:$J$203,9,FALSE )-$E$7</f>
        <v>22.34</v>
      </c>
      <c r="J347" s="21">
        <f>Faces!D347</f>
        <v>191</v>
      </c>
      <c r="K347" s="22">
        <f>VLOOKUP(J347,Vertices!$A$11:$J$203,7,FALSE )-$C$7</f>
        <v>-35.265000000000001</v>
      </c>
      <c r="L347" s="22">
        <f>VLOOKUP(J347,Vertices!$A$11:$J$203,8,FALSE )-$D$7</f>
        <v>-4.3099999999999996</v>
      </c>
      <c r="M347" s="23">
        <f>VLOOKUP(J347,Vertices!$A$11:$J$203,9,FALSE )-$E$7</f>
        <v>11.95</v>
      </c>
      <c r="N347" s="16">
        <f t="shared" si="10"/>
        <v>1147.6036135000002</v>
      </c>
      <c r="O347" s="16">
        <f t="shared" si="11"/>
        <v>1147.6036135000002</v>
      </c>
    </row>
    <row r="348" spans="1:15" x14ac:dyDescent="0.25">
      <c r="A348">
        <f>Faces!A348</f>
        <v>338</v>
      </c>
      <c r="B348" s="21">
        <f>Faces!B348</f>
        <v>185</v>
      </c>
      <c r="C348" s="22">
        <f>VLOOKUP(B348,Vertices!$A$11:$J$203,7,FALSE )-$C$7</f>
        <v>-22.724999999999998</v>
      </c>
      <c r="D348" s="22">
        <f>VLOOKUP(B348,Vertices!$A$11:$J$203,8,FALSE )-$D$7</f>
        <v>-12</v>
      </c>
      <c r="E348" s="23">
        <f>VLOOKUP(B348,Vertices!$A$11:$J$203,9,FALSE )-$E$7</f>
        <v>22.34</v>
      </c>
      <c r="F348" s="21">
        <f>Faces!C348</f>
        <v>193</v>
      </c>
      <c r="G348" s="22">
        <f>VLOOKUP(F348,Vertices!$A$11:$J$203,7,FALSE )-$C$7</f>
        <v>-40.134999999999998</v>
      </c>
      <c r="H348" s="22">
        <f>VLOOKUP(F348,Vertices!$A$11:$J$203,8,FALSE )-$D$7</f>
        <v>-13.43</v>
      </c>
      <c r="I348" s="23">
        <f>VLOOKUP(F348,Vertices!$A$11:$J$203,9,FALSE )-$E$7</f>
        <v>3.66</v>
      </c>
      <c r="J348" s="21">
        <f>Faces!D348</f>
        <v>191</v>
      </c>
      <c r="K348" s="22">
        <f>VLOOKUP(J348,Vertices!$A$11:$J$203,7,FALSE )-$C$7</f>
        <v>-35.265000000000001</v>
      </c>
      <c r="L348" s="22">
        <f>VLOOKUP(J348,Vertices!$A$11:$J$203,8,FALSE )-$D$7</f>
        <v>-4.3099999999999996</v>
      </c>
      <c r="M348" s="23">
        <f>VLOOKUP(J348,Vertices!$A$11:$J$203,9,FALSE )-$E$7</f>
        <v>11.95</v>
      </c>
      <c r="N348" s="16">
        <f t="shared" si="10"/>
        <v>1272.3177060833336</v>
      </c>
      <c r="O348" s="16">
        <f t="shared" si="11"/>
        <v>1272.3177060833336</v>
      </c>
    </row>
    <row r="349" spans="1:15" x14ac:dyDescent="0.25">
      <c r="A349">
        <f>Faces!A349</f>
        <v>339</v>
      </c>
      <c r="B349" s="21">
        <f>Faces!B349</f>
        <v>185</v>
      </c>
      <c r="C349" s="22">
        <f>VLOOKUP(B349,Vertices!$A$11:$J$203,7,FALSE )-$C$7</f>
        <v>-22.724999999999998</v>
      </c>
      <c r="D349" s="22">
        <f>VLOOKUP(B349,Vertices!$A$11:$J$203,8,FALSE )-$D$7</f>
        <v>-12</v>
      </c>
      <c r="E349" s="23">
        <f>VLOOKUP(B349,Vertices!$A$11:$J$203,9,FALSE )-$E$7</f>
        <v>22.34</v>
      </c>
      <c r="F349" s="21">
        <f>Faces!C349</f>
        <v>186</v>
      </c>
      <c r="G349" s="22">
        <f>VLOOKUP(F349,Vertices!$A$11:$J$203,7,FALSE )-$C$7</f>
        <v>-26.375</v>
      </c>
      <c r="H349" s="22">
        <f>VLOOKUP(F349,Vertices!$A$11:$J$203,8,FALSE )-$D$7</f>
        <v>-19.510000000000002</v>
      </c>
      <c r="I349" s="23">
        <f>VLOOKUP(F349,Vertices!$A$11:$J$203,9,FALSE )-$E$7</f>
        <v>15.39</v>
      </c>
      <c r="J349" s="21">
        <f>Faces!D349</f>
        <v>193</v>
      </c>
      <c r="K349" s="22">
        <f>VLOOKUP(J349,Vertices!$A$11:$J$203,7,FALSE )-$C$7</f>
        <v>-40.134999999999998</v>
      </c>
      <c r="L349" s="22">
        <f>VLOOKUP(J349,Vertices!$A$11:$J$203,8,FALSE )-$D$7</f>
        <v>-13.43</v>
      </c>
      <c r="M349" s="23">
        <f>VLOOKUP(J349,Vertices!$A$11:$J$203,9,FALSE )-$E$7</f>
        <v>3.66</v>
      </c>
      <c r="N349" s="16">
        <f t="shared" si="10"/>
        <v>1066.7177302500004</v>
      </c>
      <c r="O349" s="16">
        <f t="shared" si="11"/>
        <v>1066.7177302500004</v>
      </c>
    </row>
    <row r="350" spans="1:15" x14ac:dyDescent="0.25">
      <c r="A350">
        <f>Faces!A350</f>
        <v>340</v>
      </c>
      <c r="B350" s="21">
        <f>Faces!B350</f>
        <v>186</v>
      </c>
      <c r="C350" s="22">
        <f>VLOOKUP(B350,Vertices!$A$11:$J$203,7,FALSE )-$C$7</f>
        <v>-26.375</v>
      </c>
      <c r="D350" s="22">
        <f>VLOOKUP(B350,Vertices!$A$11:$J$203,8,FALSE )-$D$7</f>
        <v>-19.510000000000002</v>
      </c>
      <c r="E350" s="23">
        <f>VLOOKUP(B350,Vertices!$A$11:$J$203,9,FALSE )-$E$7</f>
        <v>15.39</v>
      </c>
      <c r="F350" s="21">
        <f>Faces!C350</f>
        <v>187</v>
      </c>
      <c r="G350" s="22">
        <f>VLOOKUP(F350,Vertices!$A$11:$J$203,7,FALSE )-$C$7</f>
        <v>-29.904999999999998</v>
      </c>
      <c r="H350" s="22">
        <f>VLOOKUP(F350,Vertices!$A$11:$J$203,8,FALSE )-$D$7</f>
        <v>-25.5</v>
      </c>
      <c r="I350" s="23">
        <f>VLOOKUP(F350,Vertices!$A$11:$J$203,9,FALSE )-$E$7</f>
        <v>9.39</v>
      </c>
      <c r="J350" s="21">
        <f>Faces!D350</f>
        <v>193</v>
      </c>
      <c r="K350" s="22">
        <f>VLOOKUP(J350,Vertices!$A$11:$J$203,7,FALSE )-$C$7</f>
        <v>-40.134999999999998</v>
      </c>
      <c r="L350" s="22">
        <f>VLOOKUP(J350,Vertices!$A$11:$J$203,8,FALSE )-$D$7</f>
        <v>-13.43</v>
      </c>
      <c r="M350" s="23">
        <f>VLOOKUP(J350,Vertices!$A$11:$J$203,9,FALSE )-$E$7</f>
        <v>3.66</v>
      </c>
      <c r="N350" s="16">
        <f t="shared" si="10"/>
        <v>869.50379424999994</v>
      </c>
      <c r="O350" s="16">
        <f t="shared" si="11"/>
        <v>869.50379424999994</v>
      </c>
    </row>
    <row r="351" spans="1:15" x14ac:dyDescent="0.25">
      <c r="A351">
        <f>Faces!A351</f>
        <v>341</v>
      </c>
      <c r="B351" s="21">
        <f>Faces!B351</f>
        <v>31</v>
      </c>
      <c r="C351" s="22">
        <f>VLOOKUP(B351,Vertices!$A$11:$J$203,7,FALSE )-$C$7</f>
        <v>4.5450000000000017</v>
      </c>
      <c r="D351" s="22">
        <f>VLOOKUP(B351,Vertices!$A$11:$J$203,8,FALSE )-$D$7</f>
        <v>-37</v>
      </c>
      <c r="E351" s="23">
        <f>VLOOKUP(B351,Vertices!$A$11:$J$203,9,FALSE )-$E$7</f>
        <v>-50</v>
      </c>
      <c r="F351" s="21">
        <f>Faces!C351</f>
        <v>97</v>
      </c>
      <c r="G351" s="22">
        <f>VLOOKUP(F351,Vertices!$A$11:$J$203,7,FALSE )-$C$7</f>
        <v>-3.2449999999999974</v>
      </c>
      <c r="H351" s="22">
        <f>VLOOKUP(F351,Vertices!$A$11:$J$203,8,FALSE )-$D$7</f>
        <v>-32.49</v>
      </c>
      <c r="I351" s="23">
        <f>VLOOKUP(F351,Vertices!$A$11:$J$203,9,FALSE )-$E$7</f>
        <v>-42.5</v>
      </c>
      <c r="J351" s="21">
        <f>Faces!D351</f>
        <v>104</v>
      </c>
      <c r="K351" s="22">
        <f>VLOOKUP(J351,Vertices!$A$11:$J$203,7,FALSE )-$C$7</f>
        <v>-3.6149999999999949</v>
      </c>
      <c r="L351" s="22">
        <f>VLOOKUP(J351,Vertices!$A$11:$J$203,8,FALSE )-$D$7</f>
        <v>-35.83</v>
      </c>
      <c r="M351" s="23">
        <f>VLOOKUP(J351,Vertices!$A$11:$J$203,9,FALSE )-$E$7</f>
        <v>-36.020000000000003</v>
      </c>
      <c r="N351" s="16">
        <f t="shared" si="10"/>
        <v>483.79023899999964</v>
      </c>
      <c r="O351" s="16">
        <f t="shared" si="11"/>
        <v>483.79023899999964</v>
      </c>
    </row>
    <row r="352" spans="1:15" x14ac:dyDescent="0.25">
      <c r="A352">
        <f>Faces!A352</f>
        <v>342</v>
      </c>
      <c r="B352" s="21">
        <f>Faces!B352</f>
        <v>31</v>
      </c>
      <c r="C352" s="22">
        <f>VLOOKUP(B352,Vertices!$A$11:$J$203,7,FALSE )-$C$7</f>
        <v>4.5450000000000017</v>
      </c>
      <c r="D352" s="22">
        <f>VLOOKUP(B352,Vertices!$A$11:$J$203,8,FALSE )-$D$7</f>
        <v>-37</v>
      </c>
      <c r="E352" s="23">
        <f>VLOOKUP(B352,Vertices!$A$11:$J$203,9,FALSE )-$E$7</f>
        <v>-50</v>
      </c>
      <c r="F352" s="21">
        <f>Faces!C352</f>
        <v>104</v>
      </c>
      <c r="G352" s="22">
        <f>VLOOKUP(F352,Vertices!$A$11:$J$203,7,FALSE )-$C$7</f>
        <v>-3.6149999999999949</v>
      </c>
      <c r="H352" s="22">
        <f>VLOOKUP(F352,Vertices!$A$11:$J$203,8,FALSE )-$D$7</f>
        <v>-35.83</v>
      </c>
      <c r="I352" s="23">
        <f>VLOOKUP(F352,Vertices!$A$11:$J$203,9,FALSE )-$E$7</f>
        <v>-36.020000000000003</v>
      </c>
      <c r="J352" s="21">
        <f>Faces!D352</f>
        <v>47</v>
      </c>
      <c r="K352" s="22">
        <f>VLOOKUP(J352,Vertices!$A$11:$J$203,7,FALSE )-$C$7</f>
        <v>4.125</v>
      </c>
      <c r="L352" s="22">
        <f>VLOOKUP(J352,Vertices!$A$11:$J$203,8,FALSE )-$D$7</f>
        <v>-41.34</v>
      </c>
      <c r="M352" s="23">
        <f>VLOOKUP(J352,Vertices!$A$11:$J$203,9,FALSE )-$E$7</f>
        <v>-42.01</v>
      </c>
      <c r="N352" s="16">
        <f t="shared" si="10"/>
        <v>612.02231374999974</v>
      </c>
      <c r="O352" s="16">
        <f t="shared" si="11"/>
        <v>612.02231374999974</v>
      </c>
    </row>
    <row r="353" spans="1:15" x14ac:dyDescent="0.25">
      <c r="A353">
        <f>Faces!A353</f>
        <v>343</v>
      </c>
      <c r="B353" s="21">
        <f>Faces!B353</f>
        <v>47</v>
      </c>
      <c r="C353" s="22">
        <f>VLOOKUP(B353,Vertices!$A$11:$J$203,7,FALSE )-$C$7</f>
        <v>4.125</v>
      </c>
      <c r="D353" s="22">
        <f>VLOOKUP(B353,Vertices!$A$11:$J$203,8,FALSE )-$D$7</f>
        <v>-41.34</v>
      </c>
      <c r="E353" s="23">
        <f>VLOOKUP(B353,Vertices!$A$11:$J$203,9,FALSE )-$E$7</f>
        <v>-42.01</v>
      </c>
      <c r="F353" s="21">
        <f>Faces!C353</f>
        <v>104</v>
      </c>
      <c r="G353" s="22">
        <f>VLOOKUP(F353,Vertices!$A$11:$J$203,7,FALSE )-$C$7</f>
        <v>-3.6149999999999949</v>
      </c>
      <c r="H353" s="22">
        <f>VLOOKUP(F353,Vertices!$A$11:$J$203,8,FALSE )-$D$7</f>
        <v>-35.83</v>
      </c>
      <c r="I353" s="23">
        <f>VLOOKUP(F353,Vertices!$A$11:$J$203,9,FALSE )-$E$7</f>
        <v>-36.020000000000003</v>
      </c>
      <c r="J353" s="21">
        <f>Faces!D353</f>
        <v>106</v>
      </c>
      <c r="K353" s="22">
        <f>VLOOKUP(J353,Vertices!$A$11:$J$203,7,FALSE )-$C$7</f>
        <v>-3.9249999999999972</v>
      </c>
      <c r="L353" s="22">
        <f>VLOOKUP(J353,Vertices!$A$11:$J$203,8,FALSE )-$D$7</f>
        <v>-38.93</v>
      </c>
      <c r="M353" s="23">
        <f>VLOOKUP(J353,Vertices!$A$11:$J$203,9,FALSE )-$E$7</f>
        <v>-29.46</v>
      </c>
      <c r="N353" s="16">
        <f t="shared" si="10"/>
        <v>479.38282433333325</v>
      </c>
      <c r="O353" s="16">
        <f t="shared" si="11"/>
        <v>479.38282433333325</v>
      </c>
    </row>
    <row r="354" spans="1:15" x14ac:dyDescent="0.25">
      <c r="A354">
        <f>Faces!A354</f>
        <v>344</v>
      </c>
      <c r="B354" s="21">
        <f>Faces!B354</f>
        <v>47</v>
      </c>
      <c r="C354" s="22">
        <f>VLOOKUP(B354,Vertices!$A$11:$J$203,7,FALSE )-$C$7</f>
        <v>4.125</v>
      </c>
      <c r="D354" s="22">
        <f>VLOOKUP(B354,Vertices!$A$11:$J$203,8,FALSE )-$D$7</f>
        <v>-41.34</v>
      </c>
      <c r="E354" s="23">
        <f>VLOOKUP(B354,Vertices!$A$11:$J$203,9,FALSE )-$E$7</f>
        <v>-42.01</v>
      </c>
      <c r="F354" s="21">
        <f>Faces!C354</f>
        <v>106</v>
      </c>
      <c r="G354" s="22">
        <f>VLOOKUP(F354,Vertices!$A$11:$J$203,7,FALSE )-$C$7</f>
        <v>-3.9249999999999972</v>
      </c>
      <c r="H354" s="22">
        <f>VLOOKUP(F354,Vertices!$A$11:$J$203,8,FALSE )-$D$7</f>
        <v>-38.93</v>
      </c>
      <c r="I354" s="23">
        <f>VLOOKUP(F354,Vertices!$A$11:$J$203,9,FALSE )-$E$7</f>
        <v>-29.46</v>
      </c>
      <c r="J354" s="21">
        <f>Faces!D354</f>
        <v>58</v>
      </c>
      <c r="K354" s="22">
        <f>VLOOKUP(J354,Vertices!$A$11:$J$203,7,FALSE )-$C$7</f>
        <v>3.7550000000000026</v>
      </c>
      <c r="L354" s="22">
        <f>VLOOKUP(J354,Vertices!$A$11:$J$203,8,FALSE )-$D$7</f>
        <v>-45.11</v>
      </c>
      <c r="M354" s="23">
        <f>VLOOKUP(J354,Vertices!$A$11:$J$203,9,FALSE )-$E$7</f>
        <v>-34.450000000000003</v>
      </c>
      <c r="N354" s="16">
        <f t="shared" si="10"/>
        <v>560.99736574999952</v>
      </c>
      <c r="O354" s="16">
        <f t="shared" si="11"/>
        <v>560.99736574999952</v>
      </c>
    </row>
    <row r="355" spans="1:15" x14ac:dyDescent="0.25">
      <c r="A355">
        <f>Faces!A355</f>
        <v>345</v>
      </c>
      <c r="B355" s="21">
        <f>Faces!B355</f>
        <v>58</v>
      </c>
      <c r="C355" s="22">
        <f>VLOOKUP(B355,Vertices!$A$11:$J$203,7,FALSE )-$C$7</f>
        <v>3.7550000000000026</v>
      </c>
      <c r="D355" s="22">
        <f>VLOOKUP(B355,Vertices!$A$11:$J$203,8,FALSE )-$D$7</f>
        <v>-45.11</v>
      </c>
      <c r="E355" s="23">
        <f>VLOOKUP(B355,Vertices!$A$11:$J$203,9,FALSE )-$E$7</f>
        <v>-34.450000000000003</v>
      </c>
      <c r="F355" s="21">
        <f>Faces!C355</f>
        <v>106</v>
      </c>
      <c r="G355" s="22">
        <f>VLOOKUP(F355,Vertices!$A$11:$J$203,7,FALSE )-$C$7</f>
        <v>-3.9249999999999972</v>
      </c>
      <c r="H355" s="22">
        <f>VLOOKUP(F355,Vertices!$A$11:$J$203,8,FALSE )-$D$7</f>
        <v>-38.93</v>
      </c>
      <c r="I355" s="23">
        <f>VLOOKUP(F355,Vertices!$A$11:$J$203,9,FALSE )-$E$7</f>
        <v>-29.46</v>
      </c>
      <c r="J355" s="21">
        <f>Faces!D355</f>
        <v>108</v>
      </c>
      <c r="K355" s="22">
        <f>VLOOKUP(J355,Vertices!$A$11:$J$203,7,FALSE )-$C$7</f>
        <v>-4.7250000000000014</v>
      </c>
      <c r="L355" s="22">
        <f>VLOOKUP(J355,Vertices!$A$11:$J$203,8,FALSE )-$D$7</f>
        <v>-44.89</v>
      </c>
      <c r="M355" s="23">
        <f>VLOOKUP(J355,Vertices!$A$11:$J$203,9,FALSE )-$E$7</f>
        <v>-16.27</v>
      </c>
      <c r="N355" s="16">
        <f t="shared" si="10"/>
        <v>953.16008816666692</v>
      </c>
      <c r="O355" s="16">
        <f t="shared" si="11"/>
        <v>953.16008816666692</v>
      </c>
    </row>
    <row r="356" spans="1:15" x14ac:dyDescent="0.25">
      <c r="A356">
        <f>Faces!A356</f>
        <v>346</v>
      </c>
      <c r="B356" s="21">
        <f>Faces!B356</f>
        <v>58</v>
      </c>
      <c r="C356" s="22">
        <f>VLOOKUP(B356,Vertices!$A$11:$J$203,7,FALSE )-$C$7</f>
        <v>3.7550000000000026</v>
      </c>
      <c r="D356" s="22">
        <f>VLOOKUP(B356,Vertices!$A$11:$J$203,8,FALSE )-$D$7</f>
        <v>-45.11</v>
      </c>
      <c r="E356" s="23">
        <f>VLOOKUP(B356,Vertices!$A$11:$J$203,9,FALSE )-$E$7</f>
        <v>-34.450000000000003</v>
      </c>
      <c r="F356" s="21">
        <f>Faces!C356</f>
        <v>108</v>
      </c>
      <c r="G356" s="22">
        <f>VLOOKUP(F356,Vertices!$A$11:$J$203,7,FALSE )-$C$7</f>
        <v>-4.7250000000000014</v>
      </c>
      <c r="H356" s="22">
        <f>VLOOKUP(F356,Vertices!$A$11:$J$203,8,FALSE )-$D$7</f>
        <v>-44.89</v>
      </c>
      <c r="I356" s="23">
        <f>VLOOKUP(F356,Vertices!$A$11:$J$203,9,FALSE )-$E$7</f>
        <v>-16.27</v>
      </c>
      <c r="J356" s="21">
        <f>Faces!D356</f>
        <v>69</v>
      </c>
      <c r="K356" s="22">
        <f>VLOOKUP(J356,Vertices!$A$11:$J$203,7,FALSE )-$C$7</f>
        <v>2.8049999999999997</v>
      </c>
      <c r="L356" s="22">
        <f>VLOOKUP(J356,Vertices!$A$11:$J$203,8,FALSE )-$D$7</f>
        <v>-52.09</v>
      </c>
      <c r="M356" s="23">
        <f>VLOOKUP(J356,Vertices!$A$11:$J$203,9,FALSE )-$E$7</f>
        <v>-19.059999999999999</v>
      </c>
      <c r="N356" s="16">
        <f t="shared" si="10"/>
        <v>1110.8641085000006</v>
      </c>
      <c r="O356" s="16">
        <f t="shared" si="11"/>
        <v>1110.8641085000006</v>
      </c>
    </row>
    <row r="357" spans="1:15" x14ac:dyDescent="0.25">
      <c r="A357">
        <f>Faces!A357</f>
        <v>347</v>
      </c>
      <c r="B357" s="21">
        <f>Faces!B357</f>
        <v>69</v>
      </c>
      <c r="C357" s="22">
        <f>VLOOKUP(B357,Vertices!$A$11:$J$203,7,FALSE )-$C$7</f>
        <v>2.8049999999999997</v>
      </c>
      <c r="D357" s="22">
        <f>VLOOKUP(B357,Vertices!$A$11:$J$203,8,FALSE )-$D$7</f>
        <v>-52.09</v>
      </c>
      <c r="E357" s="23">
        <f>VLOOKUP(B357,Vertices!$A$11:$J$203,9,FALSE )-$E$7</f>
        <v>-19.059999999999999</v>
      </c>
      <c r="F357" s="21">
        <f>Faces!C357</f>
        <v>108</v>
      </c>
      <c r="G357" s="22">
        <f>VLOOKUP(F357,Vertices!$A$11:$J$203,7,FALSE )-$C$7</f>
        <v>-4.7250000000000014</v>
      </c>
      <c r="H357" s="22">
        <f>VLOOKUP(F357,Vertices!$A$11:$J$203,8,FALSE )-$D$7</f>
        <v>-44.89</v>
      </c>
      <c r="I357" s="23">
        <f>VLOOKUP(F357,Vertices!$A$11:$J$203,9,FALSE )-$E$7</f>
        <v>-16.27</v>
      </c>
      <c r="J357" s="21">
        <f>Faces!D357</f>
        <v>110</v>
      </c>
      <c r="K357" s="22">
        <f>VLOOKUP(J357,Vertices!$A$11:$J$203,7,FALSE )-$C$7</f>
        <v>-5.9450000000000003</v>
      </c>
      <c r="L357" s="22">
        <f>VLOOKUP(J357,Vertices!$A$11:$J$203,8,FALSE )-$D$7</f>
        <v>-51.97</v>
      </c>
      <c r="M357" s="23">
        <f>VLOOKUP(J357,Vertices!$A$11:$J$203,9,FALSE )-$E$7</f>
        <v>3.91</v>
      </c>
      <c r="N357" s="16">
        <f t="shared" si="10"/>
        <v>1409.774537</v>
      </c>
      <c r="O357" s="16">
        <f t="shared" si="11"/>
        <v>1409.774537</v>
      </c>
    </row>
    <row r="358" spans="1:15" x14ac:dyDescent="0.25">
      <c r="A358">
        <f>Faces!A358</f>
        <v>348</v>
      </c>
      <c r="B358" s="21">
        <f>Faces!B358</f>
        <v>69</v>
      </c>
      <c r="C358" s="22">
        <f>VLOOKUP(B358,Vertices!$A$11:$J$203,7,FALSE )-$C$7</f>
        <v>2.8049999999999997</v>
      </c>
      <c r="D358" s="22">
        <f>VLOOKUP(B358,Vertices!$A$11:$J$203,8,FALSE )-$D$7</f>
        <v>-52.09</v>
      </c>
      <c r="E358" s="23">
        <f>VLOOKUP(B358,Vertices!$A$11:$J$203,9,FALSE )-$E$7</f>
        <v>-19.059999999999999</v>
      </c>
      <c r="F358" s="21">
        <f>Faces!C358</f>
        <v>110</v>
      </c>
      <c r="G358" s="22">
        <f>VLOOKUP(F358,Vertices!$A$11:$J$203,7,FALSE )-$C$7</f>
        <v>-5.9450000000000003</v>
      </c>
      <c r="H358" s="22">
        <f>VLOOKUP(F358,Vertices!$A$11:$J$203,8,FALSE )-$D$7</f>
        <v>-51.97</v>
      </c>
      <c r="I358" s="23">
        <f>VLOOKUP(F358,Vertices!$A$11:$J$203,9,FALSE )-$E$7</f>
        <v>3.91</v>
      </c>
      <c r="J358" s="21">
        <f>Faces!D358</f>
        <v>80</v>
      </c>
      <c r="K358" s="22">
        <f>VLOOKUP(J358,Vertices!$A$11:$J$203,7,FALSE )-$C$7</f>
        <v>1.0050000000000026</v>
      </c>
      <c r="L358" s="22">
        <f>VLOOKUP(J358,Vertices!$A$11:$J$203,8,FALSE )-$D$7</f>
        <v>-60.77</v>
      </c>
      <c r="M358" s="23">
        <f>VLOOKUP(J358,Vertices!$A$11:$J$203,9,FALSE )-$E$7</f>
        <v>4.59</v>
      </c>
      <c r="N358" s="16">
        <f t="shared" si="10"/>
        <v>1585.0274711666673</v>
      </c>
      <c r="O358" s="16">
        <f t="shared" si="11"/>
        <v>1585.0274711666673</v>
      </c>
    </row>
    <row r="359" spans="1:15" x14ac:dyDescent="0.25">
      <c r="A359">
        <f>Faces!A359</f>
        <v>349</v>
      </c>
      <c r="B359" s="21">
        <f>Faces!B359</f>
        <v>80</v>
      </c>
      <c r="C359" s="22">
        <f>VLOOKUP(B359,Vertices!$A$11:$J$203,7,FALSE )-$C$7</f>
        <v>1.0050000000000026</v>
      </c>
      <c r="D359" s="22">
        <f>VLOOKUP(B359,Vertices!$A$11:$J$203,8,FALSE )-$D$7</f>
        <v>-60.77</v>
      </c>
      <c r="E359" s="23">
        <f>VLOOKUP(B359,Vertices!$A$11:$J$203,9,FALSE )-$E$7</f>
        <v>4.59</v>
      </c>
      <c r="F359" s="21">
        <f>Faces!C359</f>
        <v>110</v>
      </c>
      <c r="G359" s="22">
        <f>VLOOKUP(F359,Vertices!$A$11:$J$203,7,FALSE )-$C$7</f>
        <v>-5.9450000000000003</v>
      </c>
      <c r="H359" s="22">
        <f>VLOOKUP(F359,Vertices!$A$11:$J$203,8,FALSE )-$D$7</f>
        <v>-51.97</v>
      </c>
      <c r="I359" s="23">
        <f>VLOOKUP(F359,Vertices!$A$11:$J$203,9,FALSE )-$E$7</f>
        <v>3.91</v>
      </c>
      <c r="J359" s="21">
        <f>Faces!D359</f>
        <v>121</v>
      </c>
      <c r="K359" s="22">
        <f>VLOOKUP(J359,Vertices!$A$11:$J$203,7,FALSE )-$C$7</f>
        <v>-7.1049999999999969</v>
      </c>
      <c r="L359" s="22">
        <f>VLOOKUP(J359,Vertices!$A$11:$J$203,8,FALSE )-$D$7</f>
        <v>-56.2</v>
      </c>
      <c r="M359" s="23">
        <f>VLOOKUP(J359,Vertices!$A$11:$J$203,9,FALSE )-$E$7</f>
        <v>22.36</v>
      </c>
      <c r="N359" s="16">
        <f t="shared" si="10"/>
        <v>1249.7076163333338</v>
      </c>
      <c r="O359" s="16">
        <f t="shared" si="11"/>
        <v>1249.7076163333338</v>
      </c>
    </row>
    <row r="360" spans="1:15" x14ac:dyDescent="0.25">
      <c r="A360">
        <f>Faces!A360</f>
        <v>350</v>
      </c>
      <c r="B360" s="21">
        <f>Faces!B360</f>
        <v>80</v>
      </c>
      <c r="C360" s="22">
        <f>VLOOKUP(B360,Vertices!$A$11:$J$203,7,FALSE )-$C$7</f>
        <v>1.0050000000000026</v>
      </c>
      <c r="D360" s="22">
        <f>VLOOKUP(B360,Vertices!$A$11:$J$203,8,FALSE )-$D$7</f>
        <v>-60.77</v>
      </c>
      <c r="E360" s="23">
        <f>VLOOKUP(B360,Vertices!$A$11:$J$203,9,FALSE )-$E$7</f>
        <v>4.59</v>
      </c>
      <c r="F360" s="21">
        <f>Faces!C360</f>
        <v>121</v>
      </c>
      <c r="G360" s="22">
        <f>VLOOKUP(F360,Vertices!$A$11:$J$203,7,FALSE )-$C$7</f>
        <v>-7.1049999999999969</v>
      </c>
      <c r="H360" s="22">
        <f>VLOOKUP(F360,Vertices!$A$11:$J$203,8,FALSE )-$D$7</f>
        <v>-56.2</v>
      </c>
      <c r="I360" s="23">
        <f>VLOOKUP(F360,Vertices!$A$11:$J$203,9,FALSE )-$E$7</f>
        <v>22.36</v>
      </c>
      <c r="J360" s="21">
        <f>Faces!D360</f>
        <v>91</v>
      </c>
      <c r="K360" s="22">
        <f>VLOOKUP(J360,Vertices!$A$11:$J$203,7,FALSE )-$C$7</f>
        <v>-1.4549999999999983</v>
      </c>
      <c r="L360" s="22">
        <f>VLOOKUP(J360,Vertices!$A$11:$J$203,8,FALSE )-$D$7</f>
        <v>-66</v>
      </c>
      <c r="M360" s="23">
        <f>VLOOKUP(J360,Vertices!$A$11:$J$203,9,FALSE )-$E$7</f>
        <v>26</v>
      </c>
      <c r="N360" s="16">
        <f t="shared" si="10"/>
        <v>1242.8784106666665</v>
      </c>
      <c r="O360" s="16">
        <f t="shared" si="11"/>
        <v>1242.8784106666665</v>
      </c>
    </row>
    <row r="361" spans="1:15" x14ac:dyDescent="0.25">
      <c r="A361">
        <f>Faces!A361</f>
        <v>351</v>
      </c>
      <c r="B361" s="21">
        <f>Faces!B361</f>
        <v>97</v>
      </c>
      <c r="C361" s="22">
        <f>VLOOKUP(B361,Vertices!$A$11:$J$203,7,FALSE )-$C$7</f>
        <v>-3.2449999999999974</v>
      </c>
      <c r="D361" s="22">
        <f>VLOOKUP(B361,Vertices!$A$11:$J$203,8,FALSE )-$D$7</f>
        <v>-32.49</v>
      </c>
      <c r="E361" s="23">
        <f>VLOOKUP(B361,Vertices!$A$11:$J$203,9,FALSE )-$E$7</f>
        <v>-42.5</v>
      </c>
      <c r="F361" s="21">
        <f>Faces!C361</f>
        <v>126</v>
      </c>
      <c r="G361" s="22">
        <f>VLOOKUP(F361,Vertices!$A$11:$J$203,7,FALSE )-$C$7</f>
        <v>-10.984999999999999</v>
      </c>
      <c r="H361" s="22">
        <f>VLOOKUP(F361,Vertices!$A$11:$J$203,8,FALSE )-$D$7</f>
        <v>-27.78</v>
      </c>
      <c r="I361" s="23">
        <f>VLOOKUP(F361,Vertices!$A$11:$J$203,9,FALSE )-$E$7</f>
        <v>-35.21</v>
      </c>
      <c r="J361" s="21">
        <f>Faces!D361</f>
        <v>104</v>
      </c>
      <c r="K361" s="22">
        <f>VLOOKUP(J361,Vertices!$A$11:$J$203,7,FALSE )-$C$7</f>
        <v>-3.6149999999999949</v>
      </c>
      <c r="L361" s="22">
        <f>VLOOKUP(J361,Vertices!$A$11:$J$203,8,FALSE )-$D$7</f>
        <v>-35.83</v>
      </c>
      <c r="M361" s="23">
        <f>VLOOKUP(J361,Vertices!$A$11:$J$203,9,FALSE )-$E$7</f>
        <v>-36.020000000000003</v>
      </c>
      <c r="N361" s="16">
        <f t="shared" si="10"/>
        <v>482.11935399999948</v>
      </c>
      <c r="O361" s="16">
        <f t="shared" si="11"/>
        <v>482.11935399999948</v>
      </c>
    </row>
    <row r="362" spans="1:15" x14ac:dyDescent="0.25">
      <c r="A362">
        <f>Faces!A362</f>
        <v>352</v>
      </c>
      <c r="B362" s="21">
        <f>Faces!B362</f>
        <v>126</v>
      </c>
      <c r="C362" s="22">
        <f>VLOOKUP(B362,Vertices!$A$11:$J$203,7,FALSE )-$C$7</f>
        <v>-10.984999999999999</v>
      </c>
      <c r="D362" s="22">
        <f>VLOOKUP(B362,Vertices!$A$11:$J$203,8,FALSE )-$D$7</f>
        <v>-27.78</v>
      </c>
      <c r="E362" s="23">
        <f>VLOOKUP(B362,Vertices!$A$11:$J$203,9,FALSE )-$E$7</f>
        <v>-35.21</v>
      </c>
      <c r="F362" s="21">
        <f>Faces!C362</f>
        <v>132</v>
      </c>
      <c r="G362" s="22">
        <f>VLOOKUP(F362,Vertices!$A$11:$J$203,7,FALSE )-$C$7</f>
        <v>-11.555</v>
      </c>
      <c r="H362" s="22">
        <f>VLOOKUP(F362,Vertices!$A$11:$J$203,8,FALSE )-$D$7</f>
        <v>-33</v>
      </c>
      <c r="I362" s="23">
        <f>VLOOKUP(F362,Vertices!$A$11:$J$203,9,FALSE )-$E$7</f>
        <v>-24.49</v>
      </c>
      <c r="J362" s="21">
        <f>Faces!D362</f>
        <v>104</v>
      </c>
      <c r="K362" s="22">
        <f>VLOOKUP(J362,Vertices!$A$11:$J$203,7,FALSE )-$C$7</f>
        <v>-3.6149999999999949</v>
      </c>
      <c r="L362" s="22">
        <f>VLOOKUP(J362,Vertices!$A$11:$J$203,8,FALSE )-$D$7</f>
        <v>-35.83</v>
      </c>
      <c r="M362" s="23">
        <f>VLOOKUP(J362,Vertices!$A$11:$J$203,9,FALSE )-$E$7</f>
        <v>-36.020000000000003</v>
      </c>
      <c r="N362" s="16">
        <f t="shared" si="10"/>
        <v>782.08653033333337</v>
      </c>
      <c r="O362" s="16">
        <f t="shared" si="11"/>
        <v>782.08653033333337</v>
      </c>
    </row>
    <row r="363" spans="1:15" x14ac:dyDescent="0.25">
      <c r="A363">
        <f>Faces!A363</f>
        <v>353</v>
      </c>
      <c r="B363" s="21">
        <f>Faces!B363</f>
        <v>104</v>
      </c>
      <c r="C363" s="22">
        <f>VLOOKUP(B363,Vertices!$A$11:$J$203,7,FALSE )-$C$7</f>
        <v>-3.6149999999999949</v>
      </c>
      <c r="D363" s="22">
        <f>VLOOKUP(B363,Vertices!$A$11:$J$203,8,FALSE )-$D$7</f>
        <v>-35.83</v>
      </c>
      <c r="E363" s="23">
        <f>VLOOKUP(B363,Vertices!$A$11:$J$203,9,FALSE )-$E$7</f>
        <v>-36.020000000000003</v>
      </c>
      <c r="F363" s="21">
        <f>Faces!C363</f>
        <v>132</v>
      </c>
      <c r="G363" s="22">
        <f>VLOOKUP(F363,Vertices!$A$11:$J$203,7,FALSE )-$C$7</f>
        <v>-11.555</v>
      </c>
      <c r="H363" s="22">
        <f>VLOOKUP(F363,Vertices!$A$11:$J$203,8,FALSE )-$D$7</f>
        <v>-33</v>
      </c>
      <c r="I363" s="23">
        <f>VLOOKUP(F363,Vertices!$A$11:$J$203,9,FALSE )-$E$7</f>
        <v>-24.49</v>
      </c>
      <c r="J363" s="21">
        <f>Faces!D363</f>
        <v>106</v>
      </c>
      <c r="K363" s="22">
        <f>VLOOKUP(J363,Vertices!$A$11:$J$203,7,FALSE )-$C$7</f>
        <v>-3.9249999999999972</v>
      </c>
      <c r="L363" s="22">
        <f>VLOOKUP(J363,Vertices!$A$11:$J$203,8,FALSE )-$D$7</f>
        <v>-38.93</v>
      </c>
      <c r="M363" s="23">
        <f>VLOOKUP(J363,Vertices!$A$11:$J$203,9,FALSE )-$E$7</f>
        <v>-29.46</v>
      </c>
      <c r="N363" s="16">
        <f t="shared" si="10"/>
        <v>475.45131100000054</v>
      </c>
      <c r="O363" s="16">
        <f t="shared" si="11"/>
        <v>475.45131100000054</v>
      </c>
    </row>
    <row r="364" spans="1:15" x14ac:dyDescent="0.25">
      <c r="A364">
        <f>Faces!A364</f>
        <v>354</v>
      </c>
      <c r="B364" s="21">
        <f>Faces!B364</f>
        <v>106</v>
      </c>
      <c r="C364" s="22">
        <f>VLOOKUP(B364,Vertices!$A$11:$J$203,7,FALSE )-$C$7</f>
        <v>-3.9249999999999972</v>
      </c>
      <c r="D364" s="22">
        <f>VLOOKUP(B364,Vertices!$A$11:$J$203,8,FALSE )-$D$7</f>
        <v>-38.93</v>
      </c>
      <c r="E364" s="23">
        <f>VLOOKUP(B364,Vertices!$A$11:$J$203,9,FALSE )-$E$7</f>
        <v>-29.46</v>
      </c>
      <c r="F364" s="21">
        <f>Faces!C364</f>
        <v>132</v>
      </c>
      <c r="G364" s="22">
        <f>VLOOKUP(F364,Vertices!$A$11:$J$203,7,FALSE )-$C$7</f>
        <v>-11.555</v>
      </c>
      <c r="H364" s="22">
        <f>VLOOKUP(F364,Vertices!$A$11:$J$203,8,FALSE )-$D$7</f>
        <v>-33</v>
      </c>
      <c r="I364" s="23">
        <f>VLOOKUP(F364,Vertices!$A$11:$J$203,9,FALSE )-$E$7</f>
        <v>-24.49</v>
      </c>
      <c r="J364" s="21">
        <f>Faces!D364</f>
        <v>134</v>
      </c>
      <c r="K364" s="22">
        <f>VLOOKUP(J364,Vertices!$A$11:$J$203,7,FALSE )-$C$7</f>
        <v>-12.195</v>
      </c>
      <c r="L364" s="22">
        <f>VLOOKUP(J364,Vertices!$A$11:$J$203,8,FALSE )-$D$7</f>
        <v>-37.340000000000003</v>
      </c>
      <c r="M364" s="23">
        <f>VLOOKUP(J364,Vertices!$A$11:$J$203,9,FALSE )-$E$7</f>
        <v>-13.75</v>
      </c>
      <c r="N364" s="16">
        <f t="shared" si="10"/>
        <v>748.05426600000044</v>
      </c>
      <c r="O364" s="16">
        <f t="shared" si="11"/>
        <v>748.05426600000044</v>
      </c>
    </row>
    <row r="365" spans="1:15" x14ac:dyDescent="0.25">
      <c r="A365">
        <f>Faces!A365</f>
        <v>355</v>
      </c>
      <c r="B365" s="21">
        <f>Faces!B365</f>
        <v>106</v>
      </c>
      <c r="C365" s="22">
        <f>VLOOKUP(B365,Vertices!$A$11:$J$203,7,FALSE )-$C$7</f>
        <v>-3.9249999999999972</v>
      </c>
      <c r="D365" s="22">
        <f>VLOOKUP(B365,Vertices!$A$11:$J$203,8,FALSE )-$D$7</f>
        <v>-38.93</v>
      </c>
      <c r="E365" s="23">
        <f>VLOOKUP(B365,Vertices!$A$11:$J$203,9,FALSE )-$E$7</f>
        <v>-29.46</v>
      </c>
      <c r="F365" s="21">
        <f>Faces!C365</f>
        <v>134</v>
      </c>
      <c r="G365" s="22">
        <f>VLOOKUP(F365,Vertices!$A$11:$J$203,7,FALSE )-$C$7</f>
        <v>-12.195</v>
      </c>
      <c r="H365" s="22">
        <f>VLOOKUP(F365,Vertices!$A$11:$J$203,8,FALSE )-$D$7</f>
        <v>-37.340000000000003</v>
      </c>
      <c r="I365" s="23">
        <f>VLOOKUP(F365,Vertices!$A$11:$J$203,9,FALSE )-$E$7</f>
        <v>-13.75</v>
      </c>
      <c r="J365" s="21">
        <f>Faces!D365</f>
        <v>108</v>
      </c>
      <c r="K365" s="22">
        <f>VLOOKUP(J365,Vertices!$A$11:$J$203,7,FALSE )-$C$7</f>
        <v>-4.7250000000000014</v>
      </c>
      <c r="L365" s="22">
        <f>VLOOKUP(J365,Vertices!$A$11:$J$203,8,FALSE )-$D$7</f>
        <v>-44.89</v>
      </c>
      <c r="M365" s="23">
        <f>VLOOKUP(J365,Vertices!$A$11:$J$203,9,FALSE )-$E$7</f>
        <v>-16.27</v>
      </c>
      <c r="N365" s="16">
        <f t="shared" si="10"/>
        <v>949.43587391666676</v>
      </c>
      <c r="O365" s="16">
        <f t="shared" si="11"/>
        <v>949.43587391666676</v>
      </c>
    </row>
    <row r="366" spans="1:15" x14ac:dyDescent="0.25">
      <c r="A366">
        <f>Faces!A366</f>
        <v>356</v>
      </c>
      <c r="B366" s="21">
        <f>Faces!B366</f>
        <v>108</v>
      </c>
      <c r="C366" s="22">
        <f>VLOOKUP(B366,Vertices!$A$11:$J$203,7,FALSE )-$C$7</f>
        <v>-4.7250000000000014</v>
      </c>
      <c r="D366" s="22">
        <f>VLOOKUP(B366,Vertices!$A$11:$J$203,8,FALSE )-$D$7</f>
        <v>-44.89</v>
      </c>
      <c r="E366" s="23">
        <f>VLOOKUP(B366,Vertices!$A$11:$J$203,9,FALSE )-$E$7</f>
        <v>-16.27</v>
      </c>
      <c r="F366" s="21">
        <f>Faces!C366</f>
        <v>134</v>
      </c>
      <c r="G366" s="22">
        <f>VLOOKUP(F366,Vertices!$A$11:$J$203,7,FALSE )-$C$7</f>
        <v>-12.195</v>
      </c>
      <c r="H366" s="22">
        <f>VLOOKUP(F366,Vertices!$A$11:$J$203,8,FALSE )-$D$7</f>
        <v>-37.340000000000003</v>
      </c>
      <c r="I366" s="23">
        <f>VLOOKUP(F366,Vertices!$A$11:$J$203,9,FALSE )-$E$7</f>
        <v>-13.75</v>
      </c>
      <c r="J366" s="21">
        <f>Faces!D366</f>
        <v>136</v>
      </c>
      <c r="K366" s="22">
        <f>VLOOKUP(J366,Vertices!$A$11:$J$203,7,FALSE )-$C$7</f>
        <v>-12.964999999999996</v>
      </c>
      <c r="L366" s="22">
        <f>VLOOKUP(J366,Vertices!$A$11:$J$203,8,FALSE )-$D$7</f>
        <v>-43.3</v>
      </c>
      <c r="M366" s="23">
        <f>VLOOKUP(J366,Vertices!$A$11:$J$203,9,FALSE )-$E$7</f>
        <v>3.14</v>
      </c>
      <c r="N366" s="16">
        <f t="shared" si="10"/>
        <v>1178.1718929166664</v>
      </c>
      <c r="O366" s="16">
        <f t="shared" si="11"/>
        <v>1178.1718929166664</v>
      </c>
    </row>
    <row r="367" spans="1:15" x14ac:dyDescent="0.25">
      <c r="A367">
        <f>Faces!A367</f>
        <v>357</v>
      </c>
      <c r="B367" s="21">
        <f>Faces!B367</f>
        <v>108</v>
      </c>
      <c r="C367" s="22">
        <f>VLOOKUP(B367,Vertices!$A$11:$J$203,7,FALSE )-$C$7</f>
        <v>-4.7250000000000014</v>
      </c>
      <c r="D367" s="22">
        <f>VLOOKUP(B367,Vertices!$A$11:$J$203,8,FALSE )-$D$7</f>
        <v>-44.89</v>
      </c>
      <c r="E367" s="23">
        <f>VLOOKUP(B367,Vertices!$A$11:$J$203,9,FALSE )-$E$7</f>
        <v>-16.27</v>
      </c>
      <c r="F367" s="21">
        <f>Faces!C367</f>
        <v>136</v>
      </c>
      <c r="G367" s="22">
        <f>VLOOKUP(F367,Vertices!$A$11:$J$203,7,FALSE )-$C$7</f>
        <v>-12.964999999999996</v>
      </c>
      <c r="H367" s="22">
        <f>VLOOKUP(F367,Vertices!$A$11:$J$203,8,FALSE )-$D$7</f>
        <v>-43.3</v>
      </c>
      <c r="I367" s="23">
        <f>VLOOKUP(F367,Vertices!$A$11:$J$203,9,FALSE )-$E$7</f>
        <v>3.14</v>
      </c>
      <c r="J367" s="21">
        <f>Faces!D367</f>
        <v>110</v>
      </c>
      <c r="K367" s="22">
        <f>VLOOKUP(J367,Vertices!$A$11:$J$203,7,FALSE )-$C$7</f>
        <v>-5.9450000000000003</v>
      </c>
      <c r="L367" s="22">
        <f>VLOOKUP(J367,Vertices!$A$11:$J$203,8,FALSE )-$D$7</f>
        <v>-51.97</v>
      </c>
      <c r="M367" s="23">
        <f>VLOOKUP(J367,Vertices!$A$11:$J$203,9,FALSE )-$E$7</f>
        <v>3.91</v>
      </c>
      <c r="N367" s="16">
        <f t="shared" si="10"/>
        <v>1363.8530041666661</v>
      </c>
      <c r="O367" s="16">
        <f t="shared" si="11"/>
        <v>1363.8530041666661</v>
      </c>
    </row>
    <row r="368" spans="1:15" x14ac:dyDescent="0.25">
      <c r="A368">
        <f>Faces!A368</f>
        <v>358</v>
      </c>
      <c r="B368" s="21">
        <f>Faces!B368</f>
        <v>110</v>
      </c>
      <c r="C368" s="22">
        <f>VLOOKUP(B368,Vertices!$A$11:$J$203,7,FALSE )-$C$7</f>
        <v>-5.9450000000000003</v>
      </c>
      <c r="D368" s="22">
        <f>VLOOKUP(B368,Vertices!$A$11:$J$203,8,FALSE )-$D$7</f>
        <v>-51.97</v>
      </c>
      <c r="E368" s="23">
        <f>VLOOKUP(B368,Vertices!$A$11:$J$203,9,FALSE )-$E$7</f>
        <v>3.91</v>
      </c>
      <c r="F368" s="21">
        <f>Faces!C368</f>
        <v>136</v>
      </c>
      <c r="G368" s="22">
        <f>VLOOKUP(F368,Vertices!$A$11:$J$203,7,FALSE )-$C$7</f>
        <v>-12.964999999999996</v>
      </c>
      <c r="H368" s="22">
        <f>VLOOKUP(F368,Vertices!$A$11:$J$203,8,FALSE )-$D$7</f>
        <v>-43.3</v>
      </c>
      <c r="I368" s="23">
        <f>VLOOKUP(F368,Vertices!$A$11:$J$203,9,FALSE )-$E$7</f>
        <v>3.14</v>
      </c>
      <c r="J368" s="21">
        <f>Faces!D368</f>
        <v>145</v>
      </c>
      <c r="K368" s="22">
        <f>VLOOKUP(J368,Vertices!$A$11:$J$203,7,FALSE )-$C$7</f>
        <v>-13.555</v>
      </c>
      <c r="L368" s="22">
        <f>VLOOKUP(J368,Vertices!$A$11:$J$203,8,FALSE )-$D$7</f>
        <v>-46.57</v>
      </c>
      <c r="M368" s="23">
        <f>VLOOKUP(J368,Vertices!$A$11:$J$203,9,FALSE )-$E$7</f>
        <v>18.61</v>
      </c>
      <c r="N368" s="16">
        <f t="shared" si="10"/>
        <v>1056.694661166666</v>
      </c>
      <c r="O368" s="16">
        <f t="shared" si="11"/>
        <v>1056.694661166666</v>
      </c>
    </row>
    <row r="369" spans="1:15" x14ac:dyDescent="0.25">
      <c r="A369">
        <f>Faces!A369</f>
        <v>359</v>
      </c>
      <c r="B369" s="21">
        <f>Faces!B369</f>
        <v>110</v>
      </c>
      <c r="C369" s="22">
        <f>VLOOKUP(B369,Vertices!$A$11:$J$203,7,FALSE )-$C$7</f>
        <v>-5.9450000000000003</v>
      </c>
      <c r="D369" s="22">
        <f>VLOOKUP(B369,Vertices!$A$11:$J$203,8,FALSE )-$D$7</f>
        <v>-51.97</v>
      </c>
      <c r="E369" s="23">
        <f>VLOOKUP(B369,Vertices!$A$11:$J$203,9,FALSE )-$E$7</f>
        <v>3.91</v>
      </c>
      <c r="F369" s="21">
        <f>Faces!C369</f>
        <v>145</v>
      </c>
      <c r="G369" s="22">
        <f>VLOOKUP(F369,Vertices!$A$11:$J$203,7,FALSE )-$C$7</f>
        <v>-13.555</v>
      </c>
      <c r="H369" s="22">
        <f>VLOOKUP(F369,Vertices!$A$11:$J$203,8,FALSE )-$D$7</f>
        <v>-46.57</v>
      </c>
      <c r="I369" s="23">
        <f>VLOOKUP(F369,Vertices!$A$11:$J$203,9,FALSE )-$E$7</f>
        <v>18.61</v>
      </c>
      <c r="J369" s="21">
        <f>Faces!D369</f>
        <v>121</v>
      </c>
      <c r="K369" s="22">
        <f>VLOOKUP(J369,Vertices!$A$11:$J$203,7,FALSE )-$C$7</f>
        <v>-7.1049999999999969</v>
      </c>
      <c r="L369" s="22">
        <f>VLOOKUP(J369,Vertices!$A$11:$J$203,8,FALSE )-$D$7</f>
        <v>-56.2</v>
      </c>
      <c r="M369" s="23">
        <f>VLOOKUP(J369,Vertices!$A$11:$J$203,9,FALSE )-$E$7</f>
        <v>22.36</v>
      </c>
      <c r="N369" s="16">
        <f t="shared" si="10"/>
        <v>1203.7065845000004</v>
      </c>
      <c r="O369" s="16">
        <f t="shared" si="11"/>
        <v>1203.7065845000004</v>
      </c>
    </row>
    <row r="370" spans="1:15" x14ac:dyDescent="0.25">
      <c r="A370">
        <f>Faces!A370</f>
        <v>360</v>
      </c>
      <c r="B370" s="21">
        <f>Faces!B370</f>
        <v>126</v>
      </c>
      <c r="C370" s="22">
        <f>VLOOKUP(B370,Vertices!$A$11:$J$203,7,FALSE )-$C$7</f>
        <v>-10.984999999999999</v>
      </c>
      <c r="D370" s="22">
        <f>VLOOKUP(B370,Vertices!$A$11:$J$203,8,FALSE )-$D$7</f>
        <v>-27.78</v>
      </c>
      <c r="E370" s="23">
        <f>VLOOKUP(B370,Vertices!$A$11:$J$203,9,FALSE )-$E$7</f>
        <v>-35.21</v>
      </c>
      <c r="F370" s="21">
        <f>Faces!C370</f>
        <v>150</v>
      </c>
      <c r="G370" s="22">
        <f>VLOOKUP(F370,Vertices!$A$11:$J$203,7,FALSE )-$C$7</f>
        <v>-19.384999999999998</v>
      </c>
      <c r="H370" s="22">
        <f>VLOOKUP(F370,Vertices!$A$11:$J$203,8,FALSE )-$D$7</f>
        <v>-22.41</v>
      </c>
      <c r="I370" s="23">
        <f>VLOOKUP(F370,Vertices!$A$11:$J$203,9,FALSE )-$E$7</f>
        <v>-28.05</v>
      </c>
      <c r="J370" s="21">
        <f>Faces!D370</f>
        <v>156</v>
      </c>
      <c r="K370" s="22">
        <f>VLOOKUP(J370,Vertices!$A$11:$J$203,7,FALSE )-$C$7</f>
        <v>-19.794999999999998</v>
      </c>
      <c r="L370" s="22">
        <f>VLOOKUP(J370,Vertices!$A$11:$J$203,8,FALSE )-$D$7</f>
        <v>-26.5</v>
      </c>
      <c r="M370" s="23">
        <f>VLOOKUP(J370,Vertices!$A$11:$J$203,9,FALSE )-$E$7</f>
        <v>-19.53</v>
      </c>
      <c r="N370" s="16">
        <f t="shared" si="10"/>
        <v>669.68065616666661</v>
      </c>
      <c r="O370" s="16">
        <f t="shared" si="11"/>
        <v>669.68065616666661</v>
      </c>
    </row>
    <row r="371" spans="1:15" x14ac:dyDescent="0.25">
      <c r="A371">
        <f>Faces!A371</f>
        <v>361</v>
      </c>
      <c r="B371" s="21">
        <f>Faces!B371</f>
        <v>126</v>
      </c>
      <c r="C371" s="22">
        <f>VLOOKUP(B371,Vertices!$A$11:$J$203,7,FALSE )-$C$7</f>
        <v>-10.984999999999999</v>
      </c>
      <c r="D371" s="22">
        <f>VLOOKUP(B371,Vertices!$A$11:$J$203,8,FALSE )-$D$7</f>
        <v>-27.78</v>
      </c>
      <c r="E371" s="23">
        <f>VLOOKUP(B371,Vertices!$A$11:$J$203,9,FALSE )-$E$7</f>
        <v>-35.21</v>
      </c>
      <c r="F371" s="21">
        <f>Faces!C371</f>
        <v>156</v>
      </c>
      <c r="G371" s="22">
        <f>VLOOKUP(F371,Vertices!$A$11:$J$203,7,FALSE )-$C$7</f>
        <v>-19.794999999999998</v>
      </c>
      <c r="H371" s="22">
        <f>VLOOKUP(F371,Vertices!$A$11:$J$203,8,FALSE )-$D$7</f>
        <v>-26.5</v>
      </c>
      <c r="I371" s="23">
        <f>VLOOKUP(F371,Vertices!$A$11:$J$203,9,FALSE )-$E$7</f>
        <v>-19.53</v>
      </c>
      <c r="J371" s="21">
        <f>Faces!D371</f>
        <v>132</v>
      </c>
      <c r="K371" s="22">
        <f>VLOOKUP(J371,Vertices!$A$11:$J$203,7,FALSE )-$C$7</f>
        <v>-11.555</v>
      </c>
      <c r="L371" s="22">
        <f>VLOOKUP(J371,Vertices!$A$11:$J$203,8,FALSE )-$D$7</f>
        <v>-33</v>
      </c>
      <c r="M371" s="23">
        <f>VLOOKUP(J371,Vertices!$A$11:$J$203,9,FALSE )-$E$7</f>
        <v>-24.49</v>
      </c>
      <c r="N371" s="16">
        <f t="shared" si="10"/>
        <v>845.02148966666607</v>
      </c>
      <c r="O371" s="16">
        <f t="shared" si="11"/>
        <v>845.02148966666607</v>
      </c>
    </row>
    <row r="372" spans="1:15" x14ac:dyDescent="0.25">
      <c r="A372">
        <f>Faces!A372</f>
        <v>362</v>
      </c>
      <c r="B372" s="21">
        <f>Faces!B372</f>
        <v>132</v>
      </c>
      <c r="C372" s="22">
        <f>VLOOKUP(B372,Vertices!$A$11:$J$203,7,FALSE )-$C$7</f>
        <v>-11.555</v>
      </c>
      <c r="D372" s="22">
        <f>VLOOKUP(B372,Vertices!$A$11:$J$203,8,FALSE )-$D$7</f>
        <v>-33</v>
      </c>
      <c r="E372" s="23">
        <f>VLOOKUP(B372,Vertices!$A$11:$J$203,9,FALSE )-$E$7</f>
        <v>-24.49</v>
      </c>
      <c r="F372" s="21">
        <f>Faces!C372</f>
        <v>156</v>
      </c>
      <c r="G372" s="22">
        <f>VLOOKUP(F372,Vertices!$A$11:$J$203,7,FALSE )-$C$7</f>
        <v>-19.794999999999998</v>
      </c>
      <c r="H372" s="22">
        <f>VLOOKUP(F372,Vertices!$A$11:$J$203,8,FALSE )-$D$7</f>
        <v>-26.5</v>
      </c>
      <c r="I372" s="23">
        <f>VLOOKUP(F372,Vertices!$A$11:$J$203,9,FALSE )-$E$7</f>
        <v>-19.53</v>
      </c>
      <c r="J372" s="21">
        <f>Faces!D372</f>
        <v>158</v>
      </c>
      <c r="K372" s="22">
        <f>VLOOKUP(J372,Vertices!$A$11:$J$203,7,FALSE )-$C$7</f>
        <v>-20.084999999999997</v>
      </c>
      <c r="L372" s="22">
        <f>VLOOKUP(J372,Vertices!$A$11:$J$203,8,FALSE )-$D$7</f>
        <v>-29.74</v>
      </c>
      <c r="M372" s="23">
        <f>VLOOKUP(J372,Vertices!$A$11:$J$203,9,FALSE )-$E$7</f>
        <v>-11.06</v>
      </c>
      <c r="N372" s="16">
        <f t="shared" si="10"/>
        <v>629.58951183333318</v>
      </c>
      <c r="O372" s="16">
        <f t="shared" si="11"/>
        <v>629.58951183333318</v>
      </c>
    </row>
    <row r="373" spans="1:15" x14ac:dyDescent="0.25">
      <c r="A373">
        <f>Faces!A373</f>
        <v>363</v>
      </c>
      <c r="B373" s="21">
        <f>Faces!B373</f>
        <v>132</v>
      </c>
      <c r="C373" s="22">
        <f>VLOOKUP(B373,Vertices!$A$11:$J$203,7,FALSE )-$C$7</f>
        <v>-11.555</v>
      </c>
      <c r="D373" s="22">
        <f>VLOOKUP(B373,Vertices!$A$11:$J$203,8,FALSE )-$D$7</f>
        <v>-33</v>
      </c>
      <c r="E373" s="23">
        <f>VLOOKUP(B373,Vertices!$A$11:$J$203,9,FALSE )-$E$7</f>
        <v>-24.49</v>
      </c>
      <c r="F373" s="21">
        <f>Faces!C373</f>
        <v>158</v>
      </c>
      <c r="G373" s="22">
        <f>VLOOKUP(F373,Vertices!$A$11:$J$203,7,FALSE )-$C$7</f>
        <v>-20.084999999999997</v>
      </c>
      <c r="H373" s="22">
        <f>VLOOKUP(F373,Vertices!$A$11:$J$203,8,FALSE )-$D$7</f>
        <v>-29.74</v>
      </c>
      <c r="I373" s="23">
        <f>VLOOKUP(F373,Vertices!$A$11:$J$203,9,FALSE )-$E$7</f>
        <v>-11.06</v>
      </c>
      <c r="J373" s="21">
        <f>Faces!D373</f>
        <v>134</v>
      </c>
      <c r="K373" s="22">
        <f>VLOOKUP(J373,Vertices!$A$11:$J$203,7,FALSE )-$C$7</f>
        <v>-12.195</v>
      </c>
      <c r="L373" s="22">
        <f>VLOOKUP(J373,Vertices!$A$11:$J$203,8,FALSE )-$D$7</f>
        <v>-37.340000000000003</v>
      </c>
      <c r="M373" s="23">
        <f>VLOOKUP(J373,Vertices!$A$11:$J$203,9,FALSE )-$E$7</f>
        <v>-13.75</v>
      </c>
      <c r="N373" s="16">
        <f t="shared" si="10"/>
        <v>795.89115950000053</v>
      </c>
      <c r="O373" s="16">
        <f t="shared" si="11"/>
        <v>795.89115950000053</v>
      </c>
    </row>
    <row r="374" spans="1:15" x14ac:dyDescent="0.25">
      <c r="A374">
        <f>Faces!A374</f>
        <v>364</v>
      </c>
      <c r="B374" s="21">
        <f>Faces!B374</f>
        <v>134</v>
      </c>
      <c r="C374" s="22">
        <f>VLOOKUP(B374,Vertices!$A$11:$J$203,7,FALSE )-$C$7</f>
        <v>-12.195</v>
      </c>
      <c r="D374" s="22">
        <f>VLOOKUP(B374,Vertices!$A$11:$J$203,8,FALSE )-$D$7</f>
        <v>-37.340000000000003</v>
      </c>
      <c r="E374" s="23">
        <f>VLOOKUP(B374,Vertices!$A$11:$J$203,9,FALSE )-$E$7</f>
        <v>-13.75</v>
      </c>
      <c r="F374" s="21">
        <f>Faces!C374</f>
        <v>158</v>
      </c>
      <c r="G374" s="22">
        <f>VLOOKUP(F374,Vertices!$A$11:$J$203,7,FALSE )-$C$7</f>
        <v>-20.084999999999997</v>
      </c>
      <c r="H374" s="22">
        <f>VLOOKUP(F374,Vertices!$A$11:$J$203,8,FALSE )-$D$7</f>
        <v>-29.74</v>
      </c>
      <c r="I374" s="23">
        <f>VLOOKUP(F374,Vertices!$A$11:$J$203,9,FALSE )-$E$7</f>
        <v>-11.06</v>
      </c>
      <c r="J374" s="21">
        <f>Faces!D374</f>
        <v>160</v>
      </c>
      <c r="K374" s="22">
        <f>VLOOKUP(J374,Vertices!$A$11:$J$203,7,FALSE )-$C$7</f>
        <v>-20.404999999999998</v>
      </c>
      <c r="L374" s="22">
        <f>VLOOKUP(J374,Vertices!$A$11:$J$203,8,FALSE )-$D$7</f>
        <v>-34.39</v>
      </c>
      <c r="M374" s="23">
        <f>VLOOKUP(J374,Vertices!$A$11:$J$203,9,FALSE )-$E$7</f>
        <v>2.31</v>
      </c>
      <c r="N374" s="16">
        <f t="shared" si="10"/>
        <v>972.73909375000005</v>
      </c>
      <c r="O374" s="16">
        <f t="shared" si="11"/>
        <v>972.73909375000005</v>
      </c>
    </row>
    <row r="375" spans="1:15" x14ac:dyDescent="0.25">
      <c r="A375">
        <f>Faces!A375</f>
        <v>365</v>
      </c>
      <c r="B375" s="21">
        <f>Faces!B375</f>
        <v>134</v>
      </c>
      <c r="C375" s="22">
        <f>VLOOKUP(B375,Vertices!$A$11:$J$203,7,FALSE )-$C$7</f>
        <v>-12.195</v>
      </c>
      <c r="D375" s="22">
        <f>VLOOKUP(B375,Vertices!$A$11:$J$203,8,FALSE )-$D$7</f>
        <v>-37.340000000000003</v>
      </c>
      <c r="E375" s="23">
        <f>VLOOKUP(B375,Vertices!$A$11:$J$203,9,FALSE )-$E$7</f>
        <v>-13.75</v>
      </c>
      <c r="F375" s="21">
        <f>Faces!C375</f>
        <v>160</v>
      </c>
      <c r="G375" s="22">
        <f>VLOOKUP(F375,Vertices!$A$11:$J$203,7,FALSE )-$C$7</f>
        <v>-20.404999999999998</v>
      </c>
      <c r="H375" s="22">
        <f>VLOOKUP(F375,Vertices!$A$11:$J$203,8,FALSE )-$D$7</f>
        <v>-34.39</v>
      </c>
      <c r="I375" s="23">
        <f>VLOOKUP(F375,Vertices!$A$11:$J$203,9,FALSE )-$E$7</f>
        <v>2.31</v>
      </c>
      <c r="J375" s="21">
        <f>Faces!D375</f>
        <v>136</v>
      </c>
      <c r="K375" s="22">
        <f>VLOOKUP(J375,Vertices!$A$11:$J$203,7,FALSE )-$C$7</f>
        <v>-12.964999999999996</v>
      </c>
      <c r="L375" s="22">
        <f>VLOOKUP(J375,Vertices!$A$11:$J$203,8,FALSE )-$D$7</f>
        <v>-43.3</v>
      </c>
      <c r="M375" s="23">
        <f>VLOOKUP(J375,Vertices!$A$11:$J$203,9,FALSE )-$E$7</f>
        <v>3.14</v>
      </c>
      <c r="N375" s="16">
        <f t="shared" si="10"/>
        <v>1199.1681445833328</v>
      </c>
      <c r="O375" s="16">
        <f t="shared" si="11"/>
        <v>1199.1681445833328</v>
      </c>
    </row>
    <row r="376" spans="1:15" x14ac:dyDescent="0.25">
      <c r="A376">
        <f>Faces!A376</f>
        <v>366</v>
      </c>
      <c r="B376" s="21">
        <f>Faces!B376</f>
        <v>136</v>
      </c>
      <c r="C376" s="22">
        <f>VLOOKUP(B376,Vertices!$A$11:$J$203,7,FALSE )-$C$7</f>
        <v>-12.964999999999996</v>
      </c>
      <c r="D376" s="22">
        <f>VLOOKUP(B376,Vertices!$A$11:$J$203,8,FALSE )-$D$7</f>
        <v>-43.3</v>
      </c>
      <c r="E376" s="23">
        <f>VLOOKUP(B376,Vertices!$A$11:$J$203,9,FALSE )-$E$7</f>
        <v>3.14</v>
      </c>
      <c r="F376" s="21">
        <f>Faces!C376</f>
        <v>160</v>
      </c>
      <c r="G376" s="22">
        <f>VLOOKUP(F376,Vertices!$A$11:$J$203,7,FALSE )-$C$7</f>
        <v>-20.404999999999998</v>
      </c>
      <c r="H376" s="22">
        <f>VLOOKUP(F376,Vertices!$A$11:$J$203,8,FALSE )-$D$7</f>
        <v>-34.39</v>
      </c>
      <c r="I376" s="23">
        <f>VLOOKUP(F376,Vertices!$A$11:$J$203,9,FALSE )-$E$7</f>
        <v>2.31</v>
      </c>
      <c r="J376" s="21">
        <f>Faces!D376</f>
        <v>169</v>
      </c>
      <c r="K376" s="22">
        <f>VLOOKUP(J376,Vertices!$A$11:$J$203,7,FALSE )-$C$7</f>
        <v>-20.524999999999999</v>
      </c>
      <c r="L376" s="22">
        <f>VLOOKUP(J376,Vertices!$A$11:$J$203,8,FALSE )-$D$7</f>
        <v>-36.82</v>
      </c>
      <c r="M376" s="23">
        <f>VLOOKUP(J376,Vertices!$A$11:$J$203,9,FALSE )-$E$7</f>
        <v>14.62</v>
      </c>
      <c r="N376" s="16">
        <f t="shared" si="10"/>
        <v>884.2928569999998</v>
      </c>
      <c r="O376" s="16">
        <f t="shared" si="11"/>
        <v>884.2928569999998</v>
      </c>
    </row>
    <row r="377" spans="1:15" x14ac:dyDescent="0.25">
      <c r="A377">
        <f>Faces!A377</f>
        <v>367</v>
      </c>
      <c r="B377" s="21">
        <f>Faces!B377</f>
        <v>136</v>
      </c>
      <c r="C377" s="22">
        <f>VLOOKUP(B377,Vertices!$A$11:$J$203,7,FALSE )-$C$7</f>
        <v>-12.964999999999996</v>
      </c>
      <c r="D377" s="22">
        <f>VLOOKUP(B377,Vertices!$A$11:$J$203,8,FALSE )-$D$7</f>
        <v>-43.3</v>
      </c>
      <c r="E377" s="23">
        <f>VLOOKUP(B377,Vertices!$A$11:$J$203,9,FALSE )-$E$7</f>
        <v>3.14</v>
      </c>
      <c r="F377" s="21">
        <f>Faces!C377</f>
        <v>169</v>
      </c>
      <c r="G377" s="22">
        <f>VLOOKUP(F377,Vertices!$A$11:$J$203,7,FALSE )-$C$7</f>
        <v>-20.524999999999999</v>
      </c>
      <c r="H377" s="22">
        <f>VLOOKUP(F377,Vertices!$A$11:$J$203,8,FALSE )-$D$7</f>
        <v>-36.82</v>
      </c>
      <c r="I377" s="23">
        <f>VLOOKUP(F377,Vertices!$A$11:$J$203,9,FALSE )-$E$7</f>
        <v>14.62</v>
      </c>
      <c r="J377" s="21">
        <f>Faces!D377</f>
        <v>145</v>
      </c>
      <c r="K377" s="22">
        <f>VLOOKUP(J377,Vertices!$A$11:$J$203,7,FALSE )-$C$7</f>
        <v>-13.555</v>
      </c>
      <c r="L377" s="22">
        <f>VLOOKUP(J377,Vertices!$A$11:$J$203,8,FALSE )-$D$7</f>
        <v>-46.57</v>
      </c>
      <c r="M377" s="23">
        <f>VLOOKUP(J377,Vertices!$A$11:$J$203,9,FALSE )-$E$7</f>
        <v>18.61</v>
      </c>
      <c r="N377" s="16">
        <f t="shared" si="10"/>
        <v>1077.9249503333331</v>
      </c>
      <c r="O377" s="16">
        <f t="shared" si="11"/>
        <v>1077.9249503333331</v>
      </c>
    </row>
    <row r="378" spans="1:15" x14ac:dyDescent="0.25">
      <c r="A378">
        <f>Faces!A378</f>
        <v>368</v>
      </c>
      <c r="B378" s="21">
        <f>Faces!B378</f>
        <v>150</v>
      </c>
      <c r="C378" s="22">
        <f>VLOOKUP(B378,Vertices!$A$11:$J$203,7,FALSE )-$C$7</f>
        <v>-19.384999999999998</v>
      </c>
      <c r="D378" s="22">
        <f>VLOOKUP(B378,Vertices!$A$11:$J$203,8,FALSE )-$D$7</f>
        <v>-22.41</v>
      </c>
      <c r="E378" s="23">
        <f>VLOOKUP(B378,Vertices!$A$11:$J$203,9,FALSE )-$E$7</f>
        <v>-28.05</v>
      </c>
      <c r="F378" s="21">
        <f>Faces!C378</f>
        <v>173</v>
      </c>
      <c r="G378" s="22">
        <f>VLOOKUP(F378,Vertices!$A$11:$J$203,7,FALSE )-$C$7</f>
        <v>-29.715</v>
      </c>
      <c r="H378" s="22">
        <f>VLOOKUP(F378,Vertices!$A$11:$J$203,8,FALSE )-$D$7</f>
        <v>-15.31</v>
      </c>
      <c r="I378" s="23">
        <f>VLOOKUP(F378,Vertices!$A$11:$J$203,9,FALSE )-$E$7</f>
        <v>-19.73</v>
      </c>
      <c r="J378" s="21">
        <f>Faces!D378</f>
        <v>156</v>
      </c>
      <c r="K378" s="22">
        <f>VLOOKUP(J378,Vertices!$A$11:$J$203,7,FALSE )-$C$7</f>
        <v>-19.794999999999998</v>
      </c>
      <c r="L378" s="22">
        <f>VLOOKUP(J378,Vertices!$A$11:$J$203,8,FALSE )-$D$7</f>
        <v>-26.5</v>
      </c>
      <c r="M378" s="23">
        <f>VLOOKUP(J378,Vertices!$A$11:$J$203,9,FALSE )-$E$7</f>
        <v>-19.53</v>
      </c>
      <c r="N378" s="16">
        <f t="shared" si="10"/>
        <v>832.48971783333366</v>
      </c>
      <c r="O378" s="16">
        <f t="shared" si="11"/>
        <v>832.48971783333366</v>
      </c>
    </row>
    <row r="379" spans="1:15" x14ac:dyDescent="0.25">
      <c r="A379">
        <f>Faces!A379</f>
        <v>369</v>
      </c>
      <c r="B379" s="21">
        <f>Faces!B379</f>
        <v>156</v>
      </c>
      <c r="C379" s="22">
        <f>VLOOKUP(B379,Vertices!$A$11:$J$203,7,FALSE )-$C$7</f>
        <v>-19.794999999999998</v>
      </c>
      <c r="D379" s="22">
        <f>VLOOKUP(B379,Vertices!$A$11:$J$203,8,FALSE )-$D$7</f>
        <v>-26.5</v>
      </c>
      <c r="E379" s="23">
        <f>VLOOKUP(B379,Vertices!$A$11:$J$203,9,FALSE )-$E$7</f>
        <v>-19.53</v>
      </c>
      <c r="F379" s="21">
        <f>Faces!C379</f>
        <v>173</v>
      </c>
      <c r="G379" s="22">
        <f>VLOOKUP(F379,Vertices!$A$11:$J$203,7,FALSE )-$C$7</f>
        <v>-29.715</v>
      </c>
      <c r="H379" s="22">
        <f>VLOOKUP(F379,Vertices!$A$11:$J$203,8,FALSE )-$D$7</f>
        <v>-15.31</v>
      </c>
      <c r="I379" s="23">
        <f>VLOOKUP(F379,Vertices!$A$11:$J$203,9,FALSE )-$E$7</f>
        <v>-19.73</v>
      </c>
      <c r="J379" s="21">
        <f>Faces!D379</f>
        <v>178</v>
      </c>
      <c r="K379" s="22">
        <f>VLOOKUP(J379,Vertices!$A$11:$J$203,7,FALSE )-$C$7</f>
        <v>-29.884999999999998</v>
      </c>
      <c r="L379" s="22">
        <f>VLOOKUP(J379,Vertices!$A$11:$J$203,8,FALSE )-$D$7</f>
        <v>-20.61</v>
      </c>
      <c r="M379" s="23">
        <f>VLOOKUP(J379,Vertices!$A$11:$J$203,9,FALSE )-$E$7</f>
        <v>-8.32</v>
      </c>
      <c r="N379" s="16">
        <f t="shared" si="10"/>
        <v>1095.1207215833335</v>
      </c>
      <c r="O379" s="16">
        <f t="shared" si="11"/>
        <v>1095.1207215833335</v>
      </c>
    </row>
    <row r="380" spans="1:15" x14ac:dyDescent="0.25">
      <c r="A380">
        <f>Faces!A380</f>
        <v>370</v>
      </c>
      <c r="B380" s="21">
        <f>Faces!B380</f>
        <v>156</v>
      </c>
      <c r="C380" s="22">
        <f>VLOOKUP(B380,Vertices!$A$11:$J$203,7,FALSE )-$C$7</f>
        <v>-19.794999999999998</v>
      </c>
      <c r="D380" s="22">
        <f>VLOOKUP(B380,Vertices!$A$11:$J$203,8,FALSE )-$D$7</f>
        <v>-26.5</v>
      </c>
      <c r="E380" s="23">
        <f>VLOOKUP(B380,Vertices!$A$11:$J$203,9,FALSE )-$E$7</f>
        <v>-19.53</v>
      </c>
      <c r="F380" s="21">
        <f>Faces!C380</f>
        <v>178</v>
      </c>
      <c r="G380" s="22">
        <f>VLOOKUP(F380,Vertices!$A$11:$J$203,7,FALSE )-$C$7</f>
        <v>-29.884999999999998</v>
      </c>
      <c r="H380" s="22">
        <f>VLOOKUP(F380,Vertices!$A$11:$J$203,8,FALSE )-$D$7</f>
        <v>-20.61</v>
      </c>
      <c r="I380" s="23">
        <f>VLOOKUP(F380,Vertices!$A$11:$J$203,9,FALSE )-$E$7</f>
        <v>-8.32</v>
      </c>
      <c r="J380" s="21">
        <f>Faces!D380</f>
        <v>158</v>
      </c>
      <c r="K380" s="22">
        <f>VLOOKUP(J380,Vertices!$A$11:$J$203,7,FALSE )-$C$7</f>
        <v>-20.084999999999997</v>
      </c>
      <c r="L380" s="22">
        <f>VLOOKUP(J380,Vertices!$A$11:$J$203,8,FALSE )-$D$7</f>
        <v>-29.74</v>
      </c>
      <c r="M380" s="23">
        <f>VLOOKUP(J380,Vertices!$A$11:$J$203,9,FALSE )-$E$7</f>
        <v>-11.06</v>
      </c>
      <c r="N380" s="16">
        <f t="shared" si="10"/>
        <v>759.48824291666631</v>
      </c>
      <c r="O380" s="16">
        <f t="shared" si="11"/>
        <v>759.48824291666631</v>
      </c>
    </row>
    <row r="381" spans="1:15" x14ac:dyDescent="0.25">
      <c r="A381">
        <f>Faces!A381</f>
        <v>371</v>
      </c>
      <c r="B381" s="21">
        <f>Faces!B381</f>
        <v>158</v>
      </c>
      <c r="C381" s="22">
        <f>VLOOKUP(B381,Vertices!$A$11:$J$203,7,FALSE )-$C$7</f>
        <v>-20.084999999999997</v>
      </c>
      <c r="D381" s="22">
        <f>VLOOKUP(B381,Vertices!$A$11:$J$203,8,FALSE )-$D$7</f>
        <v>-29.74</v>
      </c>
      <c r="E381" s="23">
        <f>VLOOKUP(B381,Vertices!$A$11:$J$203,9,FALSE )-$E$7</f>
        <v>-11.06</v>
      </c>
      <c r="F381" s="21">
        <f>Faces!C381</f>
        <v>178</v>
      </c>
      <c r="G381" s="22">
        <f>VLOOKUP(F381,Vertices!$A$11:$J$203,7,FALSE )-$C$7</f>
        <v>-29.884999999999998</v>
      </c>
      <c r="H381" s="22">
        <f>VLOOKUP(F381,Vertices!$A$11:$J$203,8,FALSE )-$D$7</f>
        <v>-20.61</v>
      </c>
      <c r="I381" s="23">
        <f>VLOOKUP(F381,Vertices!$A$11:$J$203,9,FALSE )-$E$7</f>
        <v>-8.32</v>
      </c>
      <c r="J381" s="21">
        <f>Faces!D381</f>
        <v>180</v>
      </c>
      <c r="K381" s="22">
        <f>VLOOKUP(J381,Vertices!$A$11:$J$203,7,FALSE )-$C$7</f>
        <v>-29.614999999999998</v>
      </c>
      <c r="L381" s="22">
        <f>VLOOKUP(J381,Vertices!$A$11:$J$203,8,FALSE )-$D$7</f>
        <v>-24.34</v>
      </c>
      <c r="M381" s="23">
        <f>VLOOKUP(J381,Vertices!$A$11:$J$203,9,FALSE )-$E$7</f>
        <v>1.1000000000000001</v>
      </c>
      <c r="N381" s="16">
        <f t="shared" si="10"/>
        <v>846.19630566666683</v>
      </c>
      <c r="O381" s="16">
        <f t="shared" si="11"/>
        <v>846.19630566666683</v>
      </c>
    </row>
    <row r="382" spans="1:15" x14ac:dyDescent="0.25">
      <c r="A382">
        <f>Faces!A382</f>
        <v>372</v>
      </c>
      <c r="B382" s="21">
        <f>Faces!B382</f>
        <v>158</v>
      </c>
      <c r="C382" s="22">
        <f>VLOOKUP(B382,Vertices!$A$11:$J$203,7,FALSE )-$C$7</f>
        <v>-20.084999999999997</v>
      </c>
      <c r="D382" s="22">
        <f>VLOOKUP(B382,Vertices!$A$11:$J$203,8,FALSE )-$D$7</f>
        <v>-29.74</v>
      </c>
      <c r="E382" s="23">
        <f>VLOOKUP(B382,Vertices!$A$11:$J$203,9,FALSE )-$E$7</f>
        <v>-11.06</v>
      </c>
      <c r="F382" s="21">
        <f>Faces!C382</f>
        <v>180</v>
      </c>
      <c r="G382" s="22">
        <f>VLOOKUP(F382,Vertices!$A$11:$J$203,7,FALSE )-$C$7</f>
        <v>-29.614999999999998</v>
      </c>
      <c r="H382" s="22">
        <f>VLOOKUP(F382,Vertices!$A$11:$J$203,8,FALSE )-$D$7</f>
        <v>-24.34</v>
      </c>
      <c r="I382" s="23">
        <f>VLOOKUP(F382,Vertices!$A$11:$J$203,9,FALSE )-$E$7</f>
        <v>1.1000000000000001</v>
      </c>
      <c r="J382" s="21">
        <f>Faces!D382</f>
        <v>160</v>
      </c>
      <c r="K382" s="22">
        <f>VLOOKUP(J382,Vertices!$A$11:$J$203,7,FALSE )-$C$7</f>
        <v>-20.404999999999998</v>
      </c>
      <c r="L382" s="22">
        <f>VLOOKUP(J382,Vertices!$A$11:$J$203,8,FALSE )-$D$7</f>
        <v>-34.39</v>
      </c>
      <c r="M382" s="23">
        <f>VLOOKUP(J382,Vertices!$A$11:$J$203,9,FALSE )-$E$7</f>
        <v>2.31</v>
      </c>
      <c r="N382" s="16">
        <f t="shared" si="10"/>
        <v>1128.1072743333332</v>
      </c>
      <c r="O382" s="16">
        <f t="shared" si="11"/>
        <v>1128.1072743333332</v>
      </c>
    </row>
    <row r="383" spans="1:15" x14ac:dyDescent="0.25">
      <c r="A383">
        <f>Faces!A383</f>
        <v>373</v>
      </c>
      <c r="B383" s="21">
        <f>Faces!B383</f>
        <v>160</v>
      </c>
      <c r="C383" s="22">
        <f>VLOOKUP(B383,Vertices!$A$11:$J$203,7,FALSE )-$C$7</f>
        <v>-20.404999999999998</v>
      </c>
      <c r="D383" s="22">
        <f>VLOOKUP(B383,Vertices!$A$11:$J$203,8,FALSE )-$D$7</f>
        <v>-34.39</v>
      </c>
      <c r="E383" s="23">
        <f>VLOOKUP(B383,Vertices!$A$11:$J$203,9,FALSE )-$E$7</f>
        <v>2.31</v>
      </c>
      <c r="F383" s="21">
        <f>Faces!C383</f>
        <v>180</v>
      </c>
      <c r="G383" s="22">
        <f>VLOOKUP(F383,Vertices!$A$11:$J$203,7,FALSE )-$C$7</f>
        <v>-29.614999999999998</v>
      </c>
      <c r="H383" s="22">
        <f>VLOOKUP(F383,Vertices!$A$11:$J$203,8,FALSE )-$D$7</f>
        <v>-24.34</v>
      </c>
      <c r="I383" s="23">
        <f>VLOOKUP(F383,Vertices!$A$11:$J$203,9,FALSE )-$E$7</f>
        <v>1.1000000000000001</v>
      </c>
      <c r="J383" s="21">
        <f>Faces!D383</f>
        <v>187</v>
      </c>
      <c r="K383" s="22">
        <f>VLOOKUP(J383,Vertices!$A$11:$J$203,7,FALSE )-$C$7</f>
        <v>-29.904999999999998</v>
      </c>
      <c r="L383" s="22">
        <f>VLOOKUP(J383,Vertices!$A$11:$J$203,8,FALSE )-$D$7</f>
        <v>-25.5</v>
      </c>
      <c r="M383" s="23">
        <f>VLOOKUP(J383,Vertices!$A$11:$J$203,9,FALSE )-$E$7</f>
        <v>9.39</v>
      </c>
      <c r="N383" s="16">
        <f t="shared" si="10"/>
        <v>712.95920091666676</v>
      </c>
      <c r="O383" s="16">
        <f t="shared" si="11"/>
        <v>712.95920091666676</v>
      </c>
    </row>
    <row r="384" spans="1:15" x14ac:dyDescent="0.25">
      <c r="A384">
        <f>Faces!A384</f>
        <v>374</v>
      </c>
      <c r="B384" s="21">
        <f>Faces!B384</f>
        <v>160</v>
      </c>
      <c r="C384" s="22">
        <f>VLOOKUP(B384,Vertices!$A$11:$J$203,7,FALSE )-$C$7</f>
        <v>-20.404999999999998</v>
      </c>
      <c r="D384" s="22">
        <f>VLOOKUP(B384,Vertices!$A$11:$J$203,8,FALSE )-$D$7</f>
        <v>-34.39</v>
      </c>
      <c r="E384" s="23">
        <f>VLOOKUP(B384,Vertices!$A$11:$J$203,9,FALSE )-$E$7</f>
        <v>2.31</v>
      </c>
      <c r="F384" s="21">
        <f>Faces!C384</f>
        <v>187</v>
      </c>
      <c r="G384" s="22">
        <f>VLOOKUP(F384,Vertices!$A$11:$J$203,7,FALSE )-$C$7</f>
        <v>-29.904999999999998</v>
      </c>
      <c r="H384" s="22">
        <f>VLOOKUP(F384,Vertices!$A$11:$J$203,8,FALSE )-$D$7</f>
        <v>-25.5</v>
      </c>
      <c r="I384" s="23">
        <f>VLOOKUP(F384,Vertices!$A$11:$J$203,9,FALSE )-$E$7</f>
        <v>9.39</v>
      </c>
      <c r="J384" s="21">
        <f>Faces!D384</f>
        <v>169</v>
      </c>
      <c r="K384" s="22">
        <f>VLOOKUP(J384,Vertices!$A$11:$J$203,7,FALSE )-$C$7</f>
        <v>-20.524999999999999</v>
      </c>
      <c r="L384" s="22">
        <f>VLOOKUP(J384,Vertices!$A$11:$J$203,8,FALSE )-$D$7</f>
        <v>-36.82</v>
      </c>
      <c r="M384" s="23">
        <f>VLOOKUP(J384,Vertices!$A$11:$J$203,9,FALSE )-$E$7</f>
        <v>14.62</v>
      </c>
      <c r="N384" s="16">
        <f t="shared" si="10"/>
        <v>1086.8042449166662</v>
      </c>
      <c r="O384" s="16">
        <f t="shared" si="11"/>
        <v>1086.8042449166662</v>
      </c>
    </row>
    <row r="385" spans="1:15" x14ac:dyDescent="0.25">
      <c r="A385">
        <f>Faces!A385</f>
        <v>375</v>
      </c>
      <c r="B385" s="21">
        <f>Faces!B385</f>
        <v>173</v>
      </c>
      <c r="C385" s="22">
        <f>VLOOKUP(B385,Vertices!$A$11:$J$203,7,FALSE )-$C$7</f>
        <v>-29.715</v>
      </c>
      <c r="D385" s="22">
        <f>VLOOKUP(B385,Vertices!$A$11:$J$203,8,FALSE )-$D$7</f>
        <v>-15.31</v>
      </c>
      <c r="E385" s="23">
        <f>VLOOKUP(B385,Vertices!$A$11:$J$203,9,FALSE )-$E$7</f>
        <v>-19.73</v>
      </c>
      <c r="F385" s="21">
        <f>Faces!C385</f>
        <v>189</v>
      </c>
      <c r="G385" s="22">
        <f>VLOOKUP(F385,Vertices!$A$11:$J$203,7,FALSE )-$C$7</f>
        <v>-40.814999999999998</v>
      </c>
      <c r="H385" s="22">
        <f>VLOOKUP(F385,Vertices!$A$11:$J$203,8,FALSE )-$D$7</f>
        <v>-7.57</v>
      </c>
      <c r="I385" s="23">
        <f>VLOOKUP(F385,Vertices!$A$11:$J$203,9,FALSE )-$E$7</f>
        <v>-10.68</v>
      </c>
      <c r="J385" s="21">
        <f>Faces!D385</f>
        <v>178</v>
      </c>
      <c r="K385" s="22">
        <f>VLOOKUP(J385,Vertices!$A$11:$J$203,7,FALSE )-$C$7</f>
        <v>-29.884999999999998</v>
      </c>
      <c r="L385" s="22">
        <f>VLOOKUP(J385,Vertices!$A$11:$J$203,8,FALSE )-$D$7</f>
        <v>-20.61</v>
      </c>
      <c r="M385" s="23">
        <f>VLOOKUP(J385,Vertices!$A$11:$J$203,9,FALSE )-$E$7</f>
        <v>-8.32</v>
      </c>
      <c r="N385" s="16">
        <f t="shared" si="10"/>
        <v>1191.9436108333327</v>
      </c>
      <c r="O385" s="16">
        <f t="shared" si="11"/>
        <v>1191.9436108333327</v>
      </c>
    </row>
    <row r="386" spans="1:15" x14ac:dyDescent="0.25">
      <c r="A386">
        <f>Faces!A386</f>
        <v>376</v>
      </c>
      <c r="B386" s="21">
        <f>Faces!B386</f>
        <v>178</v>
      </c>
      <c r="C386" s="22">
        <f>VLOOKUP(B386,Vertices!$A$11:$J$203,7,FALSE )-$C$7</f>
        <v>-29.884999999999998</v>
      </c>
      <c r="D386" s="22">
        <f>VLOOKUP(B386,Vertices!$A$11:$J$203,8,FALSE )-$D$7</f>
        <v>-20.61</v>
      </c>
      <c r="E386" s="23">
        <f>VLOOKUP(B386,Vertices!$A$11:$J$203,9,FALSE )-$E$7</f>
        <v>-8.32</v>
      </c>
      <c r="F386" s="21">
        <f>Faces!C386</f>
        <v>189</v>
      </c>
      <c r="G386" s="22">
        <f>VLOOKUP(F386,Vertices!$A$11:$J$203,7,FALSE )-$C$7</f>
        <v>-40.814999999999998</v>
      </c>
      <c r="H386" s="22">
        <f>VLOOKUP(F386,Vertices!$A$11:$J$203,8,FALSE )-$D$7</f>
        <v>-7.57</v>
      </c>
      <c r="I386" s="23">
        <f>VLOOKUP(F386,Vertices!$A$11:$J$203,9,FALSE )-$E$7</f>
        <v>-10.68</v>
      </c>
      <c r="J386" s="21">
        <f>Faces!D386</f>
        <v>193</v>
      </c>
      <c r="K386" s="22">
        <f>VLOOKUP(J386,Vertices!$A$11:$J$203,7,FALSE )-$C$7</f>
        <v>-40.134999999999998</v>
      </c>
      <c r="L386" s="22">
        <f>VLOOKUP(J386,Vertices!$A$11:$J$203,8,FALSE )-$D$7</f>
        <v>-13.43</v>
      </c>
      <c r="M386" s="23">
        <f>VLOOKUP(J386,Vertices!$A$11:$J$203,9,FALSE )-$E$7</f>
        <v>3.66</v>
      </c>
      <c r="N386" s="16">
        <f t="shared" si="10"/>
        <v>1471.897254333333</v>
      </c>
      <c r="O386" s="16">
        <f t="shared" si="11"/>
        <v>1471.897254333333</v>
      </c>
    </row>
    <row r="387" spans="1:15" x14ac:dyDescent="0.25">
      <c r="A387">
        <f>Faces!A387</f>
        <v>377</v>
      </c>
      <c r="B387" s="21">
        <f>Faces!B387</f>
        <v>178</v>
      </c>
      <c r="C387" s="22">
        <f>VLOOKUP(B387,Vertices!$A$11:$J$203,7,FALSE )-$C$7</f>
        <v>-29.884999999999998</v>
      </c>
      <c r="D387" s="22">
        <f>VLOOKUP(B387,Vertices!$A$11:$J$203,8,FALSE )-$D$7</f>
        <v>-20.61</v>
      </c>
      <c r="E387" s="23">
        <f>VLOOKUP(B387,Vertices!$A$11:$J$203,9,FALSE )-$E$7</f>
        <v>-8.32</v>
      </c>
      <c r="F387" s="21">
        <f>Faces!C387</f>
        <v>193</v>
      </c>
      <c r="G387" s="22">
        <f>VLOOKUP(F387,Vertices!$A$11:$J$203,7,FALSE )-$C$7</f>
        <v>-40.134999999999998</v>
      </c>
      <c r="H387" s="22">
        <f>VLOOKUP(F387,Vertices!$A$11:$J$203,8,FALSE )-$D$7</f>
        <v>-13.43</v>
      </c>
      <c r="I387" s="23">
        <f>VLOOKUP(F387,Vertices!$A$11:$J$203,9,FALSE )-$E$7</f>
        <v>3.66</v>
      </c>
      <c r="J387" s="21">
        <f>Faces!D387</f>
        <v>180</v>
      </c>
      <c r="K387" s="22">
        <f>VLOOKUP(J387,Vertices!$A$11:$J$203,7,FALSE )-$C$7</f>
        <v>-29.614999999999998</v>
      </c>
      <c r="L387" s="22">
        <f>VLOOKUP(J387,Vertices!$A$11:$J$203,8,FALSE )-$D$7</f>
        <v>-24.34</v>
      </c>
      <c r="M387" s="23">
        <f>VLOOKUP(J387,Vertices!$A$11:$J$203,9,FALSE )-$E$7</f>
        <v>1.1000000000000001</v>
      </c>
      <c r="N387" s="16">
        <f t="shared" si="10"/>
        <v>952.55699816666674</v>
      </c>
      <c r="O387" s="16">
        <f t="shared" si="11"/>
        <v>952.55699816666674</v>
      </c>
    </row>
    <row r="388" spans="1:15" x14ac:dyDescent="0.25">
      <c r="A388">
        <f>Faces!A388</f>
        <v>378</v>
      </c>
      <c r="B388" s="21">
        <f>Faces!B388</f>
        <v>180</v>
      </c>
      <c r="C388" s="22">
        <f>VLOOKUP(B388,Vertices!$A$11:$J$203,7,FALSE )-$C$7</f>
        <v>-29.614999999999998</v>
      </c>
      <c r="D388" s="22">
        <f>VLOOKUP(B388,Vertices!$A$11:$J$203,8,FALSE )-$D$7</f>
        <v>-24.34</v>
      </c>
      <c r="E388" s="23">
        <f>VLOOKUP(B388,Vertices!$A$11:$J$203,9,FALSE )-$E$7</f>
        <v>1.1000000000000001</v>
      </c>
      <c r="F388" s="21">
        <f>Faces!C388</f>
        <v>193</v>
      </c>
      <c r="G388" s="22">
        <f>VLOOKUP(F388,Vertices!$A$11:$J$203,7,FALSE )-$C$7</f>
        <v>-40.134999999999998</v>
      </c>
      <c r="H388" s="22">
        <f>VLOOKUP(F388,Vertices!$A$11:$J$203,8,FALSE )-$D$7</f>
        <v>-13.43</v>
      </c>
      <c r="I388" s="23">
        <f>VLOOKUP(F388,Vertices!$A$11:$J$203,9,FALSE )-$E$7</f>
        <v>3.66</v>
      </c>
      <c r="J388" s="21">
        <f>Faces!D388</f>
        <v>187</v>
      </c>
      <c r="K388" s="22">
        <f>VLOOKUP(J388,Vertices!$A$11:$J$203,7,FALSE )-$C$7</f>
        <v>-29.904999999999998</v>
      </c>
      <c r="L388" s="22">
        <f>VLOOKUP(J388,Vertices!$A$11:$J$203,8,FALSE )-$D$7</f>
        <v>-25.5</v>
      </c>
      <c r="M388" s="23">
        <f>VLOOKUP(J388,Vertices!$A$11:$J$203,9,FALSE )-$E$7</f>
        <v>9.39</v>
      </c>
      <c r="N388" s="16">
        <f t="shared" si="10"/>
        <v>809.02964141666678</v>
      </c>
      <c r="O388" s="16">
        <f t="shared" si="11"/>
        <v>809.02964141666678</v>
      </c>
    </row>
    <row r="389" spans="1:15" x14ac:dyDescent="0.25">
      <c r="A389">
        <f>Faces!A389</f>
        <v>379</v>
      </c>
      <c r="B389" s="21">
        <f>Faces!B389</f>
        <v>193</v>
      </c>
      <c r="C389" s="22">
        <f>VLOOKUP(B389,Vertices!$A$11:$J$203,7,FALSE )-$C$7</f>
        <v>-40.134999999999998</v>
      </c>
      <c r="D389" s="22">
        <f>VLOOKUP(B389,Vertices!$A$11:$J$203,8,FALSE )-$D$7</f>
        <v>-13.43</v>
      </c>
      <c r="E389" s="23">
        <f>VLOOKUP(B389,Vertices!$A$11:$J$203,9,FALSE )-$E$7</f>
        <v>3.66</v>
      </c>
      <c r="F389" s="21">
        <f>Faces!C389</f>
        <v>189</v>
      </c>
      <c r="G389" s="22">
        <f>VLOOKUP(F389,Vertices!$A$11:$J$203,7,FALSE )-$C$7</f>
        <v>-40.814999999999998</v>
      </c>
      <c r="H389" s="22">
        <f>VLOOKUP(F389,Vertices!$A$11:$J$203,8,FALSE )-$D$7</f>
        <v>-7.57</v>
      </c>
      <c r="I389" s="23">
        <f>VLOOKUP(F389,Vertices!$A$11:$J$203,9,FALSE )-$E$7</f>
        <v>-10.68</v>
      </c>
      <c r="J389" s="21">
        <f>Faces!D389</f>
        <v>190</v>
      </c>
      <c r="K389" s="22">
        <f>VLOOKUP(J389,Vertices!$A$11:$J$203,7,FALSE )-$C$7</f>
        <v>-43.545000000000002</v>
      </c>
      <c r="L389" s="22">
        <f>VLOOKUP(J389,Vertices!$A$11:$J$203,8,FALSE )-$D$7</f>
        <v>6.23</v>
      </c>
      <c r="M389" s="23">
        <f>VLOOKUP(J389,Vertices!$A$11:$J$203,9,FALSE )-$E$7</f>
        <v>-4.82</v>
      </c>
      <c r="N389" s="16">
        <f t="shared" si="10"/>
        <v>1645.9474913333336</v>
      </c>
      <c r="O389" s="16">
        <f t="shared" si="11"/>
        <v>1645.9474913333336</v>
      </c>
    </row>
    <row r="390" spans="1:15" x14ac:dyDescent="0.25">
      <c r="A390">
        <f>Faces!A390</f>
        <v>380</v>
      </c>
      <c r="B390" s="21">
        <f>Faces!B390</f>
        <v>193</v>
      </c>
      <c r="C390" s="22">
        <f>VLOOKUP(B390,Vertices!$A$11:$J$203,7,FALSE )-$C$7</f>
        <v>-40.134999999999998</v>
      </c>
      <c r="D390" s="22">
        <f>VLOOKUP(B390,Vertices!$A$11:$J$203,8,FALSE )-$D$7</f>
        <v>-13.43</v>
      </c>
      <c r="E390" s="23">
        <f>VLOOKUP(B390,Vertices!$A$11:$J$203,9,FALSE )-$E$7</f>
        <v>3.66</v>
      </c>
      <c r="F390" s="21">
        <f>Faces!C390</f>
        <v>188</v>
      </c>
      <c r="G390" s="22">
        <f>VLOOKUP(F390,Vertices!$A$11:$J$203,7,FALSE )-$C$7</f>
        <v>-41.104999999999997</v>
      </c>
      <c r="H390" s="22">
        <f>VLOOKUP(F390,Vertices!$A$11:$J$203,8,FALSE )-$D$7</f>
        <v>14.1</v>
      </c>
      <c r="I390" s="23">
        <f>VLOOKUP(F390,Vertices!$A$11:$J$203,9,FALSE )-$E$7</f>
        <v>2.2000000000000002</v>
      </c>
      <c r="J390" s="21">
        <f>Faces!D390</f>
        <v>191</v>
      </c>
      <c r="K390" s="22">
        <f>VLOOKUP(J390,Vertices!$A$11:$J$203,7,FALSE )-$C$7</f>
        <v>-35.265000000000001</v>
      </c>
      <c r="L390" s="22">
        <f>VLOOKUP(J390,Vertices!$A$11:$J$203,8,FALSE )-$D$7</f>
        <v>-4.3099999999999996</v>
      </c>
      <c r="M390" s="23">
        <f>VLOOKUP(J390,Vertices!$A$11:$J$203,9,FALSE )-$E$7</f>
        <v>11.95</v>
      </c>
      <c r="N390" s="16">
        <f t="shared" si="10"/>
        <v>1704.9577457499997</v>
      </c>
      <c r="O390" s="16">
        <f t="shared" si="11"/>
        <v>1704.9577457499997</v>
      </c>
    </row>
    <row r="391" spans="1:15" x14ac:dyDescent="0.25">
      <c r="A391">
        <f>Faces!A391</f>
        <v>381</v>
      </c>
      <c r="B391" s="21">
        <f>Faces!B391</f>
        <v>193</v>
      </c>
      <c r="C391" s="22">
        <f>VLOOKUP(B391,Vertices!$A$11:$J$203,7,FALSE )-$C$7</f>
        <v>-40.134999999999998</v>
      </c>
      <c r="D391" s="22">
        <f>VLOOKUP(B391,Vertices!$A$11:$J$203,8,FALSE )-$D$7</f>
        <v>-13.43</v>
      </c>
      <c r="E391" s="23">
        <f>VLOOKUP(B391,Vertices!$A$11:$J$203,9,FALSE )-$E$7</f>
        <v>3.66</v>
      </c>
      <c r="F391" s="21">
        <f>Faces!C391</f>
        <v>190</v>
      </c>
      <c r="G391" s="22">
        <f>VLOOKUP(F391,Vertices!$A$11:$J$203,7,FALSE )-$C$7</f>
        <v>-43.545000000000002</v>
      </c>
      <c r="H391" s="22">
        <f>VLOOKUP(F391,Vertices!$A$11:$J$203,8,FALSE )-$D$7</f>
        <v>6.23</v>
      </c>
      <c r="I391" s="23">
        <f>VLOOKUP(F391,Vertices!$A$11:$J$203,9,FALSE )-$E$7</f>
        <v>-4.82</v>
      </c>
      <c r="J391" s="21">
        <f>Faces!D391</f>
        <v>188</v>
      </c>
      <c r="K391" s="22">
        <f>VLOOKUP(J391,Vertices!$A$11:$J$203,7,FALSE )-$C$7</f>
        <v>-41.104999999999997</v>
      </c>
      <c r="L391" s="22">
        <f>VLOOKUP(J391,Vertices!$A$11:$J$203,8,FALSE )-$D$7</f>
        <v>14.1</v>
      </c>
      <c r="M391" s="23">
        <f>VLOOKUP(J391,Vertices!$A$11:$J$203,9,FALSE )-$E$7</f>
        <v>2.2000000000000002</v>
      </c>
      <c r="N391" s="16">
        <f t="shared" si="10"/>
        <v>1422.5124256666668</v>
      </c>
      <c r="O391" s="16">
        <f t="shared" si="11"/>
        <v>1422.5124256666668</v>
      </c>
    </row>
    <row r="392" spans="1:15" x14ac:dyDescent="0.25">
      <c r="A392">
        <f>Faces!A392</f>
        <v>382</v>
      </c>
      <c r="B392" s="24">
        <f>Faces!B392</f>
        <v>191</v>
      </c>
      <c r="C392" s="25">
        <f>VLOOKUP(B392,Vertices!$A$11:$J$203,7,FALSE )-$C$7</f>
        <v>-35.265000000000001</v>
      </c>
      <c r="D392" s="25">
        <f>VLOOKUP(B392,Vertices!$A$11:$J$203,8,FALSE )-$D$7</f>
        <v>-4.3099999999999996</v>
      </c>
      <c r="E392" s="26">
        <f>VLOOKUP(B392,Vertices!$A$11:$J$203,9,FALSE )-$E$7</f>
        <v>11.95</v>
      </c>
      <c r="F392" s="24">
        <f>Faces!C392</f>
        <v>188</v>
      </c>
      <c r="G392" s="25">
        <f>VLOOKUP(F392,Vertices!$A$11:$J$203,7,FALSE )-$C$7</f>
        <v>-41.104999999999997</v>
      </c>
      <c r="H392" s="25">
        <f>VLOOKUP(F392,Vertices!$A$11:$J$203,8,FALSE )-$D$7</f>
        <v>14.1</v>
      </c>
      <c r="I392" s="26">
        <f>VLOOKUP(F392,Vertices!$A$11:$J$203,9,FALSE )-$E$7</f>
        <v>2.2000000000000002</v>
      </c>
      <c r="J392" s="24">
        <f>Faces!D392</f>
        <v>192</v>
      </c>
      <c r="K392" s="25">
        <f>VLOOKUP(J392,Vertices!$A$11:$J$203,7,FALSE )-$C$7</f>
        <v>-40.354999999999997</v>
      </c>
      <c r="L392" s="25">
        <f>VLOOKUP(J392,Vertices!$A$11:$J$203,8,FALSE )-$D$7</f>
        <v>8.1999999999999993</v>
      </c>
      <c r="M392" s="26">
        <f>VLOOKUP(J392,Vertices!$A$11:$J$203,9,FALSE )-$E$7</f>
        <v>7.28</v>
      </c>
      <c r="N392" s="16">
        <f t="shared" si="10"/>
        <v>186.51026649999994</v>
      </c>
      <c r="O392" s="16">
        <f t="shared" si="11"/>
        <v>186.51026649999994</v>
      </c>
    </row>
  </sheetData>
  <mergeCells count="3">
    <mergeCell ref="B9:E9"/>
    <mergeCell ref="F9:I9"/>
    <mergeCell ref="J9:M9"/>
  </mergeCells>
  <conditionalFormatting sqref="N6">
    <cfRule type="cellIs" dxfId="1" priority="2" operator="greaterThan">
      <formula>0</formula>
    </cfRule>
  </conditionalFormatting>
  <conditionalFormatting sqref="N11:N392">
    <cfRule type="cellIs" dxfId="0" priority="1" operator="lessThan">
      <formula>-0.001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INPUTdata</vt:lpstr>
      <vt:lpstr>Vertices</vt:lpstr>
      <vt:lpstr>Faces</vt:lpstr>
      <vt:lpstr>Volumes</vt:lpstr>
    </vt:vector>
  </TitlesOfParts>
  <Company>Océ Technologies BV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Frans Gaykema</dc:creator>
  <cp:lastModifiedBy>Frans Gaykema</cp:lastModifiedBy>
  <dcterms:created xsi:type="dcterms:W3CDTF">2020-06-01T09:14:14Z</dcterms:created>
  <dcterms:modified xsi:type="dcterms:W3CDTF">2020-06-04T07:02:32Z</dcterms:modified>
</cp:coreProperties>
</file>